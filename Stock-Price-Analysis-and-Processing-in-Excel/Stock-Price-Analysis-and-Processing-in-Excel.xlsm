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eshitashitij/Desktop/MS Applications/SJSU/Data 220/Lab1/Part 3/Alphabet_eshita_Final/"/>
    </mc:Choice>
  </mc:AlternateContent>
  <xr:revisionPtr revIDLastSave="0" documentId="13_ncr:1_{50873C29-C4CA-0640-988D-AF721C0DC67D}" xr6:coauthVersionLast="47" xr6:coauthVersionMax="47" xr10:uidLastSave="{00000000-0000-0000-0000-000000000000}"/>
  <bookViews>
    <workbookView xWindow="0" yWindow="500" windowWidth="28800" windowHeight="16360" tabRatio="500" activeTab="6" xr2:uid="{00000000-000D-0000-FFFF-FFFF00000000}"/>
  </bookViews>
  <sheets>
    <sheet name="_xlwings.conf" sheetId="2" state="hidden" r:id="rId1"/>
    <sheet name="Alphabet" sheetId="3" r:id="rId2"/>
    <sheet name="Chart for Stock Open Price" sheetId="4" r:id="rId3"/>
    <sheet name="Big Swings" sheetId="5" r:id="rId4"/>
    <sheet name="Pivot Table for 2022" sheetId="6" r:id="rId5"/>
    <sheet name="Summary Stats" sheetId="7" r:id="rId6"/>
    <sheet name="Python" sheetId="1" r:id="rId7"/>
  </sheets>
  <definedNames>
    <definedName name="_xlnm._FilterDatabase" localSheetId="1" hidden="1">Alphabet!$A$1:$M$1259</definedName>
    <definedName name="_xlnm._FilterDatabase" localSheetId="5" hidden="1">'Summary Stats'!$A$1:$J$505</definedName>
  </definedNames>
  <calcPr calcId="191029"/>
  <pivotCaches>
    <pivotCache cacheId="10" r:id="rId8"/>
  </pivotCaches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259" i="3" l="1"/>
  <c r="M1259" i="3" s="1"/>
  <c r="J1259" i="3"/>
  <c r="K1259" i="3" s="1"/>
  <c r="C1259" i="3"/>
  <c r="B1259" i="3"/>
  <c r="L1258" i="3"/>
  <c r="M1258" i="3" s="1"/>
  <c r="J1258" i="3"/>
  <c r="K1258" i="3" s="1"/>
  <c r="C1258" i="3"/>
  <c r="B1258" i="3"/>
  <c r="L1257" i="3"/>
  <c r="M1257" i="3" s="1"/>
  <c r="J1257" i="3"/>
  <c r="K1257" i="3" s="1"/>
  <c r="C1257" i="3"/>
  <c r="B1257" i="3"/>
  <c r="L1256" i="3"/>
  <c r="M1256" i="3" s="1"/>
  <c r="J1256" i="3"/>
  <c r="K1256" i="3" s="1"/>
  <c r="C1256" i="3"/>
  <c r="B1256" i="3"/>
  <c r="L1255" i="3"/>
  <c r="M1255" i="3" s="1"/>
  <c r="J1255" i="3"/>
  <c r="K1255" i="3" s="1"/>
  <c r="C1255" i="3"/>
  <c r="B1255" i="3"/>
  <c r="L1254" i="3"/>
  <c r="M1254" i="3" s="1"/>
  <c r="J1254" i="3"/>
  <c r="K1254" i="3" s="1"/>
  <c r="C1254" i="3"/>
  <c r="B1254" i="3"/>
  <c r="L1253" i="3"/>
  <c r="M1253" i="3" s="1"/>
  <c r="J1253" i="3"/>
  <c r="K1253" i="3" s="1"/>
  <c r="C1253" i="3"/>
  <c r="B1253" i="3"/>
  <c r="L1252" i="3"/>
  <c r="M1252" i="3" s="1"/>
  <c r="J1252" i="3"/>
  <c r="K1252" i="3" s="1"/>
  <c r="C1252" i="3"/>
  <c r="B1252" i="3"/>
  <c r="L1251" i="3"/>
  <c r="M1251" i="3" s="1"/>
  <c r="J1251" i="3"/>
  <c r="K1251" i="3" s="1"/>
  <c r="C1251" i="3"/>
  <c r="B1251" i="3"/>
  <c r="L1250" i="3"/>
  <c r="M1250" i="3" s="1"/>
  <c r="J1250" i="3"/>
  <c r="K1250" i="3" s="1"/>
  <c r="C1250" i="3"/>
  <c r="B1250" i="3"/>
  <c r="L1249" i="3"/>
  <c r="M1249" i="3" s="1"/>
  <c r="J1249" i="3"/>
  <c r="K1249" i="3" s="1"/>
  <c r="C1249" i="3"/>
  <c r="B1249" i="3"/>
  <c r="L1248" i="3"/>
  <c r="M1248" i="3" s="1"/>
  <c r="J1248" i="3"/>
  <c r="K1248" i="3" s="1"/>
  <c r="C1248" i="3"/>
  <c r="B1248" i="3"/>
  <c r="L1247" i="3"/>
  <c r="M1247" i="3" s="1"/>
  <c r="J1247" i="3"/>
  <c r="K1247" i="3" s="1"/>
  <c r="C1247" i="3"/>
  <c r="B1247" i="3"/>
  <c r="L1246" i="3"/>
  <c r="M1246" i="3" s="1"/>
  <c r="J1246" i="3"/>
  <c r="K1246" i="3" s="1"/>
  <c r="C1246" i="3"/>
  <c r="B1246" i="3"/>
  <c r="L1245" i="3"/>
  <c r="M1245" i="3" s="1"/>
  <c r="J1245" i="3"/>
  <c r="K1245" i="3" s="1"/>
  <c r="C1245" i="3"/>
  <c r="B1245" i="3"/>
  <c r="L1244" i="3"/>
  <c r="M1244" i="3" s="1"/>
  <c r="J1244" i="3"/>
  <c r="K1244" i="3" s="1"/>
  <c r="C1244" i="3"/>
  <c r="I1244" i="3" s="1"/>
  <c r="B1244" i="3"/>
  <c r="L1243" i="3"/>
  <c r="M1243" i="3" s="1"/>
  <c r="J1243" i="3"/>
  <c r="K1243" i="3" s="1"/>
  <c r="C1243" i="3"/>
  <c r="B1243" i="3"/>
  <c r="I1243" i="3" s="1"/>
  <c r="L1242" i="3"/>
  <c r="M1242" i="3" s="1"/>
  <c r="J1242" i="3"/>
  <c r="K1242" i="3" s="1"/>
  <c r="C1242" i="3"/>
  <c r="B1242" i="3"/>
  <c r="L1241" i="3"/>
  <c r="M1241" i="3" s="1"/>
  <c r="J1241" i="3"/>
  <c r="K1241" i="3" s="1"/>
  <c r="C1241" i="3"/>
  <c r="B1241" i="3"/>
  <c r="L1240" i="3"/>
  <c r="M1240" i="3" s="1"/>
  <c r="J1240" i="3"/>
  <c r="K1240" i="3" s="1"/>
  <c r="C1240" i="3"/>
  <c r="B1240" i="3"/>
  <c r="L1239" i="3"/>
  <c r="M1239" i="3" s="1"/>
  <c r="J1239" i="3"/>
  <c r="K1239" i="3" s="1"/>
  <c r="C1239" i="3"/>
  <c r="B1239" i="3"/>
  <c r="L1238" i="3"/>
  <c r="M1238" i="3" s="1"/>
  <c r="K1238" i="3"/>
  <c r="J1238" i="3"/>
  <c r="C1238" i="3"/>
  <c r="B1238" i="3"/>
  <c r="L1237" i="3"/>
  <c r="M1237" i="3" s="1"/>
  <c r="J1237" i="3"/>
  <c r="K1237" i="3" s="1"/>
  <c r="C1237" i="3"/>
  <c r="B1237" i="3"/>
  <c r="L1236" i="3"/>
  <c r="M1236" i="3" s="1"/>
  <c r="J1236" i="3"/>
  <c r="K1236" i="3" s="1"/>
  <c r="C1236" i="3"/>
  <c r="B1236" i="3"/>
  <c r="L1235" i="3"/>
  <c r="M1235" i="3" s="1"/>
  <c r="J1235" i="3"/>
  <c r="K1235" i="3" s="1"/>
  <c r="C1235" i="3"/>
  <c r="B1235" i="3"/>
  <c r="L1234" i="3"/>
  <c r="M1234" i="3" s="1"/>
  <c r="J1234" i="3"/>
  <c r="K1234" i="3" s="1"/>
  <c r="C1234" i="3"/>
  <c r="B1234" i="3"/>
  <c r="L1233" i="3"/>
  <c r="M1233" i="3" s="1"/>
  <c r="J1233" i="3"/>
  <c r="K1233" i="3" s="1"/>
  <c r="C1233" i="3"/>
  <c r="B1233" i="3"/>
  <c r="L1232" i="3"/>
  <c r="M1232" i="3" s="1"/>
  <c r="J1232" i="3"/>
  <c r="K1232" i="3" s="1"/>
  <c r="C1232" i="3"/>
  <c r="B1232" i="3"/>
  <c r="L1231" i="3"/>
  <c r="M1231" i="3" s="1"/>
  <c r="J1231" i="3"/>
  <c r="K1231" i="3" s="1"/>
  <c r="C1231" i="3"/>
  <c r="B1231" i="3"/>
  <c r="L1230" i="3"/>
  <c r="M1230" i="3" s="1"/>
  <c r="K1230" i="3"/>
  <c r="J1230" i="3"/>
  <c r="C1230" i="3"/>
  <c r="B1230" i="3"/>
  <c r="I1230" i="3" s="1"/>
  <c r="L1229" i="3"/>
  <c r="M1229" i="3" s="1"/>
  <c r="J1229" i="3"/>
  <c r="K1229" i="3" s="1"/>
  <c r="C1229" i="3"/>
  <c r="B1229" i="3"/>
  <c r="L1228" i="3"/>
  <c r="M1228" i="3" s="1"/>
  <c r="J1228" i="3"/>
  <c r="K1228" i="3" s="1"/>
  <c r="C1228" i="3"/>
  <c r="B1228" i="3"/>
  <c r="I1228" i="3" s="1"/>
  <c r="L1227" i="3"/>
  <c r="M1227" i="3" s="1"/>
  <c r="J1227" i="3"/>
  <c r="K1227" i="3" s="1"/>
  <c r="C1227" i="3"/>
  <c r="B1227" i="3"/>
  <c r="L1226" i="3"/>
  <c r="M1226" i="3" s="1"/>
  <c r="J1226" i="3"/>
  <c r="K1226" i="3" s="1"/>
  <c r="C1226" i="3"/>
  <c r="B1226" i="3"/>
  <c r="L1225" i="3"/>
  <c r="M1225" i="3" s="1"/>
  <c r="J1225" i="3"/>
  <c r="K1225" i="3" s="1"/>
  <c r="C1225" i="3"/>
  <c r="B1225" i="3"/>
  <c r="L1224" i="3"/>
  <c r="M1224" i="3" s="1"/>
  <c r="J1224" i="3"/>
  <c r="K1224" i="3" s="1"/>
  <c r="C1224" i="3"/>
  <c r="B1224" i="3"/>
  <c r="I1224" i="3" s="1"/>
  <c r="L1223" i="3"/>
  <c r="M1223" i="3" s="1"/>
  <c r="J1223" i="3"/>
  <c r="K1223" i="3" s="1"/>
  <c r="C1223" i="3"/>
  <c r="B1223" i="3"/>
  <c r="L1222" i="3"/>
  <c r="M1222" i="3" s="1"/>
  <c r="J1222" i="3"/>
  <c r="K1222" i="3" s="1"/>
  <c r="C1222" i="3"/>
  <c r="B1222" i="3"/>
  <c r="I1222" i="3" s="1"/>
  <c r="L1221" i="3"/>
  <c r="M1221" i="3" s="1"/>
  <c r="J1221" i="3"/>
  <c r="K1221" i="3" s="1"/>
  <c r="C1221" i="3"/>
  <c r="B1221" i="3"/>
  <c r="L1220" i="3"/>
  <c r="M1220" i="3" s="1"/>
  <c r="J1220" i="3"/>
  <c r="K1220" i="3" s="1"/>
  <c r="C1220" i="3"/>
  <c r="B1220" i="3"/>
  <c r="I1220" i="3" s="1"/>
  <c r="L1219" i="3"/>
  <c r="M1219" i="3" s="1"/>
  <c r="J1219" i="3"/>
  <c r="K1219" i="3" s="1"/>
  <c r="C1219" i="3"/>
  <c r="B1219" i="3"/>
  <c r="L1218" i="3"/>
  <c r="M1218" i="3" s="1"/>
  <c r="J1218" i="3"/>
  <c r="K1218" i="3" s="1"/>
  <c r="C1218" i="3"/>
  <c r="B1218" i="3"/>
  <c r="L1217" i="3"/>
  <c r="M1217" i="3" s="1"/>
  <c r="J1217" i="3"/>
  <c r="K1217" i="3" s="1"/>
  <c r="C1217" i="3"/>
  <c r="B1217" i="3"/>
  <c r="L1216" i="3"/>
  <c r="M1216" i="3" s="1"/>
  <c r="J1216" i="3"/>
  <c r="K1216" i="3" s="1"/>
  <c r="C1216" i="3"/>
  <c r="B1216" i="3"/>
  <c r="L1215" i="3"/>
  <c r="M1215" i="3" s="1"/>
  <c r="J1215" i="3"/>
  <c r="K1215" i="3" s="1"/>
  <c r="C1215" i="3"/>
  <c r="B1215" i="3"/>
  <c r="L1214" i="3"/>
  <c r="M1214" i="3" s="1"/>
  <c r="J1214" i="3"/>
  <c r="K1214" i="3" s="1"/>
  <c r="C1214" i="3"/>
  <c r="B1214" i="3"/>
  <c r="I1214" i="3" s="1"/>
  <c r="L1213" i="3"/>
  <c r="M1213" i="3" s="1"/>
  <c r="J1213" i="3"/>
  <c r="K1213" i="3" s="1"/>
  <c r="C1213" i="3"/>
  <c r="B1213" i="3"/>
  <c r="L1212" i="3"/>
  <c r="M1212" i="3" s="1"/>
  <c r="J1212" i="3"/>
  <c r="K1212" i="3" s="1"/>
  <c r="C1212" i="3"/>
  <c r="B1212" i="3"/>
  <c r="I1212" i="3" s="1"/>
  <c r="L1211" i="3"/>
  <c r="M1211" i="3" s="1"/>
  <c r="J1211" i="3"/>
  <c r="K1211" i="3" s="1"/>
  <c r="C1211" i="3"/>
  <c r="B1211" i="3"/>
  <c r="L1210" i="3"/>
  <c r="M1210" i="3" s="1"/>
  <c r="J1210" i="3"/>
  <c r="K1210" i="3" s="1"/>
  <c r="C1210" i="3"/>
  <c r="B1210" i="3"/>
  <c r="L1209" i="3"/>
  <c r="M1209" i="3" s="1"/>
  <c r="J1209" i="3"/>
  <c r="K1209" i="3" s="1"/>
  <c r="C1209" i="3"/>
  <c r="B1209" i="3"/>
  <c r="L1208" i="3"/>
  <c r="M1208" i="3" s="1"/>
  <c r="J1208" i="3"/>
  <c r="K1208" i="3" s="1"/>
  <c r="C1208" i="3"/>
  <c r="B1208" i="3"/>
  <c r="L1207" i="3"/>
  <c r="M1207" i="3" s="1"/>
  <c r="J1207" i="3"/>
  <c r="K1207" i="3" s="1"/>
  <c r="C1207" i="3"/>
  <c r="B1207" i="3"/>
  <c r="L1206" i="3"/>
  <c r="M1206" i="3" s="1"/>
  <c r="J1206" i="3"/>
  <c r="K1206" i="3" s="1"/>
  <c r="C1206" i="3"/>
  <c r="B1206" i="3"/>
  <c r="L1205" i="3"/>
  <c r="M1205" i="3" s="1"/>
  <c r="J1205" i="3"/>
  <c r="K1205" i="3" s="1"/>
  <c r="C1205" i="3"/>
  <c r="B1205" i="3"/>
  <c r="L1204" i="3"/>
  <c r="M1204" i="3" s="1"/>
  <c r="J1204" i="3"/>
  <c r="K1204" i="3" s="1"/>
  <c r="C1204" i="3"/>
  <c r="B1204" i="3"/>
  <c r="L1203" i="3"/>
  <c r="M1203" i="3" s="1"/>
  <c r="J1203" i="3"/>
  <c r="K1203" i="3" s="1"/>
  <c r="C1203" i="3"/>
  <c r="B1203" i="3"/>
  <c r="L1202" i="3"/>
  <c r="M1202" i="3" s="1"/>
  <c r="J1202" i="3"/>
  <c r="K1202" i="3" s="1"/>
  <c r="C1202" i="3"/>
  <c r="B1202" i="3"/>
  <c r="L1201" i="3"/>
  <c r="M1201" i="3" s="1"/>
  <c r="J1201" i="3"/>
  <c r="K1201" i="3" s="1"/>
  <c r="C1201" i="3"/>
  <c r="B1201" i="3"/>
  <c r="L1200" i="3"/>
  <c r="M1200" i="3" s="1"/>
  <c r="J1200" i="3"/>
  <c r="K1200" i="3" s="1"/>
  <c r="C1200" i="3"/>
  <c r="B1200" i="3"/>
  <c r="L1199" i="3"/>
  <c r="M1199" i="3" s="1"/>
  <c r="J1199" i="3"/>
  <c r="K1199" i="3" s="1"/>
  <c r="C1199" i="3"/>
  <c r="B1199" i="3"/>
  <c r="L1198" i="3"/>
  <c r="M1198" i="3" s="1"/>
  <c r="J1198" i="3"/>
  <c r="K1198" i="3" s="1"/>
  <c r="C1198" i="3"/>
  <c r="B1198" i="3"/>
  <c r="L1197" i="3"/>
  <c r="M1197" i="3" s="1"/>
  <c r="J1197" i="3"/>
  <c r="K1197" i="3" s="1"/>
  <c r="C1197" i="3"/>
  <c r="B1197" i="3"/>
  <c r="L1196" i="3"/>
  <c r="M1196" i="3" s="1"/>
  <c r="J1196" i="3"/>
  <c r="K1196" i="3" s="1"/>
  <c r="C1196" i="3"/>
  <c r="I1196" i="3" s="1"/>
  <c r="B1196" i="3"/>
  <c r="L1195" i="3"/>
  <c r="M1195" i="3" s="1"/>
  <c r="J1195" i="3"/>
  <c r="K1195" i="3" s="1"/>
  <c r="C1195" i="3"/>
  <c r="B1195" i="3"/>
  <c r="L1194" i="3"/>
  <c r="M1194" i="3" s="1"/>
  <c r="J1194" i="3"/>
  <c r="K1194" i="3" s="1"/>
  <c r="C1194" i="3"/>
  <c r="B1194" i="3"/>
  <c r="L1193" i="3"/>
  <c r="M1193" i="3" s="1"/>
  <c r="J1193" i="3"/>
  <c r="K1193" i="3" s="1"/>
  <c r="C1193" i="3"/>
  <c r="B1193" i="3"/>
  <c r="L1192" i="3"/>
  <c r="M1192" i="3" s="1"/>
  <c r="J1192" i="3"/>
  <c r="K1192" i="3" s="1"/>
  <c r="C1192" i="3"/>
  <c r="B1192" i="3"/>
  <c r="L1191" i="3"/>
  <c r="M1191" i="3" s="1"/>
  <c r="J1191" i="3"/>
  <c r="K1191" i="3" s="1"/>
  <c r="C1191" i="3"/>
  <c r="B1191" i="3"/>
  <c r="I1191" i="3" s="1"/>
  <c r="L1190" i="3"/>
  <c r="M1190" i="3" s="1"/>
  <c r="J1190" i="3"/>
  <c r="K1190" i="3" s="1"/>
  <c r="C1190" i="3"/>
  <c r="B1190" i="3"/>
  <c r="L1189" i="3"/>
  <c r="M1189" i="3" s="1"/>
  <c r="J1189" i="3"/>
  <c r="K1189" i="3" s="1"/>
  <c r="C1189" i="3"/>
  <c r="B1189" i="3"/>
  <c r="L1188" i="3"/>
  <c r="M1188" i="3" s="1"/>
  <c r="J1188" i="3"/>
  <c r="K1188" i="3" s="1"/>
  <c r="C1188" i="3"/>
  <c r="B1188" i="3"/>
  <c r="L1187" i="3"/>
  <c r="M1187" i="3" s="1"/>
  <c r="J1187" i="3"/>
  <c r="K1187" i="3" s="1"/>
  <c r="C1187" i="3"/>
  <c r="B1187" i="3"/>
  <c r="L1186" i="3"/>
  <c r="M1186" i="3" s="1"/>
  <c r="J1186" i="3"/>
  <c r="K1186" i="3" s="1"/>
  <c r="C1186" i="3"/>
  <c r="B1186" i="3"/>
  <c r="L1185" i="3"/>
  <c r="M1185" i="3" s="1"/>
  <c r="J1185" i="3"/>
  <c r="K1185" i="3" s="1"/>
  <c r="C1185" i="3"/>
  <c r="B1185" i="3"/>
  <c r="L1184" i="3"/>
  <c r="M1184" i="3" s="1"/>
  <c r="J1184" i="3"/>
  <c r="K1184" i="3" s="1"/>
  <c r="C1184" i="3"/>
  <c r="B1184" i="3"/>
  <c r="L1183" i="3"/>
  <c r="M1183" i="3" s="1"/>
  <c r="J1183" i="3"/>
  <c r="K1183" i="3" s="1"/>
  <c r="C1183" i="3"/>
  <c r="B1183" i="3"/>
  <c r="L1182" i="3"/>
  <c r="M1182" i="3" s="1"/>
  <c r="J1182" i="3"/>
  <c r="K1182" i="3" s="1"/>
  <c r="C1182" i="3"/>
  <c r="B1182" i="3"/>
  <c r="L1181" i="3"/>
  <c r="M1181" i="3" s="1"/>
  <c r="J1181" i="3"/>
  <c r="K1181" i="3" s="1"/>
  <c r="C1181" i="3"/>
  <c r="B1181" i="3"/>
  <c r="L1180" i="3"/>
  <c r="M1180" i="3" s="1"/>
  <c r="J1180" i="3"/>
  <c r="K1180" i="3" s="1"/>
  <c r="C1180" i="3"/>
  <c r="B1180" i="3"/>
  <c r="L1179" i="3"/>
  <c r="M1179" i="3" s="1"/>
  <c r="J1179" i="3"/>
  <c r="K1179" i="3" s="1"/>
  <c r="C1179" i="3"/>
  <c r="I1179" i="3" s="1"/>
  <c r="B1179" i="3"/>
  <c r="L1178" i="3"/>
  <c r="M1178" i="3" s="1"/>
  <c r="J1178" i="3"/>
  <c r="K1178" i="3" s="1"/>
  <c r="C1178" i="3"/>
  <c r="B1178" i="3"/>
  <c r="L1177" i="3"/>
  <c r="M1177" i="3" s="1"/>
  <c r="J1177" i="3"/>
  <c r="K1177" i="3" s="1"/>
  <c r="C1177" i="3"/>
  <c r="B1177" i="3"/>
  <c r="L1176" i="3"/>
  <c r="M1176" i="3" s="1"/>
  <c r="J1176" i="3"/>
  <c r="K1176" i="3" s="1"/>
  <c r="C1176" i="3"/>
  <c r="B1176" i="3"/>
  <c r="L1175" i="3"/>
  <c r="M1175" i="3" s="1"/>
  <c r="J1175" i="3"/>
  <c r="K1175" i="3" s="1"/>
  <c r="C1175" i="3"/>
  <c r="B1175" i="3"/>
  <c r="L1174" i="3"/>
  <c r="M1174" i="3" s="1"/>
  <c r="J1174" i="3"/>
  <c r="K1174" i="3" s="1"/>
  <c r="C1174" i="3"/>
  <c r="B1174" i="3"/>
  <c r="I1174" i="3" s="1"/>
  <c r="L1173" i="3"/>
  <c r="M1173" i="3" s="1"/>
  <c r="J1173" i="3"/>
  <c r="K1173" i="3" s="1"/>
  <c r="C1173" i="3"/>
  <c r="B1173" i="3"/>
  <c r="L1172" i="3"/>
  <c r="M1172" i="3" s="1"/>
  <c r="J1172" i="3"/>
  <c r="K1172" i="3" s="1"/>
  <c r="C1172" i="3"/>
  <c r="B1172" i="3"/>
  <c r="L1171" i="3"/>
  <c r="M1171" i="3" s="1"/>
  <c r="J1171" i="3"/>
  <c r="K1171" i="3" s="1"/>
  <c r="C1171" i="3"/>
  <c r="B1171" i="3"/>
  <c r="L1170" i="3"/>
  <c r="M1170" i="3" s="1"/>
  <c r="J1170" i="3"/>
  <c r="K1170" i="3" s="1"/>
  <c r="C1170" i="3"/>
  <c r="B1170" i="3"/>
  <c r="L1169" i="3"/>
  <c r="M1169" i="3" s="1"/>
  <c r="J1169" i="3"/>
  <c r="K1169" i="3" s="1"/>
  <c r="C1169" i="3"/>
  <c r="B1169" i="3"/>
  <c r="L1168" i="3"/>
  <c r="M1168" i="3" s="1"/>
  <c r="J1168" i="3"/>
  <c r="K1168" i="3" s="1"/>
  <c r="C1168" i="3"/>
  <c r="B1168" i="3"/>
  <c r="L1167" i="3"/>
  <c r="M1167" i="3" s="1"/>
  <c r="J1167" i="3"/>
  <c r="K1167" i="3" s="1"/>
  <c r="C1167" i="3"/>
  <c r="B1167" i="3"/>
  <c r="L1166" i="3"/>
  <c r="M1166" i="3" s="1"/>
  <c r="J1166" i="3"/>
  <c r="K1166" i="3" s="1"/>
  <c r="C1166" i="3"/>
  <c r="B1166" i="3"/>
  <c r="L1165" i="3"/>
  <c r="M1165" i="3" s="1"/>
  <c r="J1165" i="3"/>
  <c r="K1165" i="3" s="1"/>
  <c r="C1165" i="3"/>
  <c r="B1165" i="3"/>
  <c r="L1164" i="3"/>
  <c r="M1164" i="3" s="1"/>
  <c r="J1164" i="3"/>
  <c r="K1164" i="3" s="1"/>
  <c r="C1164" i="3"/>
  <c r="B1164" i="3"/>
  <c r="L1163" i="3"/>
  <c r="M1163" i="3" s="1"/>
  <c r="J1163" i="3"/>
  <c r="K1163" i="3" s="1"/>
  <c r="C1163" i="3"/>
  <c r="B1163" i="3"/>
  <c r="L1162" i="3"/>
  <c r="M1162" i="3" s="1"/>
  <c r="J1162" i="3"/>
  <c r="K1162" i="3" s="1"/>
  <c r="C1162" i="3"/>
  <c r="B1162" i="3"/>
  <c r="L1161" i="3"/>
  <c r="M1161" i="3" s="1"/>
  <c r="J1161" i="3"/>
  <c r="K1161" i="3" s="1"/>
  <c r="C1161" i="3"/>
  <c r="B1161" i="3"/>
  <c r="L1160" i="3"/>
  <c r="M1160" i="3" s="1"/>
  <c r="J1160" i="3"/>
  <c r="K1160" i="3" s="1"/>
  <c r="C1160" i="3"/>
  <c r="B1160" i="3"/>
  <c r="L1159" i="3"/>
  <c r="M1159" i="3" s="1"/>
  <c r="J1159" i="3"/>
  <c r="K1159" i="3" s="1"/>
  <c r="C1159" i="3"/>
  <c r="B1159" i="3"/>
  <c r="L1158" i="3"/>
  <c r="M1158" i="3" s="1"/>
  <c r="J1158" i="3"/>
  <c r="K1158" i="3" s="1"/>
  <c r="C1158" i="3"/>
  <c r="B1158" i="3"/>
  <c r="L1157" i="3"/>
  <c r="M1157" i="3" s="1"/>
  <c r="J1157" i="3"/>
  <c r="K1157" i="3" s="1"/>
  <c r="C1157" i="3"/>
  <c r="B1157" i="3"/>
  <c r="L1156" i="3"/>
  <c r="M1156" i="3" s="1"/>
  <c r="J1156" i="3"/>
  <c r="K1156" i="3" s="1"/>
  <c r="C1156" i="3"/>
  <c r="B1156" i="3"/>
  <c r="L1155" i="3"/>
  <c r="M1155" i="3" s="1"/>
  <c r="J1155" i="3"/>
  <c r="K1155" i="3" s="1"/>
  <c r="C1155" i="3"/>
  <c r="B1155" i="3"/>
  <c r="L1154" i="3"/>
  <c r="M1154" i="3" s="1"/>
  <c r="J1154" i="3"/>
  <c r="K1154" i="3" s="1"/>
  <c r="C1154" i="3"/>
  <c r="B1154" i="3"/>
  <c r="L1153" i="3"/>
  <c r="M1153" i="3" s="1"/>
  <c r="K1153" i="3"/>
  <c r="J1153" i="3"/>
  <c r="C1153" i="3"/>
  <c r="B1153" i="3"/>
  <c r="M1152" i="3"/>
  <c r="L1152" i="3"/>
  <c r="J1152" i="3"/>
  <c r="K1152" i="3" s="1"/>
  <c r="C1152" i="3"/>
  <c r="B1152" i="3"/>
  <c r="L1151" i="3"/>
  <c r="M1151" i="3" s="1"/>
  <c r="J1151" i="3"/>
  <c r="K1151" i="3" s="1"/>
  <c r="C1151" i="3"/>
  <c r="B1151" i="3"/>
  <c r="L1150" i="3"/>
  <c r="M1150" i="3" s="1"/>
  <c r="J1150" i="3"/>
  <c r="K1150" i="3" s="1"/>
  <c r="C1150" i="3"/>
  <c r="B1150" i="3"/>
  <c r="L1149" i="3"/>
  <c r="M1149" i="3" s="1"/>
  <c r="J1149" i="3"/>
  <c r="K1149" i="3" s="1"/>
  <c r="C1149" i="3"/>
  <c r="B1149" i="3"/>
  <c r="L1148" i="3"/>
  <c r="M1148" i="3" s="1"/>
  <c r="J1148" i="3"/>
  <c r="K1148" i="3" s="1"/>
  <c r="C1148" i="3"/>
  <c r="B1148" i="3"/>
  <c r="I1148" i="3" s="1"/>
  <c r="L1147" i="3"/>
  <c r="M1147" i="3" s="1"/>
  <c r="J1147" i="3"/>
  <c r="K1147" i="3" s="1"/>
  <c r="C1147" i="3"/>
  <c r="B1147" i="3"/>
  <c r="L1146" i="3"/>
  <c r="M1146" i="3" s="1"/>
  <c r="J1146" i="3"/>
  <c r="K1146" i="3" s="1"/>
  <c r="C1146" i="3"/>
  <c r="B1146" i="3"/>
  <c r="L1145" i="3"/>
  <c r="M1145" i="3" s="1"/>
  <c r="J1145" i="3"/>
  <c r="K1145" i="3" s="1"/>
  <c r="C1145" i="3"/>
  <c r="B1145" i="3"/>
  <c r="L1144" i="3"/>
  <c r="M1144" i="3" s="1"/>
  <c r="J1144" i="3"/>
  <c r="K1144" i="3" s="1"/>
  <c r="C1144" i="3"/>
  <c r="B1144" i="3"/>
  <c r="L1143" i="3"/>
  <c r="M1143" i="3" s="1"/>
  <c r="J1143" i="3"/>
  <c r="K1143" i="3" s="1"/>
  <c r="C1143" i="3"/>
  <c r="B1143" i="3"/>
  <c r="L1142" i="3"/>
  <c r="M1142" i="3" s="1"/>
  <c r="J1142" i="3"/>
  <c r="K1142" i="3" s="1"/>
  <c r="C1142" i="3"/>
  <c r="B1142" i="3"/>
  <c r="L1141" i="3"/>
  <c r="M1141" i="3" s="1"/>
  <c r="J1141" i="3"/>
  <c r="K1141" i="3" s="1"/>
  <c r="C1141" i="3"/>
  <c r="B1141" i="3"/>
  <c r="L1140" i="3"/>
  <c r="M1140" i="3" s="1"/>
  <c r="J1140" i="3"/>
  <c r="K1140" i="3" s="1"/>
  <c r="C1140" i="3"/>
  <c r="B1140" i="3"/>
  <c r="L1139" i="3"/>
  <c r="M1139" i="3" s="1"/>
  <c r="J1139" i="3"/>
  <c r="K1139" i="3" s="1"/>
  <c r="C1139" i="3"/>
  <c r="B1139" i="3"/>
  <c r="L1138" i="3"/>
  <c r="M1138" i="3" s="1"/>
  <c r="J1138" i="3"/>
  <c r="K1138" i="3" s="1"/>
  <c r="C1138" i="3"/>
  <c r="B1138" i="3"/>
  <c r="L1137" i="3"/>
  <c r="M1137" i="3" s="1"/>
  <c r="J1137" i="3"/>
  <c r="K1137" i="3" s="1"/>
  <c r="C1137" i="3"/>
  <c r="B1137" i="3"/>
  <c r="L1136" i="3"/>
  <c r="M1136" i="3" s="1"/>
  <c r="J1136" i="3"/>
  <c r="K1136" i="3" s="1"/>
  <c r="C1136" i="3"/>
  <c r="B1136" i="3"/>
  <c r="L1135" i="3"/>
  <c r="M1135" i="3" s="1"/>
  <c r="J1135" i="3"/>
  <c r="K1135" i="3" s="1"/>
  <c r="C1135" i="3"/>
  <c r="B1135" i="3"/>
  <c r="L1134" i="3"/>
  <c r="M1134" i="3" s="1"/>
  <c r="J1134" i="3"/>
  <c r="K1134" i="3" s="1"/>
  <c r="C1134" i="3"/>
  <c r="B1134" i="3"/>
  <c r="L1133" i="3"/>
  <c r="M1133" i="3" s="1"/>
  <c r="J1133" i="3"/>
  <c r="K1133" i="3" s="1"/>
  <c r="C1133" i="3"/>
  <c r="B1133" i="3"/>
  <c r="L1132" i="3"/>
  <c r="M1132" i="3" s="1"/>
  <c r="J1132" i="3"/>
  <c r="K1132" i="3" s="1"/>
  <c r="C1132" i="3"/>
  <c r="B1132" i="3"/>
  <c r="L1131" i="3"/>
  <c r="M1131" i="3" s="1"/>
  <c r="J1131" i="3"/>
  <c r="K1131" i="3" s="1"/>
  <c r="C1131" i="3"/>
  <c r="B1131" i="3"/>
  <c r="L1130" i="3"/>
  <c r="M1130" i="3" s="1"/>
  <c r="J1130" i="3"/>
  <c r="K1130" i="3" s="1"/>
  <c r="C1130" i="3"/>
  <c r="B1130" i="3"/>
  <c r="L1129" i="3"/>
  <c r="M1129" i="3" s="1"/>
  <c r="J1129" i="3"/>
  <c r="K1129" i="3" s="1"/>
  <c r="C1129" i="3"/>
  <c r="B1129" i="3"/>
  <c r="L1128" i="3"/>
  <c r="M1128" i="3" s="1"/>
  <c r="J1128" i="3"/>
  <c r="K1128" i="3" s="1"/>
  <c r="C1128" i="3"/>
  <c r="B1128" i="3"/>
  <c r="L1127" i="3"/>
  <c r="M1127" i="3" s="1"/>
  <c r="J1127" i="3"/>
  <c r="K1127" i="3" s="1"/>
  <c r="C1127" i="3"/>
  <c r="B1127" i="3"/>
  <c r="L1126" i="3"/>
  <c r="M1126" i="3" s="1"/>
  <c r="J1126" i="3"/>
  <c r="K1126" i="3" s="1"/>
  <c r="C1126" i="3"/>
  <c r="B1126" i="3"/>
  <c r="L1125" i="3"/>
  <c r="M1125" i="3" s="1"/>
  <c r="K1125" i="3"/>
  <c r="J1125" i="3"/>
  <c r="C1125" i="3"/>
  <c r="B1125" i="3"/>
  <c r="L1124" i="3"/>
  <c r="M1124" i="3" s="1"/>
  <c r="J1124" i="3"/>
  <c r="K1124" i="3" s="1"/>
  <c r="C1124" i="3"/>
  <c r="B1124" i="3"/>
  <c r="I1124" i="3" s="1"/>
  <c r="L1123" i="3"/>
  <c r="M1123" i="3" s="1"/>
  <c r="J1123" i="3"/>
  <c r="K1123" i="3" s="1"/>
  <c r="C1123" i="3"/>
  <c r="B1123" i="3"/>
  <c r="L1122" i="3"/>
  <c r="M1122" i="3" s="1"/>
  <c r="J1122" i="3"/>
  <c r="K1122" i="3" s="1"/>
  <c r="C1122" i="3"/>
  <c r="B1122" i="3"/>
  <c r="L1121" i="3"/>
  <c r="M1121" i="3" s="1"/>
  <c r="J1121" i="3"/>
  <c r="K1121" i="3" s="1"/>
  <c r="C1121" i="3"/>
  <c r="B1121" i="3"/>
  <c r="L1120" i="3"/>
  <c r="M1120" i="3" s="1"/>
  <c r="J1120" i="3"/>
  <c r="K1120" i="3" s="1"/>
  <c r="C1120" i="3"/>
  <c r="B1120" i="3"/>
  <c r="L1119" i="3"/>
  <c r="M1119" i="3" s="1"/>
  <c r="J1119" i="3"/>
  <c r="K1119" i="3" s="1"/>
  <c r="C1119" i="3"/>
  <c r="B1119" i="3"/>
  <c r="L1118" i="3"/>
  <c r="M1118" i="3" s="1"/>
  <c r="J1118" i="3"/>
  <c r="K1118" i="3" s="1"/>
  <c r="C1118" i="3"/>
  <c r="B1118" i="3"/>
  <c r="L1117" i="3"/>
  <c r="M1117" i="3" s="1"/>
  <c r="J1117" i="3"/>
  <c r="K1117" i="3" s="1"/>
  <c r="C1117" i="3"/>
  <c r="B1117" i="3"/>
  <c r="L1116" i="3"/>
  <c r="M1116" i="3" s="1"/>
  <c r="J1116" i="3"/>
  <c r="K1116" i="3" s="1"/>
  <c r="C1116" i="3"/>
  <c r="B1116" i="3"/>
  <c r="I1116" i="3" s="1"/>
  <c r="L1115" i="3"/>
  <c r="M1115" i="3" s="1"/>
  <c r="J1115" i="3"/>
  <c r="K1115" i="3" s="1"/>
  <c r="C1115" i="3"/>
  <c r="B1115" i="3"/>
  <c r="L1114" i="3"/>
  <c r="M1114" i="3" s="1"/>
  <c r="J1114" i="3"/>
  <c r="K1114" i="3" s="1"/>
  <c r="C1114" i="3"/>
  <c r="B1114" i="3"/>
  <c r="L1113" i="3"/>
  <c r="M1113" i="3" s="1"/>
  <c r="J1113" i="3"/>
  <c r="K1113" i="3" s="1"/>
  <c r="C1113" i="3"/>
  <c r="B1113" i="3"/>
  <c r="I1113" i="3" s="1"/>
  <c r="L1112" i="3"/>
  <c r="M1112" i="3" s="1"/>
  <c r="J1112" i="3"/>
  <c r="K1112" i="3" s="1"/>
  <c r="C1112" i="3"/>
  <c r="B1112" i="3"/>
  <c r="L1111" i="3"/>
  <c r="M1111" i="3" s="1"/>
  <c r="J1111" i="3"/>
  <c r="K1111" i="3" s="1"/>
  <c r="C1111" i="3"/>
  <c r="B1111" i="3"/>
  <c r="L1110" i="3"/>
  <c r="M1110" i="3" s="1"/>
  <c r="J1110" i="3"/>
  <c r="K1110" i="3" s="1"/>
  <c r="C1110" i="3"/>
  <c r="B1110" i="3"/>
  <c r="L1109" i="3"/>
  <c r="M1109" i="3" s="1"/>
  <c r="J1109" i="3"/>
  <c r="K1109" i="3" s="1"/>
  <c r="C1109" i="3"/>
  <c r="B1109" i="3"/>
  <c r="I1109" i="3" s="1"/>
  <c r="L1108" i="3"/>
  <c r="M1108" i="3" s="1"/>
  <c r="J1108" i="3"/>
  <c r="K1108" i="3" s="1"/>
  <c r="C1108" i="3"/>
  <c r="B1108" i="3"/>
  <c r="L1107" i="3"/>
  <c r="M1107" i="3" s="1"/>
  <c r="J1107" i="3"/>
  <c r="K1107" i="3" s="1"/>
  <c r="C1107" i="3"/>
  <c r="B1107" i="3"/>
  <c r="I1107" i="3" s="1"/>
  <c r="L1106" i="3"/>
  <c r="M1106" i="3" s="1"/>
  <c r="J1106" i="3"/>
  <c r="K1106" i="3" s="1"/>
  <c r="C1106" i="3"/>
  <c r="B1106" i="3"/>
  <c r="L1105" i="3"/>
  <c r="M1105" i="3" s="1"/>
  <c r="J1105" i="3"/>
  <c r="K1105" i="3" s="1"/>
  <c r="C1105" i="3"/>
  <c r="B1105" i="3"/>
  <c r="L1104" i="3"/>
  <c r="M1104" i="3" s="1"/>
  <c r="J1104" i="3"/>
  <c r="K1104" i="3" s="1"/>
  <c r="C1104" i="3"/>
  <c r="B1104" i="3"/>
  <c r="L1103" i="3"/>
  <c r="M1103" i="3" s="1"/>
  <c r="J1103" i="3"/>
  <c r="K1103" i="3" s="1"/>
  <c r="C1103" i="3"/>
  <c r="B1103" i="3"/>
  <c r="I1103" i="3" s="1"/>
  <c r="L1102" i="3"/>
  <c r="M1102" i="3" s="1"/>
  <c r="J1102" i="3"/>
  <c r="K1102" i="3" s="1"/>
  <c r="C1102" i="3"/>
  <c r="B1102" i="3"/>
  <c r="L1101" i="3"/>
  <c r="M1101" i="3" s="1"/>
  <c r="J1101" i="3"/>
  <c r="K1101" i="3" s="1"/>
  <c r="C1101" i="3"/>
  <c r="B1101" i="3"/>
  <c r="L1100" i="3"/>
  <c r="M1100" i="3" s="1"/>
  <c r="J1100" i="3"/>
  <c r="K1100" i="3" s="1"/>
  <c r="C1100" i="3"/>
  <c r="B1100" i="3"/>
  <c r="L1099" i="3"/>
  <c r="M1099" i="3" s="1"/>
  <c r="J1099" i="3"/>
  <c r="K1099" i="3" s="1"/>
  <c r="C1099" i="3"/>
  <c r="B1099" i="3"/>
  <c r="L1098" i="3"/>
  <c r="M1098" i="3" s="1"/>
  <c r="J1098" i="3"/>
  <c r="K1098" i="3" s="1"/>
  <c r="C1098" i="3"/>
  <c r="B1098" i="3"/>
  <c r="L1097" i="3"/>
  <c r="M1097" i="3" s="1"/>
  <c r="J1097" i="3"/>
  <c r="K1097" i="3" s="1"/>
  <c r="C1097" i="3"/>
  <c r="B1097" i="3"/>
  <c r="I1097" i="3" s="1"/>
  <c r="L1096" i="3"/>
  <c r="M1096" i="3" s="1"/>
  <c r="J1096" i="3"/>
  <c r="K1096" i="3" s="1"/>
  <c r="C1096" i="3"/>
  <c r="B1096" i="3"/>
  <c r="L1095" i="3"/>
  <c r="M1095" i="3" s="1"/>
  <c r="J1095" i="3"/>
  <c r="K1095" i="3" s="1"/>
  <c r="C1095" i="3"/>
  <c r="B1095" i="3"/>
  <c r="L1094" i="3"/>
  <c r="M1094" i="3" s="1"/>
  <c r="J1094" i="3"/>
  <c r="K1094" i="3" s="1"/>
  <c r="C1094" i="3"/>
  <c r="B1094" i="3"/>
  <c r="L1093" i="3"/>
  <c r="M1093" i="3" s="1"/>
  <c r="J1093" i="3"/>
  <c r="K1093" i="3" s="1"/>
  <c r="C1093" i="3"/>
  <c r="B1093" i="3"/>
  <c r="L1092" i="3"/>
  <c r="M1092" i="3" s="1"/>
  <c r="J1092" i="3"/>
  <c r="K1092" i="3" s="1"/>
  <c r="C1092" i="3"/>
  <c r="B1092" i="3"/>
  <c r="L1091" i="3"/>
  <c r="M1091" i="3" s="1"/>
  <c r="J1091" i="3"/>
  <c r="K1091" i="3" s="1"/>
  <c r="C1091" i="3"/>
  <c r="B1091" i="3"/>
  <c r="L1090" i="3"/>
  <c r="M1090" i="3" s="1"/>
  <c r="J1090" i="3"/>
  <c r="K1090" i="3" s="1"/>
  <c r="C1090" i="3"/>
  <c r="B1090" i="3"/>
  <c r="L1089" i="3"/>
  <c r="M1089" i="3" s="1"/>
  <c r="J1089" i="3"/>
  <c r="K1089" i="3" s="1"/>
  <c r="C1089" i="3"/>
  <c r="B1089" i="3"/>
  <c r="L1088" i="3"/>
  <c r="M1088" i="3" s="1"/>
  <c r="J1088" i="3"/>
  <c r="K1088" i="3" s="1"/>
  <c r="C1088" i="3"/>
  <c r="B1088" i="3"/>
  <c r="L1087" i="3"/>
  <c r="M1087" i="3" s="1"/>
  <c r="J1087" i="3"/>
  <c r="K1087" i="3" s="1"/>
  <c r="C1087" i="3"/>
  <c r="B1087" i="3"/>
  <c r="L1086" i="3"/>
  <c r="M1086" i="3" s="1"/>
  <c r="J1086" i="3"/>
  <c r="K1086" i="3" s="1"/>
  <c r="C1086" i="3"/>
  <c r="B1086" i="3"/>
  <c r="L1085" i="3"/>
  <c r="M1085" i="3" s="1"/>
  <c r="J1085" i="3"/>
  <c r="K1085" i="3" s="1"/>
  <c r="C1085" i="3"/>
  <c r="B1085" i="3"/>
  <c r="L1084" i="3"/>
  <c r="M1084" i="3" s="1"/>
  <c r="J1084" i="3"/>
  <c r="K1084" i="3" s="1"/>
  <c r="C1084" i="3"/>
  <c r="B1084" i="3"/>
  <c r="L1083" i="3"/>
  <c r="M1083" i="3" s="1"/>
  <c r="J1083" i="3"/>
  <c r="K1083" i="3" s="1"/>
  <c r="C1083" i="3"/>
  <c r="B1083" i="3"/>
  <c r="L1082" i="3"/>
  <c r="M1082" i="3" s="1"/>
  <c r="J1082" i="3"/>
  <c r="K1082" i="3" s="1"/>
  <c r="C1082" i="3"/>
  <c r="B1082" i="3"/>
  <c r="L1081" i="3"/>
  <c r="M1081" i="3" s="1"/>
  <c r="J1081" i="3"/>
  <c r="K1081" i="3" s="1"/>
  <c r="C1081" i="3"/>
  <c r="B1081" i="3"/>
  <c r="L1080" i="3"/>
  <c r="M1080" i="3" s="1"/>
  <c r="J1080" i="3"/>
  <c r="K1080" i="3" s="1"/>
  <c r="C1080" i="3"/>
  <c r="B1080" i="3"/>
  <c r="L1079" i="3"/>
  <c r="M1079" i="3" s="1"/>
  <c r="J1079" i="3"/>
  <c r="K1079" i="3" s="1"/>
  <c r="C1079" i="3"/>
  <c r="B1079" i="3"/>
  <c r="L1078" i="3"/>
  <c r="M1078" i="3" s="1"/>
  <c r="J1078" i="3"/>
  <c r="K1078" i="3" s="1"/>
  <c r="C1078" i="3"/>
  <c r="B1078" i="3"/>
  <c r="L1077" i="3"/>
  <c r="M1077" i="3" s="1"/>
  <c r="J1077" i="3"/>
  <c r="K1077" i="3" s="1"/>
  <c r="C1077" i="3"/>
  <c r="B1077" i="3"/>
  <c r="L1076" i="3"/>
  <c r="M1076" i="3" s="1"/>
  <c r="J1076" i="3"/>
  <c r="K1076" i="3" s="1"/>
  <c r="C1076" i="3"/>
  <c r="B1076" i="3"/>
  <c r="L1075" i="3"/>
  <c r="M1075" i="3" s="1"/>
  <c r="J1075" i="3"/>
  <c r="K1075" i="3" s="1"/>
  <c r="C1075" i="3"/>
  <c r="B1075" i="3"/>
  <c r="L1074" i="3"/>
  <c r="M1074" i="3" s="1"/>
  <c r="J1074" i="3"/>
  <c r="K1074" i="3" s="1"/>
  <c r="C1074" i="3"/>
  <c r="B1074" i="3"/>
  <c r="L1073" i="3"/>
  <c r="M1073" i="3" s="1"/>
  <c r="J1073" i="3"/>
  <c r="K1073" i="3" s="1"/>
  <c r="C1073" i="3"/>
  <c r="B1073" i="3"/>
  <c r="L1072" i="3"/>
  <c r="M1072" i="3" s="1"/>
  <c r="J1072" i="3"/>
  <c r="K1072" i="3" s="1"/>
  <c r="C1072" i="3"/>
  <c r="B1072" i="3"/>
  <c r="L1071" i="3"/>
  <c r="M1071" i="3" s="1"/>
  <c r="J1071" i="3"/>
  <c r="K1071" i="3" s="1"/>
  <c r="C1071" i="3"/>
  <c r="B1071" i="3"/>
  <c r="L1070" i="3"/>
  <c r="M1070" i="3" s="1"/>
  <c r="J1070" i="3"/>
  <c r="K1070" i="3" s="1"/>
  <c r="C1070" i="3"/>
  <c r="B1070" i="3"/>
  <c r="L1069" i="3"/>
  <c r="M1069" i="3" s="1"/>
  <c r="J1069" i="3"/>
  <c r="K1069" i="3" s="1"/>
  <c r="C1069" i="3"/>
  <c r="B1069" i="3"/>
  <c r="L1068" i="3"/>
  <c r="M1068" i="3" s="1"/>
  <c r="J1068" i="3"/>
  <c r="K1068" i="3" s="1"/>
  <c r="C1068" i="3"/>
  <c r="B1068" i="3"/>
  <c r="L1067" i="3"/>
  <c r="M1067" i="3" s="1"/>
  <c r="J1067" i="3"/>
  <c r="K1067" i="3" s="1"/>
  <c r="C1067" i="3"/>
  <c r="B1067" i="3"/>
  <c r="L1066" i="3"/>
  <c r="M1066" i="3" s="1"/>
  <c r="J1066" i="3"/>
  <c r="K1066" i="3" s="1"/>
  <c r="C1066" i="3"/>
  <c r="B1066" i="3"/>
  <c r="L1065" i="3"/>
  <c r="M1065" i="3" s="1"/>
  <c r="J1065" i="3"/>
  <c r="K1065" i="3" s="1"/>
  <c r="C1065" i="3"/>
  <c r="B1065" i="3"/>
  <c r="I1065" i="3" s="1"/>
  <c r="L1064" i="3"/>
  <c r="M1064" i="3" s="1"/>
  <c r="J1064" i="3"/>
  <c r="K1064" i="3" s="1"/>
  <c r="C1064" i="3"/>
  <c r="B1064" i="3"/>
  <c r="L1063" i="3"/>
  <c r="M1063" i="3" s="1"/>
  <c r="J1063" i="3"/>
  <c r="K1063" i="3" s="1"/>
  <c r="C1063" i="3"/>
  <c r="B1063" i="3"/>
  <c r="L1062" i="3"/>
  <c r="M1062" i="3" s="1"/>
  <c r="J1062" i="3"/>
  <c r="K1062" i="3" s="1"/>
  <c r="C1062" i="3"/>
  <c r="B1062" i="3"/>
  <c r="L1061" i="3"/>
  <c r="M1061" i="3" s="1"/>
  <c r="J1061" i="3"/>
  <c r="K1061" i="3" s="1"/>
  <c r="C1061" i="3"/>
  <c r="B1061" i="3"/>
  <c r="L1060" i="3"/>
  <c r="M1060" i="3" s="1"/>
  <c r="J1060" i="3"/>
  <c r="K1060" i="3" s="1"/>
  <c r="C1060" i="3"/>
  <c r="B1060" i="3"/>
  <c r="L1059" i="3"/>
  <c r="M1059" i="3" s="1"/>
  <c r="J1059" i="3"/>
  <c r="K1059" i="3" s="1"/>
  <c r="C1059" i="3"/>
  <c r="I1059" i="3" s="1"/>
  <c r="B1059" i="3"/>
  <c r="L1058" i="3"/>
  <c r="M1058" i="3" s="1"/>
  <c r="J1058" i="3"/>
  <c r="K1058" i="3" s="1"/>
  <c r="C1058" i="3"/>
  <c r="B1058" i="3"/>
  <c r="L1057" i="3"/>
  <c r="M1057" i="3" s="1"/>
  <c r="J1057" i="3"/>
  <c r="K1057" i="3" s="1"/>
  <c r="C1057" i="3"/>
  <c r="B1057" i="3"/>
  <c r="L1056" i="3"/>
  <c r="M1056" i="3" s="1"/>
  <c r="J1056" i="3"/>
  <c r="K1056" i="3" s="1"/>
  <c r="C1056" i="3"/>
  <c r="B1056" i="3"/>
  <c r="L1055" i="3"/>
  <c r="M1055" i="3" s="1"/>
  <c r="J1055" i="3"/>
  <c r="K1055" i="3" s="1"/>
  <c r="C1055" i="3"/>
  <c r="B1055" i="3"/>
  <c r="L1054" i="3"/>
  <c r="M1054" i="3" s="1"/>
  <c r="J1054" i="3"/>
  <c r="K1054" i="3" s="1"/>
  <c r="C1054" i="3"/>
  <c r="B1054" i="3"/>
  <c r="L1053" i="3"/>
  <c r="M1053" i="3" s="1"/>
  <c r="J1053" i="3"/>
  <c r="K1053" i="3" s="1"/>
  <c r="C1053" i="3"/>
  <c r="B1053" i="3"/>
  <c r="L1052" i="3"/>
  <c r="M1052" i="3" s="1"/>
  <c r="J1052" i="3"/>
  <c r="K1052" i="3" s="1"/>
  <c r="C1052" i="3"/>
  <c r="B1052" i="3"/>
  <c r="L1051" i="3"/>
  <c r="M1051" i="3" s="1"/>
  <c r="J1051" i="3"/>
  <c r="K1051" i="3" s="1"/>
  <c r="C1051" i="3"/>
  <c r="B1051" i="3"/>
  <c r="L1050" i="3"/>
  <c r="M1050" i="3" s="1"/>
  <c r="J1050" i="3"/>
  <c r="K1050" i="3" s="1"/>
  <c r="C1050" i="3"/>
  <c r="B1050" i="3"/>
  <c r="L1049" i="3"/>
  <c r="M1049" i="3" s="1"/>
  <c r="J1049" i="3"/>
  <c r="K1049" i="3" s="1"/>
  <c r="C1049" i="3"/>
  <c r="B1049" i="3"/>
  <c r="L1048" i="3"/>
  <c r="M1048" i="3" s="1"/>
  <c r="J1048" i="3"/>
  <c r="K1048" i="3" s="1"/>
  <c r="C1048" i="3"/>
  <c r="B1048" i="3"/>
  <c r="L1047" i="3"/>
  <c r="M1047" i="3" s="1"/>
  <c r="J1047" i="3"/>
  <c r="K1047" i="3" s="1"/>
  <c r="C1047" i="3"/>
  <c r="B1047" i="3"/>
  <c r="L1046" i="3"/>
  <c r="M1046" i="3" s="1"/>
  <c r="J1046" i="3"/>
  <c r="K1046" i="3" s="1"/>
  <c r="C1046" i="3"/>
  <c r="B1046" i="3"/>
  <c r="L1045" i="3"/>
  <c r="M1045" i="3" s="1"/>
  <c r="J1045" i="3"/>
  <c r="K1045" i="3" s="1"/>
  <c r="C1045" i="3"/>
  <c r="B1045" i="3"/>
  <c r="L1044" i="3"/>
  <c r="M1044" i="3" s="1"/>
  <c r="J1044" i="3"/>
  <c r="K1044" i="3" s="1"/>
  <c r="C1044" i="3"/>
  <c r="B1044" i="3"/>
  <c r="L1043" i="3"/>
  <c r="M1043" i="3" s="1"/>
  <c r="J1043" i="3"/>
  <c r="K1043" i="3" s="1"/>
  <c r="C1043" i="3"/>
  <c r="B1043" i="3"/>
  <c r="L1042" i="3"/>
  <c r="M1042" i="3" s="1"/>
  <c r="J1042" i="3"/>
  <c r="K1042" i="3" s="1"/>
  <c r="C1042" i="3"/>
  <c r="B1042" i="3"/>
  <c r="L1041" i="3"/>
  <c r="M1041" i="3" s="1"/>
  <c r="J1041" i="3"/>
  <c r="K1041" i="3" s="1"/>
  <c r="C1041" i="3"/>
  <c r="B1041" i="3"/>
  <c r="L1040" i="3"/>
  <c r="M1040" i="3" s="1"/>
  <c r="J1040" i="3"/>
  <c r="K1040" i="3" s="1"/>
  <c r="C1040" i="3"/>
  <c r="B1040" i="3"/>
  <c r="L1039" i="3"/>
  <c r="M1039" i="3" s="1"/>
  <c r="J1039" i="3"/>
  <c r="K1039" i="3" s="1"/>
  <c r="C1039" i="3"/>
  <c r="B1039" i="3"/>
  <c r="L1038" i="3"/>
  <c r="M1038" i="3" s="1"/>
  <c r="J1038" i="3"/>
  <c r="K1038" i="3" s="1"/>
  <c r="C1038" i="3"/>
  <c r="B1038" i="3"/>
  <c r="L1037" i="3"/>
  <c r="M1037" i="3" s="1"/>
  <c r="J1037" i="3"/>
  <c r="K1037" i="3" s="1"/>
  <c r="C1037" i="3"/>
  <c r="B1037" i="3"/>
  <c r="L1036" i="3"/>
  <c r="M1036" i="3" s="1"/>
  <c r="J1036" i="3"/>
  <c r="K1036" i="3" s="1"/>
  <c r="C1036" i="3"/>
  <c r="B1036" i="3"/>
  <c r="L1035" i="3"/>
  <c r="M1035" i="3" s="1"/>
  <c r="J1035" i="3"/>
  <c r="K1035" i="3" s="1"/>
  <c r="C1035" i="3"/>
  <c r="B1035" i="3"/>
  <c r="L1034" i="3"/>
  <c r="M1034" i="3" s="1"/>
  <c r="J1034" i="3"/>
  <c r="K1034" i="3" s="1"/>
  <c r="C1034" i="3"/>
  <c r="B1034" i="3"/>
  <c r="L1033" i="3"/>
  <c r="M1033" i="3" s="1"/>
  <c r="J1033" i="3"/>
  <c r="K1033" i="3" s="1"/>
  <c r="C1033" i="3"/>
  <c r="B1033" i="3"/>
  <c r="M1032" i="3"/>
  <c r="L1032" i="3"/>
  <c r="J1032" i="3"/>
  <c r="K1032" i="3" s="1"/>
  <c r="C1032" i="3"/>
  <c r="B1032" i="3"/>
  <c r="L1031" i="3"/>
  <c r="M1031" i="3" s="1"/>
  <c r="J1031" i="3"/>
  <c r="K1031" i="3" s="1"/>
  <c r="C1031" i="3"/>
  <c r="B1031" i="3"/>
  <c r="L1030" i="3"/>
  <c r="M1030" i="3" s="1"/>
  <c r="J1030" i="3"/>
  <c r="K1030" i="3" s="1"/>
  <c r="C1030" i="3"/>
  <c r="B1030" i="3"/>
  <c r="L1029" i="3"/>
  <c r="M1029" i="3" s="1"/>
  <c r="J1029" i="3"/>
  <c r="K1029" i="3" s="1"/>
  <c r="C1029" i="3"/>
  <c r="B1029" i="3"/>
  <c r="L1028" i="3"/>
  <c r="M1028" i="3" s="1"/>
  <c r="J1028" i="3"/>
  <c r="K1028" i="3" s="1"/>
  <c r="C1028" i="3"/>
  <c r="B1028" i="3"/>
  <c r="L1027" i="3"/>
  <c r="M1027" i="3" s="1"/>
  <c r="J1027" i="3"/>
  <c r="K1027" i="3" s="1"/>
  <c r="C1027" i="3"/>
  <c r="B1027" i="3"/>
  <c r="L1026" i="3"/>
  <c r="M1026" i="3" s="1"/>
  <c r="J1026" i="3"/>
  <c r="K1026" i="3" s="1"/>
  <c r="C1026" i="3"/>
  <c r="B1026" i="3"/>
  <c r="L1025" i="3"/>
  <c r="M1025" i="3" s="1"/>
  <c r="J1025" i="3"/>
  <c r="K1025" i="3" s="1"/>
  <c r="C1025" i="3"/>
  <c r="B1025" i="3"/>
  <c r="L1024" i="3"/>
  <c r="M1024" i="3" s="1"/>
  <c r="J1024" i="3"/>
  <c r="K1024" i="3" s="1"/>
  <c r="C1024" i="3"/>
  <c r="B1024" i="3"/>
  <c r="L1023" i="3"/>
  <c r="M1023" i="3" s="1"/>
  <c r="J1023" i="3"/>
  <c r="K1023" i="3" s="1"/>
  <c r="C1023" i="3"/>
  <c r="B1023" i="3"/>
  <c r="L1022" i="3"/>
  <c r="M1022" i="3" s="1"/>
  <c r="K1022" i="3"/>
  <c r="J1022" i="3"/>
  <c r="C1022" i="3"/>
  <c r="B1022" i="3"/>
  <c r="L1021" i="3"/>
  <c r="M1021" i="3" s="1"/>
  <c r="J1021" i="3"/>
  <c r="K1021" i="3" s="1"/>
  <c r="C1021" i="3"/>
  <c r="B1021" i="3"/>
  <c r="L1020" i="3"/>
  <c r="M1020" i="3" s="1"/>
  <c r="J1020" i="3"/>
  <c r="K1020" i="3" s="1"/>
  <c r="C1020" i="3"/>
  <c r="B1020" i="3"/>
  <c r="L1019" i="3"/>
  <c r="M1019" i="3" s="1"/>
  <c r="J1019" i="3"/>
  <c r="K1019" i="3" s="1"/>
  <c r="C1019" i="3"/>
  <c r="B1019" i="3"/>
  <c r="L1018" i="3"/>
  <c r="M1018" i="3" s="1"/>
  <c r="J1018" i="3"/>
  <c r="K1018" i="3" s="1"/>
  <c r="C1018" i="3"/>
  <c r="B1018" i="3"/>
  <c r="L1017" i="3"/>
  <c r="M1017" i="3" s="1"/>
  <c r="J1017" i="3"/>
  <c r="K1017" i="3" s="1"/>
  <c r="C1017" i="3"/>
  <c r="B1017" i="3"/>
  <c r="L1016" i="3"/>
  <c r="M1016" i="3" s="1"/>
  <c r="J1016" i="3"/>
  <c r="K1016" i="3" s="1"/>
  <c r="C1016" i="3"/>
  <c r="B1016" i="3"/>
  <c r="L1015" i="3"/>
  <c r="M1015" i="3" s="1"/>
  <c r="J1015" i="3"/>
  <c r="K1015" i="3" s="1"/>
  <c r="C1015" i="3"/>
  <c r="B1015" i="3"/>
  <c r="L1014" i="3"/>
  <c r="M1014" i="3" s="1"/>
  <c r="J1014" i="3"/>
  <c r="K1014" i="3" s="1"/>
  <c r="C1014" i="3"/>
  <c r="B1014" i="3"/>
  <c r="L1013" i="3"/>
  <c r="M1013" i="3" s="1"/>
  <c r="J1013" i="3"/>
  <c r="K1013" i="3" s="1"/>
  <c r="C1013" i="3"/>
  <c r="B1013" i="3"/>
  <c r="L1012" i="3"/>
  <c r="M1012" i="3" s="1"/>
  <c r="J1012" i="3"/>
  <c r="K1012" i="3" s="1"/>
  <c r="C1012" i="3"/>
  <c r="B1012" i="3"/>
  <c r="L1011" i="3"/>
  <c r="M1011" i="3" s="1"/>
  <c r="J1011" i="3"/>
  <c r="K1011" i="3" s="1"/>
  <c r="C1011" i="3"/>
  <c r="B1011" i="3"/>
  <c r="L1010" i="3"/>
  <c r="M1010" i="3" s="1"/>
  <c r="J1010" i="3"/>
  <c r="K1010" i="3" s="1"/>
  <c r="C1010" i="3"/>
  <c r="B1010" i="3"/>
  <c r="L1009" i="3"/>
  <c r="M1009" i="3" s="1"/>
  <c r="J1009" i="3"/>
  <c r="K1009" i="3" s="1"/>
  <c r="C1009" i="3"/>
  <c r="B1009" i="3"/>
  <c r="L1008" i="3"/>
  <c r="M1008" i="3" s="1"/>
  <c r="J1008" i="3"/>
  <c r="K1008" i="3" s="1"/>
  <c r="C1008" i="3"/>
  <c r="B1008" i="3"/>
  <c r="L1007" i="3"/>
  <c r="M1007" i="3" s="1"/>
  <c r="J1007" i="3"/>
  <c r="K1007" i="3" s="1"/>
  <c r="C1007" i="3"/>
  <c r="B1007" i="3"/>
  <c r="L1006" i="3"/>
  <c r="M1006" i="3" s="1"/>
  <c r="J1006" i="3"/>
  <c r="K1006" i="3" s="1"/>
  <c r="C1006" i="3"/>
  <c r="B1006" i="3"/>
  <c r="L1005" i="3"/>
  <c r="M1005" i="3" s="1"/>
  <c r="J1005" i="3"/>
  <c r="K1005" i="3" s="1"/>
  <c r="C1005" i="3"/>
  <c r="B1005" i="3"/>
  <c r="L1004" i="3"/>
  <c r="M1004" i="3" s="1"/>
  <c r="J1004" i="3"/>
  <c r="K1004" i="3" s="1"/>
  <c r="C1004" i="3"/>
  <c r="B1004" i="3"/>
  <c r="L1003" i="3"/>
  <c r="M1003" i="3" s="1"/>
  <c r="J1003" i="3"/>
  <c r="K1003" i="3" s="1"/>
  <c r="C1003" i="3"/>
  <c r="B1003" i="3"/>
  <c r="L1002" i="3"/>
  <c r="M1002" i="3" s="1"/>
  <c r="J1002" i="3"/>
  <c r="K1002" i="3" s="1"/>
  <c r="C1002" i="3"/>
  <c r="B1002" i="3"/>
  <c r="L1001" i="3"/>
  <c r="M1001" i="3" s="1"/>
  <c r="J1001" i="3"/>
  <c r="K1001" i="3" s="1"/>
  <c r="C1001" i="3"/>
  <c r="B1001" i="3"/>
  <c r="L1000" i="3"/>
  <c r="M1000" i="3" s="1"/>
  <c r="J1000" i="3"/>
  <c r="K1000" i="3" s="1"/>
  <c r="I1000" i="3"/>
  <c r="C1000" i="3"/>
  <c r="B1000" i="3"/>
  <c r="L999" i="3"/>
  <c r="M999" i="3" s="1"/>
  <c r="J999" i="3"/>
  <c r="K999" i="3" s="1"/>
  <c r="C999" i="3"/>
  <c r="B999" i="3"/>
  <c r="L998" i="3"/>
  <c r="M998" i="3" s="1"/>
  <c r="K998" i="3"/>
  <c r="J998" i="3"/>
  <c r="C998" i="3"/>
  <c r="B998" i="3"/>
  <c r="L997" i="3"/>
  <c r="M997" i="3" s="1"/>
  <c r="J997" i="3"/>
  <c r="K997" i="3" s="1"/>
  <c r="C997" i="3"/>
  <c r="B997" i="3"/>
  <c r="L996" i="3"/>
  <c r="M996" i="3" s="1"/>
  <c r="J996" i="3"/>
  <c r="K996" i="3" s="1"/>
  <c r="C996" i="3"/>
  <c r="B996" i="3"/>
  <c r="L995" i="3"/>
  <c r="M995" i="3" s="1"/>
  <c r="J995" i="3"/>
  <c r="K995" i="3" s="1"/>
  <c r="C995" i="3"/>
  <c r="B995" i="3"/>
  <c r="L994" i="3"/>
  <c r="M994" i="3" s="1"/>
  <c r="J994" i="3"/>
  <c r="K994" i="3" s="1"/>
  <c r="C994" i="3"/>
  <c r="B994" i="3"/>
  <c r="L993" i="3"/>
  <c r="M993" i="3" s="1"/>
  <c r="J993" i="3"/>
  <c r="K993" i="3" s="1"/>
  <c r="C993" i="3"/>
  <c r="B993" i="3"/>
  <c r="L992" i="3"/>
  <c r="M992" i="3" s="1"/>
  <c r="J992" i="3"/>
  <c r="K992" i="3" s="1"/>
  <c r="C992" i="3"/>
  <c r="B992" i="3"/>
  <c r="L991" i="3"/>
  <c r="M991" i="3" s="1"/>
  <c r="J991" i="3"/>
  <c r="K991" i="3" s="1"/>
  <c r="C991" i="3"/>
  <c r="B991" i="3"/>
  <c r="L990" i="3"/>
  <c r="M990" i="3" s="1"/>
  <c r="J990" i="3"/>
  <c r="K990" i="3" s="1"/>
  <c r="C990" i="3"/>
  <c r="B990" i="3"/>
  <c r="L989" i="3"/>
  <c r="M989" i="3" s="1"/>
  <c r="J989" i="3"/>
  <c r="K989" i="3" s="1"/>
  <c r="C989" i="3"/>
  <c r="B989" i="3"/>
  <c r="L988" i="3"/>
  <c r="M988" i="3" s="1"/>
  <c r="J988" i="3"/>
  <c r="K988" i="3" s="1"/>
  <c r="C988" i="3"/>
  <c r="B988" i="3"/>
  <c r="L987" i="3"/>
  <c r="M987" i="3" s="1"/>
  <c r="J987" i="3"/>
  <c r="K987" i="3" s="1"/>
  <c r="C987" i="3"/>
  <c r="B987" i="3"/>
  <c r="M986" i="3"/>
  <c r="L986" i="3"/>
  <c r="J986" i="3"/>
  <c r="K986" i="3" s="1"/>
  <c r="C986" i="3"/>
  <c r="B986" i="3"/>
  <c r="L985" i="3"/>
  <c r="M985" i="3" s="1"/>
  <c r="J985" i="3"/>
  <c r="K985" i="3" s="1"/>
  <c r="C985" i="3"/>
  <c r="B985" i="3"/>
  <c r="L984" i="3"/>
  <c r="M984" i="3" s="1"/>
  <c r="J984" i="3"/>
  <c r="K984" i="3" s="1"/>
  <c r="C984" i="3"/>
  <c r="B984" i="3"/>
  <c r="L983" i="3"/>
  <c r="M983" i="3" s="1"/>
  <c r="J983" i="3"/>
  <c r="K983" i="3" s="1"/>
  <c r="C983" i="3"/>
  <c r="B983" i="3"/>
  <c r="L982" i="3"/>
  <c r="M982" i="3" s="1"/>
  <c r="J982" i="3"/>
  <c r="K982" i="3" s="1"/>
  <c r="C982" i="3"/>
  <c r="B982" i="3"/>
  <c r="L981" i="3"/>
  <c r="M981" i="3" s="1"/>
  <c r="J981" i="3"/>
  <c r="K981" i="3" s="1"/>
  <c r="C981" i="3"/>
  <c r="B981" i="3"/>
  <c r="L980" i="3"/>
  <c r="M980" i="3" s="1"/>
  <c r="J980" i="3"/>
  <c r="K980" i="3" s="1"/>
  <c r="C980" i="3"/>
  <c r="B980" i="3"/>
  <c r="L979" i="3"/>
  <c r="M979" i="3" s="1"/>
  <c r="J979" i="3"/>
  <c r="K979" i="3" s="1"/>
  <c r="C979" i="3"/>
  <c r="B979" i="3"/>
  <c r="L978" i="3"/>
  <c r="M978" i="3" s="1"/>
  <c r="J978" i="3"/>
  <c r="K978" i="3" s="1"/>
  <c r="C978" i="3"/>
  <c r="B978" i="3"/>
  <c r="L977" i="3"/>
  <c r="M977" i="3" s="1"/>
  <c r="J977" i="3"/>
  <c r="K977" i="3" s="1"/>
  <c r="C977" i="3"/>
  <c r="B977" i="3"/>
  <c r="L976" i="3"/>
  <c r="M976" i="3" s="1"/>
  <c r="K976" i="3"/>
  <c r="J976" i="3"/>
  <c r="C976" i="3"/>
  <c r="B976" i="3"/>
  <c r="L975" i="3"/>
  <c r="M975" i="3" s="1"/>
  <c r="J975" i="3"/>
  <c r="K975" i="3" s="1"/>
  <c r="C975" i="3"/>
  <c r="B975" i="3"/>
  <c r="M974" i="3"/>
  <c r="L974" i="3"/>
  <c r="J974" i="3"/>
  <c r="K974" i="3" s="1"/>
  <c r="C974" i="3"/>
  <c r="B974" i="3"/>
  <c r="L973" i="3"/>
  <c r="M973" i="3" s="1"/>
  <c r="J973" i="3"/>
  <c r="K973" i="3" s="1"/>
  <c r="C973" i="3"/>
  <c r="I973" i="3" s="1"/>
  <c r="B973" i="3"/>
  <c r="L972" i="3"/>
  <c r="M972" i="3" s="1"/>
  <c r="J972" i="3"/>
  <c r="K972" i="3" s="1"/>
  <c r="C972" i="3"/>
  <c r="B972" i="3"/>
  <c r="L971" i="3"/>
  <c r="M971" i="3" s="1"/>
  <c r="J971" i="3"/>
  <c r="K971" i="3" s="1"/>
  <c r="C971" i="3"/>
  <c r="B971" i="3"/>
  <c r="L970" i="3"/>
  <c r="M970" i="3" s="1"/>
  <c r="J970" i="3"/>
  <c r="K970" i="3" s="1"/>
  <c r="C970" i="3"/>
  <c r="B970" i="3"/>
  <c r="L969" i="3"/>
  <c r="M969" i="3" s="1"/>
  <c r="J969" i="3"/>
  <c r="K969" i="3" s="1"/>
  <c r="C969" i="3"/>
  <c r="B969" i="3"/>
  <c r="L968" i="3"/>
  <c r="M968" i="3" s="1"/>
  <c r="J968" i="3"/>
  <c r="K968" i="3" s="1"/>
  <c r="C968" i="3"/>
  <c r="B968" i="3"/>
  <c r="L967" i="3"/>
  <c r="M967" i="3" s="1"/>
  <c r="J967" i="3"/>
  <c r="K967" i="3" s="1"/>
  <c r="C967" i="3"/>
  <c r="B967" i="3"/>
  <c r="L966" i="3"/>
  <c r="M966" i="3" s="1"/>
  <c r="J966" i="3"/>
  <c r="K966" i="3" s="1"/>
  <c r="C966" i="3"/>
  <c r="B966" i="3"/>
  <c r="L965" i="3"/>
  <c r="M965" i="3" s="1"/>
  <c r="J965" i="3"/>
  <c r="K965" i="3" s="1"/>
  <c r="C965" i="3"/>
  <c r="B965" i="3"/>
  <c r="L964" i="3"/>
  <c r="M964" i="3" s="1"/>
  <c r="J964" i="3"/>
  <c r="K964" i="3" s="1"/>
  <c r="C964" i="3"/>
  <c r="B964" i="3"/>
  <c r="L963" i="3"/>
  <c r="M963" i="3" s="1"/>
  <c r="J963" i="3"/>
  <c r="K963" i="3" s="1"/>
  <c r="C963" i="3"/>
  <c r="B963" i="3"/>
  <c r="L962" i="3"/>
  <c r="M962" i="3" s="1"/>
  <c r="J962" i="3"/>
  <c r="K962" i="3" s="1"/>
  <c r="C962" i="3"/>
  <c r="B962" i="3"/>
  <c r="L961" i="3"/>
  <c r="M961" i="3" s="1"/>
  <c r="J961" i="3"/>
  <c r="K961" i="3" s="1"/>
  <c r="I961" i="3"/>
  <c r="C961" i="3"/>
  <c r="B961" i="3"/>
  <c r="L960" i="3"/>
  <c r="M960" i="3" s="1"/>
  <c r="J960" i="3"/>
  <c r="K960" i="3" s="1"/>
  <c r="C960" i="3"/>
  <c r="B960" i="3"/>
  <c r="L959" i="3"/>
  <c r="M959" i="3" s="1"/>
  <c r="J959" i="3"/>
  <c r="K959" i="3" s="1"/>
  <c r="C959" i="3"/>
  <c r="B959" i="3"/>
  <c r="L958" i="3"/>
  <c r="M958" i="3" s="1"/>
  <c r="J958" i="3"/>
  <c r="K958" i="3" s="1"/>
  <c r="C958" i="3"/>
  <c r="B958" i="3"/>
  <c r="L957" i="3"/>
  <c r="M957" i="3" s="1"/>
  <c r="J957" i="3"/>
  <c r="K957" i="3" s="1"/>
  <c r="C957" i="3"/>
  <c r="B957" i="3"/>
  <c r="L956" i="3"/>
  <c r="M956" i="3" s="1"/>
  <c r="J956" i="3"/>
  <c r="K956" i="3" s="1"/>
  <c r="C956" i="3"/>
  <c r="B956" i="3"/>
  <c r="L955" i="3"/>
  <c r="M955" i="3" s="1"/>
  <c r="J955" i="3"/>
  <c r="K955" i="3" s="1"/>
  <c r="C955" i="3"/>
  <c r="B955" i="3"/>
  <c r="L954" i="3"/>
  <c r="M954" i="3" s="1"/>
  <c r="J954" i="3"/>
  <c r="K954" i="3" s="1"/>
  <c r="C954" i="3"/>
  <c r="B954" i="3"/>
  <c r="L953" i="3"/>
  <c r="M953" i="3" s="1"/>
  <c r="J953" i="3"/>
  <c r="K953" i="3" s="1"/>
  <c r="C953" i="3"/>
  <c r="B953" i="3"/>
  <c r="M952" i="3"/>
  <c r="L952" i="3"/>
  <c r="J952" i="3"/>
  <c r="K952" i="3" s="1"/>
  <c r="C952" i="3"/>
  <c r="B952" i="3"/>
  <c r="L951" i="3"/>
  <c r="M951" i="3" s="1"/>
  <c r="J951" i="3"/>
  <c r="K951" i="3" s="1"/>
  <c r="C951" i="3"/>
  <c r="B951" i="3"/>
  <c r="L950" i="3"/>
  <c r="M950" i="3" s="1"/>
  <c r="J950" i="3"/>
  <c r="K950" i="3" s="1"/>
  <c r="C950" i="3"/>
  <c r="B950" i="3"/>
  <c r="I950" i="3" s="1"/>
  <c r="L949" i="3"/>
  <c r="M949" i="3" s="1"/>
  <c r="J949" i="3"/>
  <c r="K949" i="3" s="1"/>
  <c r="C949" i="3"/>
  <c r="B949" i="3"/>
  <c r="L948" i="3"/>
  <c r="M948" i="3" s="1"/>
  <c r="J948" i="3"/>
  <c r="K948" i="3" s="1"/>
  <c r="C948" i="3"/>
  <c r="B948" i="3"/>
  <c r="L947" i="3"/>
  <c r="M947" i="3" s="1"/>
  <c r="J947" i="3"/>
  <c r="K947" i="3" s="1"/>
  <c r="C947" i="3"/>
  <c r="B947" i="3"/>
  <c r="L946" i="3"/>
  <c r="M946" i="3" s="1"/>
  <c r="J946" i="3"/>
  <c r="K946" i="3" s="1"/>
  <c r="C946" i="3"/>
  <c r="B946" i="3"/>
  <c r="L945" i="3"/>
  <c r="M945" i="3" s="1"/>
  <c r="J945" i="3"/>
  <c r="K945" i="3" s="1"/>
  <c r="C945" i="3"/>
  <c r="B945" i="3"/>
  <c r="L944" i="3"/>
  <c r="M944" i="3" s="1"/>
  <c r="J944" i="3"/>
  <c r="K944" i="3" s="1"/>
  <c r="C944" i="3"/>
  <c r="B944" i="3"/>
  <c r="L943" i="3"/>
  <c r="M943" i="3" s="1"/>
  <c r="J943" i="3"/>
  <c r="K943" i="3" s="1"/>
  <c r="C943" i="3"/>
  <c r="B943" i="3"/>
  <c r="L942" i="3"/>
  <c r="M942" i="3" s="1"/>
  <c r="J942" i="3"/>
  <c r="K942" i="3" s="1"/>
  <c r="C942" i="3"/>
  <c r="B942" i="3"/>
  <c r="I942" i="3" s="1"/>
  <c r="L941" i="3"/>
  <c r="M941" i="3" s="1"/>
  <c r="J941" i="3"/>
  <c r="K941" i="3" s="1"/>
  <c r="C941" i="3"/>
  <c r="B941" i="3"/>
  <c r="L940" i="3"/>
  <c r="M940" i="3" s="1"/>
  <c r="J940" i="3"/>
  <c r="K940" i="3" s="1"/>
  <c r="C940" i="3"/>
  <c r="B940" i="3"/>
  <c r="I940" i="3" s="1"/>
  <c r="L939" i="3"/>
  <c r="M939" i="3" s="1"/>
  <c r="J939" i="3"/>
  <c r="K939" i="3" s="1"/>
  <c r="C939" i="3"/>
  <c r="B939" i="3"/>
  <c r="L938" i="3"/>
  <c r="M938" i="3" s="1"/>
  <c r="J938" i="3"/>
  <c r="K938" i="3" s="1"/>
  <c r="C938" i="3"/>
  <c r="B938" i="3"/>
  <c r="L937" i="3"/>
  <c r="M937" i="3" s="1"/>
  <c r="J937" i="3"/>
  <c r="K937" i="3" s="1"/>
  <c r="C937" i="3"/>
  <c r="I937" i="3" s="1"/>
  <c r="B937" i="3"/>
  <c r="L936" i="3"/>
  <c r="M936" i="3" s="1"/>
  <c r="J936" i="3"/>
  <c r="K936" i="3" s="1"/>
  <c r="C936" i="3"/>
  <c r="B936" i="3"/>
  <c r="L935" i="3"/>
  <c r="M935" i="3" s="1"/>
  <c r="J935" i="3"/>
  <c r="K935" i="3" s="1"/>
  <c r="C935" i="3"/>
  <c r="B935" i="3"/>
  <c r="L934" i="3"/>
  <c r="M934" i="3" s="1"/>
  <c r="J934" i="3"/>
  <c r="K934" i="3" s="1"/>
  <c r="C934" i="3"/>
  <c r="B934" i="3"/>
  <c r="L933" i="3"/>
  <c r="M933" i="3" s="1"/>
  <c r="J933" i="3"/>
  <c r="K933" i="3" s="1"/>
  <c r="C933" i="3"/>
  <c r="I933" i="3" s="1"/>
  <c r="B933" i="3"/>
  <c r="L932" i="3"/>
  <c r="M932" i="3" s="1"/>
  <c r="J932" i="3"/>
  <c r="K932" i="3" s="1"/>
  <c r="C932" i="3"/>
  <c r="B932" i="3"/>
  <c r="L931" i="3"/>
  <c r="M931" i="3" s="1"/>
  <c r="J931" i="3"/>
  <c r="K931" i="3" s="1"/>
  <c r="C931" i="3"/>
  <c r="B931" i="3"/>
  <c r="L930" i="3"/>
  <c r="M930" i="3" s="1"/>
  <c r="J930" i="3"/>
  <c r="K930" i="3" s="1"/>
  <c r="C930" i="3"/>
  <c r="B930" i="3"/>
  <c r="L929" i="3"/>
  <c r="M929" i="3" s="1"/>
  <c r="J929" i="3"/>
  <c r="K929" i="3" s="1"/>
  <c r="C929" i="3"/>
  <c r="B929" i="3"/>
  <c r="L928" i="3"/>
  <c r="M928" i="3" s="1"/>
  <c r="J928" i="3"/>
  <c r="K928" i="3" s="1"/>
  <c r="C928" i="3"/>
  <c r="B928" i="3"/>
  <c r="L927" i="3"/>
  <c r="M927" i="3" s="1"/>
  <c r="J927" i="3"/>
  <c r="K927" i="3" s="1"/>
  <c r="C927" i="3"/>
  <c r="B927" i="3"/>
  <c r="L926" i="3"/>
  <c r="M926" i="3" s="1"/>
  <c r="J926" i="3"/>
  <c r="K926" i="3" s="1"/>
  <c r="C926" i="3"/>
  <c r="B926" i="3"/>
  <c r="L925" i="3"/>
  <c r="M925" i="3" s="1"/>
  <c r="J925" i="3"/>
  <c r="K925" i="3" s="1"/>
  <c r="C925" i="3"/>
  <c r="B925" i="3"/>
  <c r="L924" i="3"/>
  <c r="M924" i="3" s="1"/>
  <c r="J924" i="3"/>
  <c r="K924" i="3" s="1"/>
  <c r="C924" i="3"/>
  <c r="B924" i="3"/>
  <c r="L923" i="3"/>
  <c r="M923" i="3" s="1"/>
  <c r="J923" i="3"/>
  <c r="K923" i="3" s="1"/>
  <c r="C923" i="3"/>
  <c r="B923" i="3"/>
  <c r="L922" i="3"/>
  <c r="M922" i="3" s="1"/>
  <c r="J922" i="3"/>
  <c r="K922" i="3" s="1"/>
  <c r="C922" i="3"/>
  <c r="B922" i="3"/>
  <c r="L921" i="3"/>
  <c r="M921" i="3" s="1"/>
  <c r="J921" i="3"/>
  <c r="K921" i="3" s="1"/>
  <c r="C921" i="3"/>
  <c r="B921" i="3"/>
  <c r="L920" i="3"/>
  <c r="M920" i="3" s="1"/>
  <c r="K920" i="3"/>
  <c r="J920" i="3"/>
  <c r="C920" i="3"/>
  <c r="B920" i="3"/>
  <c r="L919" i="3"/>
  <c r="M919" i="3" s="1"/>
  <c r="J919" i="3"/>
  <c r="K919" i="3" s="1"/>
  <c r="C919" i="3"/>
  <c r="B919" i="3"/>
  <c r="L918" i="3"/>
  <c r="M918" i="3" s="1"/>
  <c r="J918" i="3"/>
  <c r="K918" i="3" s="1"/>
  <c r="C918" i="3"/>
  <c r="B918" i="3"/>
  <c r="L917" i="3"/>
  <c r="M917" i="3" s="1"/>
  <c r="J917" i="3"/>
  <c r="K917" i="3" s="1"/>
  <c r="C917" i="3"/>
  <c r="B917" i="3"/>
  <c r="L916" i="3"/>
  <c r="M916" i="3" s="1"/>
  <c r="J916" i="3"/>
  <c r="K916" i="3" s="1"/>
  <c r="C916" i="3"/>
  <c r="B916" i="3"/>
  <c r="L915" i="3"/>
  <c r="M915" i="3" s="1"/>
  <c r="J915" i="3"/>
  <c r="K915" i="3" s="1"/>
  <c r="C915" i="3"/>
  <c r="B915" i="3"/>
  <c r="L914" i="3"/>
  <c r="M914" i="3" s="1"/>
  <c r="J914" i="3"/>
  <c r="K914" i="3" s="1"/>
  <c r="C914" i="3"/>
  <c r="B914" i="3"/>
  <c r="L913" i="3"/>
  <c r="M913" i="3" s="1"/>
  <c r="J913" i="3"/>
  <c r="K913" i="3" s="1"/>
  <c r="C913" i="3"/>
  <c r="B913" i="3"/>
  <c r="L912" i="3"/>
  <c r="M912" i="3" s="1"/>
  <c r="J912" i="3"/>
  <c r="K912" i="3" s="1"/>
  <c r="C912" i="3"/>
  <c r="B912" i="3"/>
  <c r="L911" i="3"/>
  <c r="M911" i="3" s="1"/>
  <c r="J911" i="3"/>
  <c r="K911" i="3" s="1"/>
  <c r="C911" i="3"/>
  <c r="B911" i="3"/>
  <c r="I911" i="3" s="1"/>
  <c r="L910" i="3"/>
  <c r="M910" i="3" s="1"/>
  <c r="J910" i="3"/>
  <c r="K910" i="3" s="1"/>
  <c r="C910" i="3"/>
  <c r="B910" i="3"/>
  <c r="L909" i="3"/>
  <c r="M909" i="3" s="1"/>
  <c r="J909" i="3"/>
  <c r="K909" i="3" s="1"/>
  <c r="C909" i="3"/>
  <c r="B909" i="3"/>
  <c r="L908" i="3"/>
  <c r="M908" i="3" s="1"/>
  <c r="J908" i="3"/>
  <c r="K908" i="3" s="1"/>
  <c r="C908" i="3"/>
  <c r="B908" i="3"/>
  <c r="L907" i="3"/>
  <c r="M907" i="3" s="1"/>
  <c r="J907" i="3"/>
  <c r="K907" i="3" s="1"/>
  <c r="C907" i="3"/>
  <c r="B907" i="3"/>
  <c r="L906" i="3"/>
  <c r="M906" i="3" s="1"/>
  <c r="J906" i="3"/>
  <c r="K906" i="3" s="1"/>
  <c r="C906" i="3"/>
  <c r="B906" i="3"/>
  <c r="L905" i="3"/>
  <c r="M905" i="3" s="1"/>
  <c r="J905" i="3"/>
  <c r="K905" i="3" s="1"/>
  <c r="C905" i="3"/>
  <c r="I905" i="3" s="1"/>
  <c r="B905" i="3"/>
  <c r="L904" i="3"/>
  <c r="M904" i="3" s="1"/>
  <c r="J904" i="3"/>
  <c r="K904" i="3" s="1"/>
  <c r="C904" i="3"/>
  <c r="B904" i="3"/>
  <c r="L903" i="3"/>
  <c r="M903" i="3" s="1"/>
  <c r="J903" i="3"/>
  <c r="K903" i="3" s="1"/>
  <c r="C903" i="3"/>
  <c r="B903" i="3"/>
  <c r="L902" i="3"/>
  <c r="M902" i="3" s="1"/>
  <c r="J902" i="3"/>
  <c r="K902" i="3" s="1"/>
  <c r="C902" i="3"/>
  <c r="B902" i="3"/>
  <c r="L901" i="3"/>
  <c r="M901" i="3" s="1"/>
  <c r="J901" i="3"/>
  <c r="K901" i="3" s="1"/>
  <c r="C901" i="3"/>
  <c r="B901" i="3"/>
  <c r="L900" i="3"/>
  <c r="M900" i="3" s="1"/>
  <c r="J900" i="3"/>
  <c r="K900" i="3" s="1"/>
  <c r="C900" i="3"/>
  <c r="B900" i="3"/>
  <c r="L899" i="3"/>
  <c r="M899" i="3" s="1"/>
  <c r="J899" i="3"/>
  <c r="K899" i="3" s="1"/>
  <c r="C899" i="3"/>
  <c r="B899" i="3"/>
  <c r="L898" i="3"/>
  <c r="M898" i="3" s="1"/>
  <c r="J898" i="3"/>
  <c r="K898" i="3" s="1"/>
  <c r="C898" i="3"/>
  <c r="B898" i="3"/>
  <c r="M897" i="3"/>
  <c r="L897" i="3"/>
  <c r="J897" i="3"/>
  <c r="K897" i="3" s="1"/>
  <c r="C897" i="3"/>
  <c r="B897" i="3"/>
  <c r="L896" i="3"/>
  <c r="M896" i="3" s="1"/>
  <c r="J896" i="3"/>
  <c r="K896" i="3" s="1"/>
  <c r="C896" i="3"/>
  <c r="B896" i="3"/>
  <c r="L895" i="3"/>
  <c r="M895" i="3" s="1"/>
  <c r="J895" i="3"/>
  <c r="K895" i="3" s="1"/>
  <c r="C895" i="3"/>
  <c r="B895" i="3"/>
  <c r="L894" i="3"/>
  <c r="M894" i="3" s="1"/>
  <c r="J894" i="3"/>
  <c r="K894" i="3" s="1"/>
  <c r="C894" i="3"/>
  <c r="B894" i="3"/>
  <c r="L893" i="3"/>
  <c r="M893" i="3" s="1"/>
  <c r="J893" i="3"/>
  <c r="K893" i="3" s="1"/>
  <c r="C893" i="3"/>
  <c r="B893" i="3"/>
  <c r="L892" i="3"/>
  <c r="M892" i="3" s="1"/>
  <c r="J892" i="3"/>
  <c r="K892" i="3" s="1"/>
  <c r="C892" i="3"/>
  <c r="B892" i="3"/>
  <c r="L891" i="3"/>
  <c r="M891" i="3" s="1"/>
  <c r="J891" i="3"/>
  <c r="K891" i="3" s="1"/>
  <c r="C891" i="3"/>
  <c r="B891" i="3"/>
  <c r="L890" i="3"/>
  <c r="M890" i="3" s="1"/>
  <c r="J890" i="3"/>
  <c r="K890" i="3" s="1"/>
  <c r="C890" i="3"/>
  <c r="B890" i="3"/>
  <c r="L889" i="3"/>
  <c r="M889" i="3" s="1"/>
  <c r="K889" i="3"/>
  <c r="J889" i="3"/>
  <c r="C889" i="3"/>
  <c r="B889" i="3"/>
  <c r="M888" i="3"/>
  <c r="L888" i="3"/>
  <c r="J888" i="3"/>
  <c r="K888" i="3" s="1"/>
  <c r="C888" i="3"/>
  <c r="B888" i="3"/>
  <c r="I888" i="3" s="1"/>
  <c r="L887" i="3"/>
  <c r="M887" i="3" s="1"/>
  <c r="J887" i="3"/>
  <c r="K887" i="3" s="1"/>
  <c r="C887" i="3"/>
  <c r="B887" i="3"/>
  <c r="L886" i="3"/>
  <c r="M886" i="3" s="1"/>
  <c r="J886" i="3"/>
  <c r="K886" i="3" s="1"/>
  <c r="C886" i="3"/>
  <c r="B886" i="3"/>
  <c r="L885" i="3"/>
  <c r="M885" i="3" s="1"/>
  <c r="J885" i="3"/>
  <c r="K885" i="3" s="1"/>
  <c r="C885" i="3"/>
  <c r="B885" i="3"/>
  <c r="L884" i="3"/>
  <c r="M884" i="3" s="1"/>
  <c r="J884" i="3"/>
  <c r="K884" i="3" s="1"/>
  <c r="C884" i="3"/>
  <c r="B884" i="3"/>
  <c r="I884" i="3" s="1"/>
  <c r="L883" i="3"/>
  <c r="M883" i="3" s="1"/>
  <c r="J883" i="3"/>
  <c r="K883" i="3" s="1"/>
  <c r="C883" i="3"/>
  <c r="B883" i="3"/>
  <c r="L882" i="3"/>
  <c r="M882" i="3" s="1"/>
  <c r="J882" i="3"/>
  <c r="K882" i="3" s="1"/>
  <c r="C882" i="3"/>
  <c r="B882" i="3"/>
  <c r="L881" i="3"/>
  <c r="M881" i="3" s="1"/>
  <c r="J881" i="3"/>
  <c r="K881" i="3" s="1"/>
  <c r="C881" i="3"/>
  <c r="B881" i="3"/>
  <c r="L880" i="3"/>
  <c r="M880" i="3" s="1"/>
  <c r="J880" i="3"/>
  <c r="K880" i="3" s="1"/>
  <c r="C880" i="3"/>
  <c r="B880" i="3"/>
  <c r="L879" i="3"/>
  <c r="M879" i="3" s="1"/>
  <c r="J879" i="3"/>
  <c r="K879" i="3" s="1"/>
  <c r="C879" i="3"/>
  <c r="B879" i="3"/>
  <c r="L878" i="3"/>
  <c r="M878" i="3" s="1"/>
  <c r="J878" i="3"/>
  <c r="K878" i="3" s="1"/>
  <c r="C878" i="3"/>
  <c r="B878" i="3"/>
  <c r="L877" i="3"/>
  <c r="M877" i="3" s="1"/>
  <c r="J877" i="3"/>
  <c r="K877" i="3" s="1"/>
  <c r="C877" i="3"/>
  <c r="B877" i="3"/>
  <c r="L876" i="3"/>
  <c r="M876" i="3" s="1"/>
  <c r="J876" i="3"/>
  <c r="K876" i="3" s="1"/>
  <c r="C876" i="3"/>
  <c r="B876" i="3"/>
  <c r="L875" i="3"/>
  <c r="M875" i="3" s="1"/>
  <c r="J875" i="3"/>
  <c r="K875" i="3" s="1"/>
  <c r="C875" i="3"/>
  <c r="B875" i="3"/>
  <c r="L874" i="3"/>
  <c r="M874" i="3" s="1"/>
  <c r="J874" i="3"/>
  <c r="K874" i="3" s="1"/>
  <c r="C874" i="3"/>
  <c r="B874" i="3"/>
  <c r="L873" i="3"/>
  <c r="M873" i="3" s="1"/>
  <c r="K873" i="3"/>
  <c r="J873" i="3"/>
  <c r="C873" i="3"/>
  <c r="B873" i="3"/>
  <c r="L872" i="3"/>
  <c r="M872" i="3" s="1"/>
  <c r="J872" i="3"/>
  <c r="K872" i="3" s="1"/>
  <c r="C872" i="3"/>
  <c r="B872" i="3"/>
  <c r="L871" i="3"/>
  <c r="M871" i="3" s="1"/>
  <c r="J871" i="3"/>
  <c r="K871" i="3" s="1"/>
  <c r="C871" i="3"/>
  <c r="B871" i="3"/>
  <c r="L870" i="3"/>
  <c r="M870" i="3" s="1"/>
  <c r="J870" i="3"/>
  <c r="K870" i="3" s="1"/>
  <c r="C870" i="3"/>
  <c r="B870" i="3"/>
  <c r="L869" i="3"/>
  <c r="M869" i="3" s="1"/>
  <c r="J869" i="3"/>
  <c r="K869" i="3" s="1"/>
  <c r="C869" i="3"/>
  <c r="B869" i="3"/>
  <c r="L868" i="3"/>
  <c r="M868" i="3" s="1"/>
  <c r="J868" i="3"/>
  <c r="K868" i="3" s="1"/>
  <c r="C868" i="3"/>
  <c r="B868" i="3"/>
  <c r="L867" i="3"/>
  <c r="M867" i="3" s="1"/>
  <c r="J867" i="3"/>
  <c r="K867" i="3" s="1"/>
  <c r="C867" i="3"/>
  <c r="B867" i="3"/>
  <c r="L866" i="3"/>
  <c r="M866" i="3" s="1"/>
  <c r="J866" i="3"/>
  <c r="K866" i="3" s="1"/>
  <c r="C866" i="3"/>
  <c r="B866" i="3"/>
  <c r="L865" i="3"/>
  <c r="M865" i="3" s="1"/>
  <c r="J865" i="3"/>
  <c r="K865" i="3" s="1"/>
  <c r="C865" i="3"/>
  <c r="B865" i="3"/>
  <c r="L864" i="3"/>
  <c r="M864" i="3" s="1"/>
  <c r="J864" i="3"/>
  <c r="K864" i="3" s="1"/>
  <c r="C864" i="3"/>
  <c r="B864" i="3"/>
  <c r="L863" i="3"/>
  <c r="M863" i="3" s="1"/>
  <c r="J863" i="3"/>
  <c r="K863" i="3" s="1"/>
  <c r="C863" i="3"/>
  <c r="B863" i="3"/>
  <c r="L862" i="3"/>
  <c r="M862" i="3" s="1"/>
  <c r="J862" i="3"/>
  <c r="K862" i="3" s="1"/>
  <c r="C862" i="3"/>
  <c r="B862" i="3"/>
  <c r="L861" i="3"/>
  <c r="M861" i="3" s="1"/>
  <c r="J861" i="3"/>
  <c r="K861" i="3" s="1"/>
  <c r="C861" i="3"/>
  <c r="B861" i="3"/>
  <c r="L860" i="3"/>
  <c r="M860" i="3" s="1"/>
  <c r="J860" i="3"/>
  <c r="K860" i="3" s="1"/>
  <c r="C860" i="3"/>
  <c r="B860" i="3"/>
  <c r="L859" i="3"/>
  <c r="M859" i="3" s="1"/>
  <c r="J859" i="3"/>
  <c r="K859" i="3" s="1"/>
  <c r="C859" i="3"/>
  <c r="B859" i="3"/>
  <c r="L858" i="3"/>
  <c r="M858" i="3" s="1"/>
  <c r="J858" i="3"/>
  <c r="K858" i="3" s="1"/>
  <c r="C858" i="3"/>
  <c r="B858" i="3"/>
  <c r="L857" i="3"/>
  <c r="M857" i="3" s="1"/>
  <c r="J857" i="3"/>
  <c r="K857" i="3" s="1"/>
  <c r="C857" i="3"/>
  <c r="B857" i="3"/>
  <c r="L856" i="3"/>
  <c r="M856" i="3" s="1"/>
  <c r="J856" i="3"/>
  <c r="K856" i="3" s="1"/>
  <c r="C856" i="3"/>
  <c r="B856" i="3"/>
  <c r="L855" i="3"/>
  <c r="M855" i="3" s="1"/>
  <c r="J855" i="3"/>
  <c r="K855" i="3" s="1"/>
  <c r="C855" i="3"/>
  <c r="B855" i="3"/>
  <c r="L854" i="3"/>
  <c r="M854" i="3" s="1"/>
  <c r="J854" i="3"/>
  <c r="K854" i="3" s="1"/>
  <c r="C854" i="3"/>
  <c r="B854" i="3"/>
  <c r="L853" i="3"/>
  <c r="M853" i="3" s="1"/>
  <c r="J853" i="3"/>
  <c r="K853" i="3" s="1"/>
  <c r="C853" i="3"/>
  <c r="B853" i="3"/>
  <c r="L852" i="3"/>
  <c r="M852" i="3" s="1"/>
  <c r="J852" i="3"/>
  <c r="K852" i="3" s="1"/>
  <c r="C852" i="3"/>
  <c r="B852" i="3"/>
  <c r="L851" i="3"/>
  <c r="M851" i="3" s="1"/>
  <c r="J851" i="3"/>
  <c r="K851" i="3" s="1"/>
  <c r="C851" i="3"/>
  <c r="B851" i="3"/>
  <c r="L850" i="3"/>
  <c r="M850" i="3" s="1"/>
  <c r="J850" i="3"/>
  <c r="K850" i="3" s="1"/>
  <c r="C850" i="3"/>
  <c r="B850" i="3"/>
  <c r="L849" i="3"/>
  <c r="M849" i="3" s="1"/>
  <c r="J849" i="3"/>
  <c r="K849" i="3" s="1"/>
  <c r="C849" i="3"/>
  <c r="B849" i="3"/>
  <c r="L848" i="3"/>
  <c r="M848" i="3" s="1"/>
  <c r="J848" i="3"/>
  <c r="K848" i="3" s="1"/>
  <c r="C848" i="3"/>
  <c r="B848" i="3"/>
  <c r="L847" i="3"/>
  <c r="M847" i="3" s="1"/>
  <c r="J847" i="3"/>
  <c r="K847" i="3" s="1"/>
  <c r="C847" i="3"/>
  <c r="B847" i="3"/>
  <c r="L846" i="3"/>
  <c r="M846" i="3" s="1"/>
  <c r="J846" i="3"/>
  <c r="K846" i="3" s="1"/>
  <c r="C846" i="3"/>
  <c r="B846" i="3"/>
  <c r="L845" i="3"/>
  <c r="M845" i="3" s="1"/>
  <c r="J845" i="3"/>
  <c r="K845" i="3" s="1"/>
  <c r="C845" i="3"/>
  <c r="B845" i="3"/>
  <c r="L844" i="3"/>
  <c r="M844" i="3" s="1"/>
  <c r="J844" i="3"/>
  <c r="K844" i="3" s="1"/>
  <c r="C844" i="3"/>
  <c r="B844" i="3"/>
  <c r="I844" i="3" s="1"/>
  <c r="L843" i="3"/>
  <c r="M843" i="3" s="1"/>
  <c r="J843" i="3"/>
  <c r="K843" i="3" s="1"/>
  <c r="C843" i="3"/>
  <c r="B843" i="3"/>
  <c r="L842" i="3"/>
  <c r="M842" i="3" s="1"/>
  <c r="J842" i="3"/>
  <c r="K842" i="3" s="1"/>
  <c r="C842" i="3"/>
  <c r="B842" i="3"/>
  <c r="L841" i="3"/>
  <c r="M841" i="3" s="1"/>
  <c r="J841" i="3"/>
  <c r="K841" i="3" s="1"/>
  <c r="C841" i="3"/>
  <c r="B841" i="3"/>
  <c r="L840" i="3"/>
  <c r="M840" i="3" s="1"/>
  <c r="J840" i="3"/>
  <c r="K840" i="3" s="1"/>
  <c r="C840" i="3"/>
  <c r="B840" i="3"/>
  <c r="L839" i="3"/>
  <c r="M839" i="3" s="1"/>
  <c r="J839" i="3"/>
  <c r="K839" i="3" s="1"/>
  <c r="C839" i="3"/>
  <c r="B839" i="3"/>
  <c r="L838" i="3"/>
  <c r="M838" i="3" s="1"/>
  <c r="J838" i="3"/>
  <c r="K838" i="3" s="1"/>
  <c r="C838" i="3"/>
  <c r="B838" i="3"/>
  <c r="I838" i="3" s="1"/>
  <c r="L837" i="3"/>
  <c r="M837" i="3" s="1"/>
  <c r="J837" i="3"/>
  <c r="K837" i="3" s="1"/>
  <c r="C837" i="3"/>
  <c r="B837" i="3"/>
  <c r="L836" i="3"/>
  <c r="M836" i="3" s="1"/>
  <c r="J836" i="3"/>
  <c r="K836" i="3" s="1"/>
  <c r="C836" i="3"/>
  <c r="B836" i="3"/>
  <c r="I836" i="3" s="1"/>
  <c r="L835" i="3"/>
  <c r="M835" i="3" s="1"/>
  <c r="J835" i="3"/>
  <c r="K835" i="3" s="1"/>
  <c r="C835" i="3"/>
  <c r="B835" i="3"/>
  <c r="L834" i="3"/>
  <c r="M834" i="3" s="1"/>
  <c r="J834" i="3"/>
  <c r="K834" i="3" s="1"/>
  <c r="C834" i="3"/>
  <c r="B834" i="3"/>
  <c r="L833" i="3"/>
  <c r="M833" i="3" s="1"/>
  <c r="J833" i="3"/>
  <c r="K833" i="3" s="1"/>
  <c r="C833" i="3"/>
  <c r="B833" i="3"/>
  <c r="L832" i="3"/>
  <c r="M832" i="3" s="1"/>
  <c r="J832" i="3"/>
  <c r="K832" i="3" s="1"/>
  <c r="C832" i="3"/>
  <c r="B832" i="3"/>
  <c r="L831" i="3"/>
  <c r="M831" i="3" s="1"/>
  <c r="J831" i="3"/>
  <c r="K831" i="3" s="1"/>
  <c r="C831" i="3"/>
  <c r="B831" i="3"/>
  <c r="L830" i="3"/>
  <c r="M830" i="3" s="1"/>
  <c r="J830" i="3"/>
  <c r="K830" i="3" s="1"/>
  <c r="C830" i="3"/>
  <c r="B830" i="3"/>
  <c r="L829" i="3"/>
  <c r="M829" i="3" s="1"/>
  <c r="J829" i="3"/>
  <c r="K829" i="3" s="1"/>
  <c r="C829" i="3"/>
  <c r="B829" i="3"/>
  <c r="L828" i="3"/>
  <c r="M828" i="3" s="1"/>
  <c r="J828" i="3"/>
  <c r="K828" i="3" s="1"/>
  <c r="C828" i="3"/>
  <c r="B828" i="3"/>
  <c r="L827" i="3"/>
  <c r="M827" i="3" s="1"/>
  <c r="J827" i="3"/>
  <c r="K827" i="3" s="1"/>
  <c r="C827" i="3"/>
  <c r="B827" i="3"/>
  <c r="L826" i="3"/>
  <c r="M826" i="3" s="1"/>
  <c r="J826" i="3"/>
  <c r="K826" i="3" s="1"/>
  <c r="C826" i="3"/>
  <c r="B826" i="3"/>
  <c r="L825" i="3"/>
  <c r="M825" i="3" s="1"/>
  <c r="J825" i="3"/>
  <c r="K825" i="3" s="1"/>
  <c r="C825" i="3"/>
  <c r="B825" i="3"/>
  <c r="L824" i="3"/>
  <c r="M824" i="3" s="1"/>
  <c r="J824" i="3"/>
  <c r="K824" i="3" s="1"/>
  <c r="C824" i="3"/>
  <c r="B824" i="3"/>
  <c r="L823" i="3"/>
  <c r="M823" i="3" s="1"/>
  <c r="J823" i="3"/>
  <c r="K823" i="3" s="1"/>
  <c r="C823" i="3"/>
  <c r="B823" i="3"/>
  <c r="L822" i="3"/>
  <c r="M822" i="3" s="1"/>
  <c r="J822" i="3"/>
  <c r="K822" i="3" s="1"/>
  <c r="C822" i="3"/>
  <c r="B822" i="3"/>
  <c r="L821" i="3"/>
  <c r="M821" i="3" s="1"/>
  <c r="J821" i="3"/>
  <c r="K821" i="3" s="1"/>
  <c r="C821" i="3"/>
  <c r="B821" i="3"/>
  <c r="L820" i="3"/>
  <c r="M820" i="3" s="1"/>
  <c r="J820" i="3"/>
  <c r="K820" i="3" s="1"/>
  <c r="C820" i="3"/>
  <c r="B820" i="3"/>
  <c r="L819" i="3"/>
  <c r="M819" i="3" s="1"/>
  <c r="J819" i="3"/>
  <c r="K819" i="3" s="1"/>
  <c r="C819" i="3"/>
  <c r="B819" i="3"/>
  <c r="L818" i="3"/>
  <c r="M818" i="3" s="1"/>
  <c r="J818" i="3"/>
  <c r="K818" i="3" s="1"/>
  <c r="C818" i="3"/>
  <c r="B818" i="3"/>
  <c r="L817" i="3"/>
  <c r="M817" i="3" s="1"/>
  <c r="J817" i="3"/>
  <c r="K817" i="3" s="1"/>
  <c r="C817" i="3"/>
  <c r="B817" i="3"/>
  <c r="L816" i="3"/>
  <c r="M816" i="3" s="1"/>
  <c r="J816" i="3"/>
  <c r="K816" i="3" s="1"/>
  <c r="C816" i="3"/>
  <c r="B816" i="3"/>
  <c r="L815" i="3"/>
  <c r="M815" i="3" s="1"/>
  <c r="J815" i="3"/>
  <c r="K815" i="3" s="1"/>
  <c r="C815" i="3"/>
  <c r="B815" i="3"/>
  <c r="M814" i="3"/>
  <c r="L814" i="3"/>
  <c r="J814" i="3"/>
  <c r="K814" i="3" s="1"/>
  <c r="C814" i="3"/>
  <c r="B814" i="3"/>
  <c r="L813" i="3"/>
  <c r="M813" i="3" s="1"/>
  <c r="J813" i="3"/>
  <c r="K813" i="3" s="1"/>
  <c r="C813" i="3"/>
  <c r="B813" i="3"/>
  <c r="L812" i="3"/>
  <c r="M812" i="3" s="1"/>
  <c r="J812" i="3"/>
  <c r="K812" i="3" s="1"/>
  <c r="C812" i="3"/>
  <c r="B812" i="3"/>
  <c r="L811" i="3"/>
  <c r="M811" i="3" s="1"/>
  <c r="J811" i="3"/>
  <c r="K811" i="3" s="1"/>
  <c r="C811" i="3"/>
  <c r="B811" i="3"/>
  <c r="L810" i="3"/>
  <c r="M810" i="3" s="1"/>
  <c r="J810" i="3"/>
  <c r="K810" i="3" s="1"/>
  <c r="C810" i="3"/>
  <c r="I810" i="3" s="1"/>
  <c r="B810" i="3"/>
  <c r="L809" i="3"/>
  <c r="M809" i="3" s="1"/>
  <c r="J809" i="3"/>
  <c r="K809" i="3" s="1"/>
  <c r="C809" i="3"/>
  <c r="B809" i="3"/>
  <c r="L808" i="3"/>
  <c r="M808" i="3" s="1"/>
  <c r="J808" i="3"/>
  <c r="K808" i="3" s="1"/>
  <c r="C808" i="3"/>
  <c r="B808" i="3"/>
  <c r="L807" i="3"/>
  <c r="M807" i="3" s="1"/>
  <c r="J807" i="3"/>
  <c r="K807" i="3" s="1"/>
  <c r="C807" i="3"/>
  <c r="B807" i="3"/>
  <c r="L806" i="3"/>
  <c r="M806" i="3" s="1"/>
  <c r="K806" i="3"/>
  <c r="J806" i="3"/>
  <c r="C806" i="3"/>
  <c r="B806" i="3"/>
  <c r="I806" i="3" s="1"/>
  <c r="L805" i="3"/>
  <c r="M805" i="3" s="1"/>
  <c r="J805" i="3"/>
  <c r="K805" i="3" s="1"/>
  <c r="C805" i="3"/>
  <c r="B805" i="3"/>
  <c r="L804" i="3"/>
  <c r="M804" i="3" s="1"/>
  <c r="J804" i="3"/>
  <c r="K804" i="3" s="1"/>
  <c r="C804" i="3"/>
  <c r="B804" i="3"/>
  <c r="I804" i="3" s="1"/>
  <c r="L803" i="3"/>
  <c r="M803" i="3" s="1"/>
  <c r="J803" i="3"/>
  <c r="K803" i="3" s="1"/>
  <c r="C803" i="3"/>
  <c r="B803" i="3"/>
  <c r="M802" i="3"/>
  <c r="L802" i="3"/>
  <c r="J802" i="3"/>
  <c r="K802" i="3" s="1"/>
  <c r="C802" i="3"/>
  <c r="B802" i="3"/>
  <c r="L801" i="3"/>
  <c r="M801" i="3" s="1"/>
  <c r="J801" i="3"/>
  <c r="K801" i="3" s="1"/>
  <c r="C801" i="3"/>
  <c r="B801" i="3"/>
  <c r="L800" i="3"/>
  <c r="M800" i="3" s="1"/>
  <c r="J800" i="3"/>
  <c r="K800" i="3" s="1"/>
  <c r="C800" i="3"/>
  <c r="B800" i="3"/>
  <c r="L799" i="3"/>
  <c r="M799" i="3" s="1"/>
  <c r="J799" i="3"/>
  <c r="K799" i="3" s="1"/>
  <c r="C799" i="3"/>
  <c r="B799" i="3"/>
  <c r="L798" i="3"/>
  <c r="M798" i="3" s="1"/>
  <c r="J798" i="3"/>
  <c r="K798" i="3" s="1"/>
  <c r="C798" i="3"/>
  <c r="B798" i="3"/>
  <c r="L797" i="3"/>
  <c r="M797" i="3" s="1"/>
  <c r="J797" i="3"/>
  <c r="K797" i="3" s="1"/>
  <c r="C797" i="3"/>
  <c r="B797" i="3"/>
  <c r="L796" i="3"/>
  <c r="M796" i="3" s="1"/>
  <c r="J796" i="3"/>
  <c r="K796" i="3" s="1"/>
  <c r="C796" i="3"/>
  <c r="B796" i="3"/>
  <c r="L795" i="3"/>
  <c r="M795" i="3" s="1"/>
  <c r="J795" i="3"/>
  <c r="K795" i="3" s="1"/>
  <c r="C795" i="3"/>
  <c r="B795" i="3"/>
  <c r="L794" i="3"/>
  <c r="M794" i="3" s="1"/>
  <c r="J794" i="3"/>
  <c r="K794" i="3" s="1"/>
  <c r="C794" i="3"/>
  <c r="B794" i="3"/>
  <c r="L793" i="3"/>
  <c r="M793" i="3" s="1"/>
  <c r="J793" i="3"/>
  <c r="K793" i="3" s="1"/>
  <c r="C793" i="3"/>
  <c r="B793" i="3"/>
  <c r="L792" i="3"/>
  <c r="M792" i="3" s="1"/>
  <c r="J792" i="3"/>
  <c r="K792" i="3" s="1"/>
  <c r="C792" i="3"/>
  <c r="B792" i="3"/>
  <c r="L791" i="3"/>
  <c r="M791" i="3" s="1"/>
  <c r="J791" i="3"/>
  <c r="K791" i="3" s="1"/>
  <c r="C791" i="3"/>
  <c r="B791" i="3"/>
  <c r="L790" i="3"/>
  <c r="M790" i="3" s="1"/>
  <c r="J790" i="3"/>
  <c r="K790" i="3" s="1"/>
  <c r="C790" i="3"/>
  <c r="B790" i="3"/>
  <c r="L789" i="3"/>
  <c r="M789" i="3" s="1"/>
  <c r="J789" i="3"/>
  <c r="K789" i="3" s="1"/>
  <c r="C789" i="3"/>
  <c r="B789" i="3"/>
  <c r="L788" i="3"/>
  <c r="M788" i="3" s="1"/>
  <c r="J788" i="3"/>
  <c r="K788" i="3" s="1"/>
  <c r="C788" i="3"/>
  <c r="B788" i="3"/>
  <c r="L787" i="3"/>
  <c r="M787" i="3" s="1"/>
  <c r="J787" i="3"/>
  <c r="K787" i="3" s="1"/>
  <c r="C787" i="3"/>
  <c r="B787" i="3"/>
  <c r="L786" i="3"/>
  <c r="M786" i="3" s="1"/>
  <c r="J786" i="3"/>
  <c r="K786" i="3" s="1"/>
  <c r="C786" i="3"/>
  <c r="B786" i="3"/>
  <c r="L785" i="3"/>
  <c r="M785" i="3" s="1"/>
  <c r="J785" i="3"/>
  <c r="K785" i="3" s="1"/>
  <c r="C785" i="3"/>
  <c r="B785" i="3"/>
  <c r="L784" i="3"/>
  <c r="M784" i="3" s="1"/>
  <c r="J784" i="3"/>
  <c r="K784" i="3" s="1"/>
  <c r="C784" i="3"/>
  <c r="B784" i="3"/>
  <c r="L783" i="3"/>
  <c r="M783" i="3" s="1"/>
  <c r="J783" i="3"/>
  <c r="K783" i="3" s="1"/>
  <c r="C783" i="3"/>
  <c r="B783" i="3"/>
  <c r="L782" i="3"/>
  <c r="M782" i="3" s="1"/>
  <c r="J782" i="3"/>
  <c r="K782" i="3" s="1"/>
  <c r="C782" i="3"/>
  <c r="B782" i="3"/>
  <c r="L781" i="3"/>
  <c r="M781" i="3" s="1"/>
  <c r="J781" i="3"/>
  <c r="K781" i="3" s="1"/>
  <c r="C781" i="3"/>
  <c r="B781" i="3"/>
  <c r="L780" i="3"/>
  <c r="M780" i="3" s="1"/>
  <c r="J780" i="3"/>
  <c r="K780" i="3" s="1"/>
  <c r="C780" i="3"/>
  <c r="B780" i="3"/>
  <c r="L779" i="3"/>
  <c r="M779" i="3" s="1"/>
  <c r="J779" i="3"/>
  <c r="K779" i="3" s="1"/>
  <c r="C779" i="3"/>
  <c r="B779" i="3"/>
  <c r="L778" i="3"/>
  <c r="M778" i="3" s="1"/>
  <c r="J778" i="3"/>
  <c r="K778" i="3" s="1"/>
  <c r="C778" i="3"/>
  <c r="I778" i="3" s="1"/>
  <c r="B778" i="3"/>
  <c r="L777" i="3"/>
  <c r="M777" i="3" s="1"/>
  <c r="J777" i="3"/>
  <c r="K777" i="3" s="1"/>
  <c r="C777" i="3"/>
  <c r="B777" i="3"/>
  <c r="L776" i="3"/>
  <c r="M776" i="3" s="1"/>
  <c r="J776" i="3"/>
  <c r="K776" i="3" s="1"/>
  <c r="C776" i="3"/>
  <c r="B776" i="3"/>
  <c r="L775" i="3"/>
  <c r="M775" i="3" s="1"/>
  <c r="J775" i="3"/>
  <c r="K775" i="3" s="1"/>
  <c r="C775" i="3"/>
  <c r="B775" i="3"/>
  <c r="L774" i="3"/>
  <c r="M774" i="3" s="1"/>
  <c r="J774" i="3"/>
  <c r="K774" i="3" s="1"/>
  <c r="C774" i="3"/>
  <c r="I774" i="3" s="1"/>
  <c r="B774" i="3"/>
  <c r="L773" i="3"/>
  <c r="M773" i="3" s="1"/>
  <c r="J773" i="3"/>
  <c r="K773" i="3" s="1"/>
  <c r="C773" i="3"/>
  <c r="B773" i="3"/>
  <c r="L772" i="3"/>
  <c r="M772" i="3" s="1"/>
  <c r="J772" i="3"/>
  <c r="K772" i="3" s="1"/>
  <c r="C772" i="3"/>
  <c r="B772" i="3"/>
  <c r="L771" i="3"/>
  <c r="M771" i="3" s="1"/>
  <c r="J771" i="3"/>
  <c r="K771" i="3" s="1"/>
  <c r="C771" i="3"/>
  <c r="B771" i="3"/>
  <c r="L770" i="3"/>
  <c r="M770" i="3" s="1"/>
  <c r="J770" i="3"/>
  <c r="K770" i="3" s="1"/>
  <c r="C770" i="3"/>
  <c r="I770" i="3" s="1"/>
  <c r="B770" i="3"/>
  <c r="L769" i="3"/>
  <c r="M769" i="3" s="1"/>
  <c r="J769" i="3"/>
  <c r="K769" i="3" s="1"/>
  <c r="C769" i="3"/>
  <c r="B769" i="3"/>
  <c r="L768" i="3"/>
  <c r="M768" i="3" s="1"/>
  <c r="J768" i="3"/>
  <c r="K768" i="3" s="1"/>
  <c r="C768" i="3"/>
  <c r="B768" i="3"/>
  <c r="L767" i="3"/>
  <c r="M767" i="3" s="1"/>
  <c r="J767" i="3"/>
  <c r="K767" i="3" s="1"/>
  <c r="C767" i="3"/>
  <c r="B767" i="3"/>
  <c r="L766" i="3"/>
  <c r="M766" i="3" s="1"/>
  <c r="J766" i="3"/>
  <c r="K766" i="3" s="1"/>
  <c r="C766" i="3"/>
  <c r="B766" i="3"/>
  <c r="L765" i="3"/>
  <c r="M765" i="3" s="1"/>
  <c r="J765" i="3"/>
  <c r="K765" i="3" s="1"/>
  <c r="C765" i="3"/>
  <c r="B765" i="3"/>
  <c r="L764" i="3"/>
  <c r="M764" i="3" s="1"/>
  <c r="J764" i="3"/>
  <c r="K764" i="3" s="1"/>
  <c r="C764" i="3"/>
  <c r="B764" i="3"/>
  <c r="L763" i="3"/>
  <c r="M763" i="3" s="1"/>
  <c r="J763" i="3"/>
  <c r="K763" i="3" s="1"/>
  <c r="C763" i="3"/>
  <c r="B763" i="3"/>
  <c r="M762" i="3"/>
  <c r="L762" i="3"/>
  <c r="J762" i="3"/>
  <c r="K762" i="3" s="1"/>
  <c r="C762" i="3"/>
  <c r="B762" i="3"/>
  <c r="L761" i="3"/>
  <c r="M761" i="3" s="1"/>
  <c r="J761" i="3"/>
  <c r="K761" i="3" s="1"/>
  <c r="C761" i="3"/>
  <c r="B761" i="3"/>
  <c r="L760" i="3"/>
  <c r="M760" i="3" s="1"/>
  <c r="J760" i="3"/>
  <c r="K760" i="3" s="1"/>
  <c r="C760" i="3"/>
  <c r="B760" i="3"/>
  <c r="L759" i="3"/>
  <c r="M759" i="3" s="1"/>
  <c r="J759" i="3"/>
  <c r="K759" i="3" s="1"/>
  <c r="C759" i="3"/>
  <c r="B759" i="3"/>
  <c r="L758" i="3"/>
  <c r="M758" i="3" s="1"/>
  <c r="J758" i="3"/>
  <c r="K758" i="3" s="1"/>
  <c r="C758" i="3"/>
  <c r="B758" i="3"/>
  <c r="L757" i="3"/>
  <c r="M757" i="3" s="1"/>
  <c r="J757" i="3"/>
  <c r="K757" i="3" s="1"/>
  <c r="C757" i="3"/>
  <c r="I757" i="3" s="1"/>
  <c r="B757" i="3"/>
  <c r="L756" i="3"/>
  <c r="M756" i="3" s="1"/>
  <c r="J756" i="3"/>
  <c r="K756" i="3" s="1"/>
  <c r="C756" i="3"/>
  <c r="B756" i="3"/>
  <c r="L755" i="3"/>
  <c r="M755" i="3" s="1"/>
  <c r="J755" i="3"/>
  <c r="K755" i="3" s="1"/>
  <c r="C755" i="3"/>
  <c r="B755" i="3"/>
  <c r="L754" i="3"/>
  <c r="M754" i="3" s="1"/>
  <c r="J754" i="3"/>
  <c r="K754" i="3" s="1"/>
  <c r="C754" i="3"/>
  <c r="B754" i="3"/>
  <c r="L753" i="3"/>
  <c r="M753" i="3" s="1"/>
  <c r="J753" i="3"/>
  <c r="K753" i="3" s="1"/>
  <c r="C753" i="3"/>
  <c r="B753" i="3"/>
  <c r="L752" i="3"/>
  <c r="M752" i="3" s="1"/>
  <c r="J752" i="3"/>
  <c r="K752" i="3" s="1"/>
  <c r="C752" i="3"/>
  <c r="B752" i="3"/>
  <c r="L751" i="3"/>
  <c r="M751" i="3" s="1"/>
  <c r="J751" i="3"/>
  <c r="K751" i="3" s="1"/>
  <c r="C751" i="3"/>
  <c r="B751" i="3"/>
  <c r="L750" i="3"/>
  <c r="M750" i="3" s="1"/>
  <c r="J750" i="3"/>
  <c r="K750" i="3" s="1"/>
  <c r="C750" i="3"/>
  <c r="B750" i="3"/>
  <c r="L749" i="3"/>
  <c r="M749" i="3" s="1"/>
  <c r="J749" i="3"/>
  <c r="K749" i="3" s="1"/>
  <c r="C749" i="3"/>
  <c r="B749" i="3"/>
  <c r="L748" i="3"/>
  <c r="M748" i="3" s="1"/>
  <c r="J748" i="3"/>
  <c r="K748" i="3" s="1"/>
  <c r="C748" i="3"/>
  <c r="I748" i="3" s="1"/>
  <c r="B748" i="3"/>
  <c r="L747" i="3"/>
  <c r="M747" i="3" s="1"/>
  <c r="J747" i="3"/>
  <c r="K747" i="3" s="1"/>
  <c r="C747" i="3"/>
  <c r="B747" i="3"/>
  <c r="L746" i="3"/>
  <c r="M746" i="3" s="1"/>
  <c r="J746" i="3"/>
  <c r="K746" i="3" s="1"/>
  <c r="C746" i="3"/>
  <c r="B746" i="3"/>
  <c r="L745" i="3"/>
  <c r="M745" i="3" s="1"/>
  <c r="J745" i="3"/>
  <c r="K745" i="3" s="1"/>
  <c r="C745" i="3"/>
  <c r="B745" i="3"/>
  <c r="L744" i="3"/>
  <c r="M744" i="3" s="1"/>
  <c r="J744" i="3"/>
  <c r="K744" i="3" s="1"/>
  <c r="C744" i="3"/>
  <c r="B744" i="3"/>
  <c r="L743" i="3"/>
  <c r="M743" i="3" s="1"/>
  <c r="K743" i="3"/>
  <c r="J743" i="3"/>
  <c r="C743" i="3"/>
  <c r="B743" i="3"/>
  <c r="L742" i="3"/>
  <c r="M742" i="3" s="1"/>
  <c r="J742" i="3"/>
  <c r="K742" i="3" s="1"/>
  <c r="C742" i="3"/>
  <c r="I742" i="3" s="1"/>
  <c r="B742" i="3"/>
  <c r="L741" i="3"/>
  <c r="M741" i="3" s="1"/>
  <c r="J741" i="3"/>
  <c r="K741" i="3" s="1"/>
  <c r="C741" i="3"/>
  <c r="B741" i="3"/>
  <c r="L740" i="3"/>
  <c r="M740" i="3" s="1"/>
  <c r="J740" i="3"/>
  <c r="K740" i="3" s="1"/>
  <c r="C740" i="3"/>
  <c r="I740" i="3" s="1"/>
  <c r="B740" i="3"/>
  <c r="L739" i="3"/>
  <c r="M739" i="3" s="1"/>
  <c r="J739" i="3"/>
  <c r="K739" i="3" s="1"/>
  <c r="C739" i="3"/>
  <c r="B739" i="3"/>
  <c r="L738" i="3"/>
  <c r="M738" i="3" s="1"/>
  <c r="J738" i="3"/>
  <c r="K738" i="3" s="1"/>
  <c r="C738" i="3"/>
  <c r="B738" i="3"/>
  <c r="L737" i="3"/>
  <c r="M737" i="3" s="1"/>
  <c r="J737" i="3"/>
  <c r="K737" i="3" s="1"/>
  <c r="C737" i="3"/>
  <c r="B737" i="3"/>
  <c r="L736" i="3"/>
  <c r="M736" i="3" s="1"/>
  <c r="J736" i="3"/>
  <c r="K736" i="3" s="1"/>
  <c r="C736" i="3"/>
  <c r="B736" i="3"/>
  <c r="L735" i="3"/>
  <c r="M735" i="3" s="1"/>
  <c r="J735" i="3"/>
  <c r="K735" i="3" s="1"/>
  <c r="C735" i="3"/>
  <c r="B735" i="3"/>
  <c r="L734" i="3"/>
  <c r="M734" i="3" s="1"/>
  <c r="J734" i="3"/>
  <c r="K734" i="3" s="1"/>
  <c r="C734" i="3"/>
  <c r="B734" i="3"/>
  <c r="L733" i="3"/>
  <c r="M733" i="3" s="1"/>
  <c r="J733" i="3"/>
  <c r="K733" i="3" s="1"/>
  <c r="C733" i="3"/>
  <c r="B733" i="3"/>
  <c r="L732" i="3"/>
  <c r="M732" i="3" s="1"/>
  <c r="J732" i="3"/>
  <c r="K732" i="3" s="1"/>
  <c r="C732" i="3"/>
  <c r="B732" i="3"/>
  <c r="L731" i="3"/>
  <c r="M731" i="3" s="1"/>
  <c r="J731" i="3"/>
  <c r="K731" i="3" s="1"/>
  <c r="C731" i="3"/>
  <c r="B731" i="3"/>
  <c r="L730" i="3"/>
  <c r="M730" i="3" s="1"/>
  <c r="J730" i="3"/>
  <c r="K730" i="3" s="1"/>
  <c r="C730" i="3"/>
  <c r="B730" i="3"/>
  <c r="L729" i="3"/>
  <c r="M729" i="3" s="1"/>
  <c r="J729" i="3"/>
  <c r="K729" i="3" s="1"/>
  <c r="C729" i="3"/>
  <c r="B729" i="3"/>
  <c r="L728" i="3"/>
  <c r="M728" i="3" s="1"/>
  <c r="J728" i="3"/>
  <c r="K728" i="3" s="1"/>
  <c r="C728" i="3"/>
  <c r="B728" i="3"/>
  <c r="L727" i="3"/>
  <c r="M727" i="3" s="1"/>
  <c r="J727" i="3"/>
  <c r="K727" i="3" s="1"/>
  <c r="C727" i="3"/>
  <c r="B727" i="3"/>
  <c r="L726" i="3"/>
  <c r="M726" i="3" s="1"/>
  <c r="J726" i="3"/>
  <c r="K726" i="3" s="1"/>
  <c r="C726" i="3"/>
  <c r="B726" i="3"/>
  <c r="L725" i="3"/>
  <c r="M725" i="3" s="1"/>
  <c r="J725" i="3"/>
  <c r="K725" i="3" s="1"/>
  <c r="C725" i="3"/>
  <c r="B725" i="3"/>
  <c r="L724" i="3"/>
  <c r="M724" i="3" s="1"/>
  <c r="J724" i="3"/>
  <c r="K724" i="3" s="1"/>
  <c r="C724" i="3"/>
  <c r="B724" i="3"/>
  <c r="L723" i="3"/>
  <c r="M723" i="3" s="1"/>
  <c r="J723" i="3"/>
  <c r="K723" i="3" s="1"/>
  <c r="C723" i="3"/>
  <c r="B723" i="3"/>
  <c r="L722" i="3"/>
  <c r="M722" i="3" s="1"/>
  <c r="J722" i="3"/>
  <c r="K722" i="3" s="1"/>
  <c r="C722" i="3"/>
  <c r="B722" i="3"/>
  <c r="L721" i="3"/>
  <c r="M721" i="3" s="1"/>
  <c r="J721" i="3"/>
  <c r="K721" i="3" s="1"/>
  <c r="C721" i="3"/>
  <c r="B721" i="3"/>
  <c r="L720" i="3"/>
  <c r="M720" i="3" s="1"/>
  <c r="J720" i="3"/>
  <c r="K720" i="3" s="1"/>
  <c r="C720" i="3"/>
  <c r="B720" i="3"/>
  <c r="L719" i="3"/>
  <c r="M719" i="3" s="1"/>
  <c r="J719" i="3"/>
  <c r="K719" i="3" s="1"/>
  <c r="C719" i="3"/>
  <c r="B719" i="3"/>
  <c r="L718" i="3"/>
  <c r="M718" i="3" s="1"/>
  <c r="J718" i="3"/>
  <c r="K718" i="3" s="1"/>
  <c r="C718" i="3"/>
  <c r="B718" i="3"/>
  <c r="L717" i="3"/>
  <c r="M717" i="3" s="1"/>
  <c r="J717" i="3"/>
  <c r="K717" i="3" s="1"/>
  <c r="C717" i="3"/>
  <c r="B717" i="3"/>
  <c r="L716" i="3"/>
  <c r="M716" i="3" s="1"/>
  <c r="J716" i="3"/>
  <c r="K716" i="3" s="1"/>
  <c r="C716" i="3"/>
  <c r="B716" i="3"/>
  <c r="L715" i="3"/>
  <c r="M715" i="3" s="1"/>
  <c r="J715" i="3"/>
  <c r="K715" i="3" s="1"/>
  <c r="C715" i="3"/>
  <c r="B715" i="3"/>
  <c r="L714" i="3"/>
  <c r="M714" i="3" s="1"/>
  <c r="J714" i="3"/>
  <c r="K714" i="3" s="1"/>
  <c r="C714" i="3"/>
  <c r="B714" i="3"/>
  <c r="L713" i="3"/>
  <c r="M713" i="3" s="1"/>
  <c r="J713" i="3"/>
  <c r="K713" i="3" s="1"/>
  <c r="C713" i="3"/>
  <c r="B713" i="3"/>
  <c r="L712" i="3"/>
  <c r="M712" i="3" s="1"/>
  <c r="J712" i="3"/>
  <c r="K712" i="3" s="1"/>
  <c r="C712" i="3"/>
  <c r="B712" i="3"/>
  <c r="L711" i="3"/>
  <c r="M711" i="3" s="1"/>
  <c r="J711" i="3"/>
  <c r="K711" i="3" s="1"/>
  <c r="C711" i="3"/>
  <c r="B711" i="3"/>
  <c r="L710" i="3"/>
  <c r="M710" i="3" s="1"/>
  <c r="J710" i="3"/>
  <c r="K710" i="3" s="1"/>
  <c r="C710" i="3"/>
  <c r="B710" i="3"/>
  <c r="L709" i="3"/>
  <c r="M709" i="3" s="1"/>
  <c r="J709" i="3"/>
  <c r="K709" i="3" s="1"/>
  <c r="C709" i="3"/>
  <c r="B709" i="3"/>
  <c r="L708" i="3"/>
  <c r="M708" i="3" s="1"/>
  <c r="J708" i="3"/>
  <c r="K708" i="3" s="1"/>
  <c r="C708" i="3"/>
  <c r="B708" i="3"/>
  <c r="L707" i="3"/>
  <c r="M707" i="3" s="1"/>
  <c r="J707" i="3"/>
  <c r="K707" i="3" s="1"/>
  <c r="C707" i="3"/>
  <c r="B707" i="3"/>
  <c r="L706" i="3"/>
  <c r="M706" i="3" s="1"/>
  <c r="J706" i="3"/>
  <c r="K706" i="3" s="1"/>
  <c r="C706" i="3"/>
  <c r="B706" i="3"/>
  <c r="L705" i="3"/>
  <c r="M705" i="3" s="1"/>
  <c r="J705" i="3"/>
  <c r="K705" i="3" s="1"/>
  <c r="C705" i="3"/>
  <c r="B705" i="3"/>
  <c r="L704" i="3"/>
  <c r="M704" i="3" s="1"/>
  <c r="K704" i="3"/>
  <c r="J704" i="3"/>
  <c r="C704" i="3"/>
  <c r="B704" i="3"/>
  <c r="L703" i="3"/>
  <c r="M703" i="3" s="1"/>
  <c r="J703" i="3"/>
  <c r="K703" i="3" s="1"/>
  <c r="C703" i="3"/>
  <c r="B703" i="3"/>
  <c r="M702" i="3"/>
  <c r="L702" i="3"/>
  <c r="J702" i="3"/>
  <c r="K702" i="3" s="1"/>
  <c r="C702" i="3"/>
  <c r="B702" i="3"/>
  <c r="L701" i="3"/>
  <c r="M701" i="3" s="1"/>
  <c r="J701" i="3"/>
  <c r="K701" i="3" s="1"/>
  <c r="C701" i="3"/>
  <c r="B701" i="3"/>
  <c r="L700" i="3"/>
  <c r="M700" i="3" s="1"/>
  <c r="J700" i="3"/>
  <c r="K700" i="3" s="1"/>
  <c r="C700" i="3"/>
  <c r="B700" i="3"/>
  <c r="L699" i="3"/>
  <c r="M699" i="3" s="1"/>
  <c r="J699" i="3"/>
  <c r="K699" i="3" s="1"/>
  <c r="C699" i="3"/>
  <c r="B699" i="3"/>
  <c r="L698" i="3"/>
  <c r="M698" i="3" s="1"/>
  <c r="J698" i="3"/>
  <c r="K698" i="3" s="1"/>
  <c r="C698" i="3"/>
  <c r="B698" i="3"/>
  <c r="L697" i="3"/>
  <c r="M697" i="3" s="1"/>
  <c r="J697" i="3"/>
  <c r="K697" i="3" s="1"/>
  <c r="C697" i="3"/>
  <c r="B697" i="3"/>
  <c r="L696" i="3"/>
  <c r="M696" i="3" s="1"/>
  <c r="J696" i="3"/>
  <c r="K696" i="3" s="1"/>
  <c r="C696" i="3"/>
  <c r="B696" i="3"/>
  <c r="L695" i="3"/>
  <c r="M695" i="3" s="1"/>
  <c r="J695" i="3"/>
  <c r="K695" i="3" s="1"/>
  <c r="C695" i="3"/>
  <c r="B695" i="3"/>
  <c r="L694" i="3"/>
  <c r="M694" i="3" s="1"/>
  <c r="J694" i="3"/>
  <c r="K694" i="3" s="1"/>
  <c r="C694" i="3"/>
  <c r="B694" i="3"/>
  <c r="I694" i="3" s="1"/>
  <c r="L693" i="3"/>
  <c r="M693" i="3" s="1"/>
  <c r="J693" i="3"/>
  <c r="K693" i="3" s="1"/>
  <c r="C693" i="3"/>
  <c r="B693" i="3"/>
  <c r="L692" i="3"/>
  <c r="M692" i="3" s="1"/>
  <c r="J692" i="3"/>
  <c r="K692" i="3" s="1"/>
  <c r="C692" i="3"/>
  <c r="B692" i="3"/>
  <c r="I692" i="3" s="1"/>
  <c r="L691" i="3"/>
  <c r="M691" i="3" s="1"/>
  <c r="J691" i="3"/>
  <c r="K691" i="3" s="1"/>
  <c r="C691" i="3"/>
  <c r="B691" i="3"/>
  <c r="L690" i="3"/>
  <c r="M690" i="3" s="1"/>
  <c r="J690" i="3"/>
  <c r="K690" i="3" s="1"/>
  <c r="C690" i="3"/>
  <c r="B690" i="3"/>
  <c r="L689" i="3"/>
  <c r="M689" i="3" s="1"/>
  <c r="J689" i="3"/>
  <c r="K689" i="3" s="1"/>
  <c r="C689" i="3"/>
  <c r="B689" i="3"/>
  <c r="L688" i="3"/>
  <c r="M688" i="3" s="1"/>
  <c r="J688" i="3"/>
  <c r="K688" i="3" s="1"/>
  <c r="C688" i="3"/>
  <c r="B688" i="3"/>
  <c r="L687" i="3"/>
  <c r="M687" i="3" s="1"/>
  <c r="J687" i="3"/>
  <c r="K687" i="3" s="1"/>
  <c r="C687" i="3"/>
  <c r="B687" i="3"/>
  <c r="L686" i="3"/>
  <c r="M686" i="3" s="1"/>
  <c r="J686" i="3"/>
  <c r="K686" i="3" s="1"/>
  <c r="C686" i="3"/>
  <c r="B686" i="3"/>
  <c r="L685" i="3"/>
  <c r="M685" i="3" s="1"/>
  <c r="J685" i="3"/>
  <c r="K685" i="3" s="1"/>
  <c r="C685" i="3"/>
  <c r="B685" i="3"/>
  <c r="L684" i="3"/>
  <c r="M684" i="3" s="1"/>
  <c r="J684" i="3"/>
  <c r="K684" i="3" s="1"/>
  <c r="C684" i="3"/>
  <c r="B684" i="3"/>
  <c r="L683" i="3"/>
  <c r="M683" i="3" s="1"/>
  <c r="J683" i="3"/>
  <c r="K683" i="3" s="1"/>
  <c r="C683" i="3"/>
  <c r="B683" i="3"/>
  <c r="L682" i="3"/>
  <c r="M682" i="3" s="1"/>
  <c r="J682" i="3"/>
  <c r="K682" i="3" s="1"/>
  <c r="C682" i="3"/>
  <c r="B682" i="3"/>
  <c r="L681" i="3"/>
  <c r="M681" i="3" s="1"/>
  <c r="J681" i="3"/>
  <c r="K681" i="3" s="1"/>
  <c r="C681" i="3"/>
  <c r="B681" i="3"/>
  <c r="L680" i="3"/>
  <c r="M680" i="3" s="1"/>
  <c r="J680" i="3"/>
  <c r="K680" i="3" s="1"/>
  <c r="C680" i="3"/>
  <c r="B680" i="3"/>
  <c r="L679" i="3"/>
  <c r="M679" i="3" s="1"/>
  <c r="J679" i="3"/>
  <c r="K679" i="3" s="1"/>
  <c r="C679" i="3"/>
  <c r="B679" i="3"/>
  <c r="L678" i="3"/>
  <c r="M678" i="3" s="1"/>
  <c r="K678" i="3"/>
  <c r="J678" i="3"/>
  <c r="C678" i="3"/>
  <c r="B678" i="3"/>
  <c r="I678" i="3" s="1"/>
  <c r="L677" i="3"/>
  <c r="M677" i="3" s="1"/>
  <c r="J677" i="3"/>
  <c r="K677" i="3" s="1"/>
  <c r="C677" i="3"/>
  <c r="B677" i="3"/>
  <c r="L676" i="3"/>
  <c r="M676" i="3" s="1"/>
  <c r="J676" i="3"/>
  <c r="K676" i="3" s="1"/>
  <c r="C676" i="3"/>
  <c r="B676" i="3"/>
  <c r="I676" i="3" s="1"/>
  <c r="L675" i="3"/>
  <c r="M675" i="3" s="1"/>
  <c r="J675" i="3"/>
  <c r="K675" i="3" s="1"/>
  <c r="C675" i="3"/>
  <c r="B675" i="3"/>
  <c r="I675" i="3" s="1"/>
  <c r="M674" i="3"/>
  <c r="L674" i="3"/>
  <c r="J674" i="3"/>
  <c r="K674" i="3" s="1"/>
  <c r="C674" i="3"/>
  <c r="B674" i="3"/>
  <c r="L673" i="3"/>
  <c r="M673" i="3" s="1"/>
  <c r="J673" i="3"/>
  <c r="K673" i="3" s="1"/>
  <c r="C673" i="3"/>
  <c r="B673" i="3"/>
  <c r="L672" i="3"/>
  <c r="M672" i="3" s="1"/>
  <c r="J672" i="3"/>
  <c r="K672" i="3" s="1"/>
  <c r="C672" i="3"/>
  <c r="B672" i="3"/>
  <c r="L671" i="3"/>
  <c r="M671" i="3" s="1"/>
  <c r="J671" i="3"/>
  <c r="K671" i="3" s="1"/>
  <c r="C671" i="3"/>
  <c r="B671" i="3"/>
  <c r="L670" i="3"/>
  <c r="M670" i="3" s="1"/>
  <c r="J670" i="3"/>
  <c r="K670" i="3" s="1"/>
  <c r="C670" i="3"/>
  <c r="B670" i="3"/>
  <c r="L669" i="3"/>
  <c r="M669" i="3" s="1"/>
  <c r="J669" i="3"/>
  <c r="K669" i="3" s="1"/>
  <c r="C669" i="3"/>
  <c r="B669" i="3"/>
  <c r="L668" i="3"/>
  <c r="M668" i="3" s="1"/>
  <c r="J668" i="3"/>
  <c r="K668" i="3" s="1"/>
  <c r="C668" i="3"/>
  <c r="B668" i="3"/>
  <c r="L667" i="3"/>
  <c r="M667" i="3" s="1"/>
  <c r="J667" i="3"/>
  <c r="K667" i="3" s="1"/>
  <c r="C667" i="3"/>
  <c r="B667" i="3"/>
  <c r="L666" i="3"/>
  <c r="M666" i="3" s="1"/>
  <c r="J666" i="3"/>
  <c r="K666" i="3" s="1"/>
  <c r="C666" i="3"/>
  <c r="B666" i="3"/>
  <c r="L665" i="3"/>
  <c r="M665" i="3" s="1"/>
  <c r="J665" i="3"/>
  <c r="K665" i="3" s="1"/>
  <c r="C665" i="3"/>
  <c r="B665" i="3"/>
  <c r="L664" i="3"/>
  <c r="M664" i="3" s="1"/>
  <c r="J664" i="3"/>
  <c r="K664" i="3" s="1"/>
  <c r="C664" i="3"/>
  <c r="B664" i="3"/>
  <c r="L663" i="3"/>
  <c r="M663" i="3" s="1"/>
  <c r="J663" i="3"/>
  <c r="K663" i="3" s="1"/>
  <c r="C663" i="3"/>
  <c r="B663" i="3"/>
  <c r="L662" i="3"/>
  <c r="M662" i="3" s="1"/>
  <c r="J662" i="3"/>
  <c r="K662" i="3" s="1"/>
  <c r="C662" i="3"/>
  <c r="B662" i="3"/>
  <c r="L661" i="3"/>
  <c r="M661" i="3" s="1"/>
  <c r="J661" i="3"/>
  <c r="K661" i="3" s="1"/>
  <c r="C661" i="3"/>
  <c r="B661" i="3"/>
  <c r="L660" i="3"/>
  <c r="M660" i="3" s="1"/>
  <c r="J660" i="3"/>
  <c r="K660" i="3" s="1"/>
  <c r="C660" i="3"/>
  <c r="B660" i="3"/>
  <c r="L659" i="3"/>
  <c r="M659" i="3" s="1"/>
  <c r="J659" i="3"/>
  <c r="K659" i="3" s="1"/>
  <c r="C659" i="3"/>
  <c r="B659" i="3"/>
  <c r="M658" i="3"/>
  <c r="L658" i="3"/>
  <c r="J658" i="3"/>
  <c r="K658" i="3" s="1"/>
  <c r="C658" i="3"/>
  <c r="B658" i="3"/>
  <c r="L657" i="3"/>
  <c r="M657" i="3" s="1"/>
  <c r="J657" i="3"/>
  <c r="K657" i="3" s="1"/>
  <c r="C657" i="3"/>
  <c r="B657" i="3"/>
  <c r="L656" i="3"/>
  <c r="M656" i="3" s="1"/>
  <c r="J656" i="3"/>
  <c r="K656" i="3" s="1"/>
  <c r="C656" i="3"/>
  <c r="B656" i="3"/>
  <c r="L655" i="3"/>
  <c r="M655" i="3" s="1"/>
  <c r="J655" i="3"/>
  <c r="K655" i="3" s="1"/>
  <c r="C655" i="3"/>
  <c r="B655" i="3"/>
  <c r="L654" i="3"/>
  <c r="M654" i="3" s="1"/>
  <c r="J654" i="3"/>
  <c r="K654" i="3" s="1"/>
  <c r="C654" i="3"/>
  <c r="B654" i="3"/>
  <c r="L653" i="3"/>
  <c r="M653" i="3" s="1"/>
  <c r="J653" i="3"/>
  <c r="K653" i="3" s="1"/>
  <c r="C653" i="3"/>
  <c r="B653" i="3"/>
  <c r="L652" i="3"/>
  <c r="M652" i="3" s="1"/>
  <c r="J652" i="3"/>
  <c r="K652" i="3" s="1"/>
  <c r="C652" i="3"/>
  <c r="B652" i="3"/>
  <c r="L651" i="3"/>
  <c r="M651" i="3" s="1"/>
  <c r="J651" i="3"/>
  <c r="K651" i="3" s="1"/>
  <c r="C651" i="3"/>
  <c r="B651" i="3"/>
  <c r="L650" i="3"/>
  <c r="M650" i="3" s="1"/>
  <c r="J650" i="3"/>
  <c r="K650" i="3" s="1"/>
  <c r="C650" i="3"/>
  <c r="B650" i="3"/>
  <c r="L649" i="3"/>
  <c r="M649" i="3" s="1"/>
  <c r="J649" i="3"/>
  <c r="K649" i="3" s="1"/>
  <c r="C649" i="3"/>
  <c r="B649" i="3"/>
  <c r="L648" i="3"/>
  <c r="M648" i="3" s="1"/>
  <c r="J648" i="3"/>
  <c r="K648" i="3" s="1"/>
  <c r="C648" i="3"/>
  <c r="B648" i="3"/>
  <c r="L647" i="3"/>
  <c r="M647" i="3" s="1"/>
  <c r="J647" i="3"/>
  <c r="K647" i="3" s="1"/>
  <c r="C647" i="3"/>
  <c r="B647" i="3"/>
  <c r="L646" i="3"/>
  <c r="M646" i="3" s="1"/>
  <c r="K646" i="3"/>
  <c r="J646" i="3"/>
  <c r="C646" i="3"/>
  <c r="B646" i="3"/>
  <c r="L645" i="3"/>
  <c r="M645" i="3" s="1"/>
  <c r="J645" i="3"/>
  <c r="K645" i="3" s="1"/>
  <c r="C645" i="3"/>
  <c r="B645" i="3"/>
  <c r="L644" i="3"/>
  <c r="M644" i="3" s="1"/>
  <c r="J644" i="3"/>
  <c r="K644" i="3" s="1"/>
  <c r="C644" i="3"/>
  <c r="B644" i="3"/>
  <c r="L643" i="3"/>
  <c r="M643" i="3" s="1"/>
  <c r="J643" i="3"/>
  <c r="K643" i="3" s="1"/>
  <c r="C643" i="3"/>
  <c r="B643" i="3"/>
  <c r="L642" i="3"/>
  <c r="M642" i="3" s="1"/>
  <c r="J642" i="3"/>
  <c r="K642" i="3" s="1"/>
  <c r="C642" i="3"/>
  <c r="B642" i="3"/>
  <c r="L641" i="3"/>
  <c r="M641" i="3" s="1"/>
  <c r="J641" i="3"/>
  <c r="K641" i="3" s="1"/>
  <c r="C641" i="3"/>
  <c r="I641" i="3" s="1"/>
  <c r="B641" i="3"/>
  <c r="L640" i="3"/>
  <c r="M640" i="3" s="1"/>
  <c r="J640" i="3"/>
  <c r="K640" i="3" s="1"/>
  <c r="C640" i="3"/>
  <c r="B640" i="3"/>
  <c r="L639" i="3"/>
  <c r="M639" i="3" s="1"/>
  <c r="J639" i="3"/>
  <c r="K639" i="3" s="1"/>
  <c r="C639" i="3"/>
  <c r="B639" i="3"/>
  <c r="L638" i="3"/>
  <c r="M638" i="3" s="1"/>
  <c r="J638" i="3"/>
  <c r="K638" i="3" s="1"/>
  <c r="C638" i="3"/>
  <c r="B638" i="3"/>
  <c r="I638" i="3" s="1"/>
  <c r="L637" i="3"/>
  <c r="M637" i="3" s="1"/>
  <c r="J637" i="3"/>
  <c r="K637" i="3" s="1"/>
  <c r="C637" i="3"/>
  <c r="B637" i="3"/>
  <c r="L636" i="3"/>
  <c r="M636" i="3" s="1"/>
  <c r="J636" i="3"/>
  <c r="K636" i="3" s="1"/>
  <c r="C636" i="3"/>
  <c r="B636" i="3"/>
  <c r="L635" i="3"/>
  <c r="M635" i="3" s="1"/>
  <c r="J635" i="3"/>
  <c r="K635" i="3" s="1"/>
  <c r="C635" i="3"/>
  <c r="B635" i="3"/>
  <c r="L634" i="3"/>
  <c r="M634" i="3" s="1"/>
  <c r="J634" i="3"/>
  <c r="K634" i="3" s="1"/>
  <c r="C634" i="3"/>
  <c r="B634" i="3"/>
  <c r="L633" i="3"/>
  <c r="M633" i="3" s="1"/>
  <c r="J633" i="3"/>
  <c r="K633" i="3" s="1"/>
  <c r="C633" i="3"/>
  <c r="B633" i="3"/>
  <c r="L632" i="3"/>
  <c r="M632" i="3" s="1"/>
  <c r="J632" i="3"/>
  <c r="K632" i="3" s="1"/>
  <c r="C632" i="3"/>
  <c r="B632" i="3"/>
  <c r="L631" i="3"/>
  <c r="M631" i="3" s="1"/>
  <c r="J631" i="3"/>
  <c r="K631" i="3" s="1"/>
  <c r="C631" i="3"/>
  <c r="B631" i="3"/>
  <c r="L630" i="3"/>
  <c r="M630" i="3" s="1"/>
  <c r="J630" i="3"/>
  <c r="K630" i="3" s="1"/>
  <c r="C630" i="3"/>
  <c r="B630" i="3"/>
  <c r="L629" i="3"/>
  <c r="M629" i="3" s="1"/>
  <c r="J629" i="3"/>
  <c r="K629" i="3" s="1"/>
  <c r="C629" i="3"/>
  <c r="B629" i="3"/>
  <c r="L628" i="3"/>
  <c r="M628" i="3" s="1"/>
  <c r="K628" i="3"/>
  <c r="J628" i="3"/>
  <c r="C628" i="3"/>
  <c r="B628" i="3"/>
  <c r="L627" i="3"/>
  <c r="M627" i="3" s="1"/>
  <c r="J627" i="3"/>
  <c r="K627" i="3" s="1"/>
  <c r="C627" i="3"/>
  <c r="B627" i="3"/>
  <c r="L626" i="3"/>
  <c r="M626" i="3" s="1"/>
  <c r="J626" i="3"/>
  <c r="K626" i="3" s="1"/>
  <c r="C626" i="3"/>
  <c r="B626" i="3"/>
  <c r="L625" i="3"/>
  <c r="M625" i="3" s="1"/>
  <c r="J625" i="3"/>
  <c r="K625" i="3" s="1"/>
  <c r="C625" i="3"/>
  <c r="B625" i="3"/>
  <c r="I625" i="3" s="1"/>
  <c r="L624" i="3"/>
  <c r="M624" i="3" s="1"/>
  <c r="J624" i="3"/>
  <c r="K624" i="3" s="1"/>
  <c r="C624" i="3"/>
  <c r="B624" i="3"/>
  <c r="L623" i="3"/>
  <c r="M623" i="3" s="1"/>
  <c r="J623" i="3"/>
  <c r="K623" i="3" s="1"/>
  <c r="C623" i="3"/>
  <c r="B623" i="3"/>
  <c r="L622" i="3"/>
  <c r="M622" i="3" s="1"/>
  <c r="J622" i="3"/>
  <c r="K622" i="3" s="1"/>
  <c r="C622" i="3"/>
  <c r="B622" i="3"/>
  <c r="L621" i="3"/>
  <c r="M621" i="3" s="1"/>
  <c r="J621" i="3"/>
  <c r="K621" i="3" s="1"/>
  <c r="C621" i="3"/>
  <c r="B621" i="3"/>
  <c r="L620" i="3"/>
  <c r="M620" i="3" s="1"/>
  <c r="J620" i="3"/>
  <c r="K620" i="3" s="1"/>
  <c r="C620" i="3"/>
  <c r="B620" i="3"/>
  <c r="L619" i="3"/>
  <c r="M619" i="3" s="1"/>
  <c r="K619" i="3"/>
  <c r="J619" i="3"/>
  <c r="C619" i="3"/>
  <c r="B619" i="3"/>
  <c r="L618" i="3"/>
  <c r="M618" i="3" s="1"/>
  <c r="J618" i="3"/>
  <c r="K618" i="3" s="1"/>
  <c r="C618" i="3"/>
  <c r="B618" i="3"/>
  <c r="L617" i="3"/>
  <c r="M617" i="3" s="1"/>
  <c r="J617" i="3"/>
  <c r="K617" i="3" s="1"/>
  <c r="C617" i="3"/>
  <c r="B617" i="3"/>
  <c r="L616" i="3"/>
  <c r="M616" i="3" s="1"/>
  <c r="J616" i="3"/>
  <c r="K616" i="3" s="1"/>
  <c r="C616" i="3"/>
  <c r="B616" i="3"/>
  <c r="L615" i="3"/>
  <c r="M615" i="3" s="1"/>
  <c r="J615" i="3"/>
  <c r="K615" i="3" s="1"/>
  <c r="C615" i="3"/>
  <c r="B615" i="3"/>
  <c r="L614" i="3"/>
  <c r="M614" i="3" s="1"/>
  <c r="J614" i="3"/>
  <c r="K614" i="3" s="1"/>
  <c r="C614" i="3"/>
  <c r="B614" i="3"/>
  <c r="M613" i="3"/>
  <c r="L613" i="3"/>
  <c r="J613" i="3"/>
  <c r="K613" i="3" s="1"/>
  <c r="C613" i="3"/>
  <c r="B613" i="3"/>
  <c r="L612" i="3"/>
  <c r="M612" i="3" s="1"/>
  <c r="J612" i="3"/>
  <c r="K612" i="3" s="1"/>
  <c r="C612" i="3"/>
  <c r="B612" i="3"/>
  <c r="L611" i="3"/>
  <c r="M611" i="3" s="1"/>
  <c r="J611" i="3"/>
  <c r="K611" i="3" s="1"/>
  <c r="C611" i="3"/>
  <c r="B611" i="3"/>
  <c r="L610" i="3"/>
  <c r="M610" i="3" s="1"/>
  <c r="J610" i="3"/>
  <c r="K610" i="3" s="1"/>
  <c r="C610" i="3"/>
  <c r="B610" i="3"/>
  <c r="L609" i="3"/>
  <c r="M609" i="3" s="1"/>
  <c r="J609" i="3"/>
  <c r="K609" i="3" s="1"/>
  <c r="C609" i="3"/>
  <c r="B609" i="3"/>
  <c r="L608" i="3"/>
  <c r="M608" i="3" s="1"/>
  <c r="J608" i="3"/>
  <c r="K608" i="3" s="1"/>
  <c r="C608" i="3"/>
  <c r="B608" i="3"/>
  <c r="L607" i="3"/>
  <c r="M607" i="3" s="1"/>
  <c r="J607" i="3"/>
  <c r="K607" i="3" s="1"/>
  <c r="C607" i="3"/>
  <c r="B607" i="3"/>
  <c r="L606" i="3"/>
  <c r="M606" i="3" s="1"/>
  <c r="J606" i="3"/>
  <c r="K606" i="3" s="1"/>
  <c r="I606" i="3"/>
  <c r="C606" i="3"/>
  <c r="B606" i="3"/>
  <c r="L605" i="3"/>
  <c r="M605" i="3" s="1"/>
  <c r="J605" i="3"/>
  <c r="K605" i="3" s="1"/>
  <c r="C605" i="3"/>
  <c r="B605" i="3"/>
  <c r="L604" i="3"/>
  <c r="M604" i="3" s="1"/>
  <c r="J604" i="3"/>
  <c r="K604" i="3" s="1"/>
  <c r="C604" i="3"/>
  <c r="B604" i="3"/>
  <c r="L603" i="3"/>
  <c r="M603" i="3" s="1"/>
  <c r="J603" i="3"/>
  <c r="K603" i="3" s="1"/>
  <c r="C603" i="3"/>
  <c r="B603" i="3"/>
  <c r="L602" i="3"/>
  <c r="M602" i="3" s="1"/>
  <c r="J602" i="3"/>
  <c r="K602" i="3" s="1"/>
  <c r="C602" i="3"/>
  <c r="B602" i="3"/>
  <c r="L601" i="3"/>
  <c r="M601" i="3" s="1"/>
  <c r="J601" i="3"/>
  <c r="K601" i="3" s="1"/>
  <c r="C601" i="3"/>
  <c r="B601" i="3"/>
  <c r="L600" i="3"/>
  <c r="M600" i="3" s="1"/>
  <c r="J600" i="3"/>
  <c r="K600" i="3" s="1"/>
  <c r="C600" i="3"/>
  <c r="B600" i="3"/>
  <c r="L599" i="3"/>
  <c r="M599" i="3" s="1"/>
  <c r="J599" i="3"/>
  <c r="K599" i="3" s="1"/>
  <c r="C599" i="3"/>
  <c r="B599" i="3"/>
  <c r="L598" i="3"/>
  <c r="M598" i="3" s="1"/>
  <c r="J598" i="3"/>
  <c r="K598" i="3" s="1"/>
  <c r="C598" i="3"/>
  <c r="B598" i="3"/>
  <c r="L597" i="3"/>
  <c r="M597" i="3" s="1"/>
  <c r="J597" i="3"/>
  <c r="K597" i="3" s="1"/>
  <c r="C597" i="3"/>
  <c r="B597" i="3"/>
  <c r="L596" i="3"/>
  <c r="M596" i="3" s="1"/>
  <c r="J596" i="3"/>
  <c r="K596" i="3" s="1"/>
  <c r="C596" i="3"/>
  <c r="B596" i="3"/>
  <c r="L595" i="3"/>
  <c r="M595" i="3" s="1"/>
  <c r="J595" i="3"/>
  <c r="K595" i="3" s="1"/>
  <c r="C595" i="3"/>
  <c r="B595" i="3"/>
  <c r="L594" i="3"/>
  <c r="M594" i="3" s="1"/>
  <c r="J594" i="3"/>
  <c r="K594" i="3" s="1"/>
  <c r="C594" i="3"/>
  <c r="B594" i="3"/>
  <c r="L593" i="3"/>
  <c r="M593" i="3" s="1"/>
  <c r="J593" i="3"/>
  <c r="K593" i="3" s="1"/>
  <c r="C593" i="3"/>
  <c r="B593" i="3"/>
  <c r="I593" i="3" s="1"/>
  <c r="L592" i="3"/>
  <c r="M592" i="3" s="1"/>
  <c r="J592" i="3"/>
  <c r="K592" i="3" s="1"/>
  <c r="C592" i="3"/>
  <c r="B592" i="3"/>
  <c r="L591" i="3"/>
  <c r="M591" i="3" s="1"/>
  <c r="J591" i="3"/>
  <c r="K591" i="3" s="1"/>
  <c r="C591" i="3"/>
  <c r="B591" i="3"/>
  <c r="L590" i="3"/>
  <c r="M590" i="3" s="1"/>
  <c r="J590" i="3"/>
  <c r="K590" i="3" s="1"/>
  <c r="C590" i="3"/>
  <c r="B590" i="3"/>
  <c r="L589" i="3"/>
  <c r="M589" i="3" s="1"/>
  <c r="J589" i="3"/>
  <c r="K589" i="3" s="1"/>
  <c r="C589" i="3"/>
  <c r="B589" i="3"/>
  <c r="L588" i="3"/>
  <c r="M588" i="3" s="1"/>
  <c r="J588" i="3"/>
  <c r="K588" i="3" s="1"/>
  <c r="C588" i="3"/>
  <c r="B588" i="3"/>
  <c r="L587" i="3"/>
  <c r="M587" i="3" s="1"/>
  <c r="J587" i="3"/>
  <c r="K587" i="3" s="1"/>
  <c r="C587" i="3"/>
  <c r="B587" i="3"/>
  <c r="L586" i="3"/>
  <c r="M586" i="3" s="1"/>
  <c r="J586" i="3"/>
  <c r="K586" i="3" s="1"/>
  <c r="C586" i="3"/>
  <c r="B586" i="3"/>
  <c r="L585" i="3"/>
  <c r="M585" i="3" s="1"/>
  <c r="J585" i="3"/>
  <c r="K585" i="3" s="1"/>
  <c r="C585" i="3"/>
  <c r="B585" i="3"/>
  <c r="I585" i="3" s="1"/>
  <c r="L584" i="3"/>
  <c r="M584" i="3" s="1"/>
  <c r="J584" i="3"/>
  <c r="K584" i="3" s="1"/>
  <c r="C584" i="3"/>
  <c r="B584" i="3"/>
  <c r="I584" i="3" s="1"/>
  <c r="L583" i="3"/>
  <c r="M583" i="3" s="1"/>
  <c r="J583" i="3"/>
  <c r="K583" i="3" s="1"/>
  <c r="C583" i="3"/>
  <c r="B583" i="3"/>
  <c r="L582" i="3"/>
  <c r="M582" i="3" s="1"/>
  <c r="J582" i="3"/>
  <c r="K582" i="3" s="1"/>
  <c r="C582" i="3"/>
  <c r="B582" i="3"/>
  <c r="I582" i="3" s="1"/>
  <c r="L581" i="3"/>
  <c r="M581" i="3" s="1"/>
  <c r="J581" i="3"/>
  <c r="K581" i="3" s="1"/>
  <c r="C581" i="3"/>
  <c r="B581" i="3"/>
  <c r="L580" i="3"/>
  <c r="M580" i="3" s="1"/>
  <c r="J580" i="3"/>
  <c r="K580" i="3" s="1"/>
  <c r="C580" i="3"/>
  <c r="B580" i="3"/>
  <c r="L579" i="3"/>
  <c r="M579" i="3" s="1"/>
  <c r="J579" i="3"/>
  <c r="K579" i="3" s="1"/>
  <c r="C579" i="3"/>
  <c r="B579" i="3"/>
  <c r="L578" i="3"/>
  <c r="M578" i="3" s="1"/>
  <c r="J578" i="3"/>
  <c r="K578" i="3" s="1"/>
  <c r="C578" i="3"/>
  <c r="B578" i="3"/>
  <c r="L577" i="3"/>
  <c r="M577" i="3" s="1"/>
  <c r="J577" i="3"/>
  <c r="K577" i="3" s="1"/>
  <c r="C577" i="3"/>
  <c r="B577" i="3"/>
  <c r="I577" i="3" s="1"/>
  <c r="L576" i="3"/>
  <c r="M576" i="3" s="1"/>
  <c r="J576" i="3"/>
  <c r="K576" i="3" s="1"/>
  <c r="C576" i="3"/>
  <c r="B576" i="3"/>
  <c r="I576" i="3" s="1"/>
  <c r="L575" i="3"/>
  <c r="M575" i="3" s="1"/>
  <c r="J575" i="3"/>
  <c r="K575" i="3" s="1"/>
  <c r="C575" i="3"/>
  <c r="B575" i="3"/>
  <c r="L574" i="3"/>
  <c r="M574" i="3" s="1"/>
  <c r="J574" i="3"/>
  <c r="K574" i="3" s="1"/>
  <c r="C574" i="3"/>
  <c r="B574" i="3"/>
  <c r="L573" i="3"/>
  <c r="M573" i="3" s="1"/>
  <c r="J573" i="3"/>
  <c r="K573" i="3" s="1"/>
  <c r="C573" i="3"/>
  <c r="B573" i="3"/>
  <c r="L572" i="3"/>
  <c r="M572" i="3" s="1"/>
  <c r="J572" i="3"/>
  <c r="K572" i="3" s="1"/>
  <c r="C572" i="3"/>
  <c r="B572" i="3"/>
  <c r="L571" i="3"/>
  <c r="M571" i="3" s="1"/>
  <c r="J571" i="3"/>
  <c r="K571" i="3" s="1"/>
  <c r="C571" i="3"/>
  <c r="B571" i="3"/>
  <c r="L570" i="3"/>
  <c r="M570" i="3" s="1"/>
  <c r="J570" i="3"/>
  <c r="K570" i="3" s="1"/>
  <c r="C570" i="3"/>
  <c r="B570" i="3"/>
  <c r="L569" i="3"/>
  <c r="M569" i="3" s="1"/>
  <c r="J569" i="3"/>
  <c r="K569" i="3" s="1"/>
  <c r="C569" i="3"/>
  <c r="B569" i="3"/>
  <c r="L568" i="3"/>
  <c r="M568" i="3" s="1"/>
  <c r="J568" i="3"/>
  <c r="K568" i="3" s="1"/>
  <c r="C568" i="3"/>
  <c r="B568" i="3"/>
  <c r="L567" i="3"/>
  <c r="M567" i="3" s="1"/>
  <c r="J567" i="3"/>
  <c r="K567" i="3" s="1"/>
  <c r="C567" i="3"/>
  <c r="B567" i="3"/>
  <c r="L566" i="3"/>
  <c r="M566" i="3" s="1"/>
  <c r="J566" i="3"/>
  <c r="K566" i="3" s="1"/>
  <c r="C566" i="3"/>
  <c r="B566" i="3"/>
  <c r="I566" i="3" s="1"/>
  <c r="L565" i="3"/>
  <c r="M565" i="3" s="1"/>
  <c r="J565" i="3"/>
  <c r="K565" i="3" s="1"/>
  <c r="C565" i="3"/>
  <c r="B565" i="3"/>
  <c r="L564" i="3"/>
  <c r="M564" i="3" s="1"/>
  <c r="K564" i="3"/>
  <c r="J564" i="3"/>
  <c r="C564" i="3"/>
  <c r="B564" i="3"/>
  <c r="L563" i="3"/>
  <c r="M563" i="3" s="1"/>
  <c r="J563" i="3"/>
  <c r="K563" i="3" s="1"/>
  <c r="C563" i="3"/>
  <c r="B563" i="3"/>
  <c r="M562" i="3"/>
  <c r="L562" i="3"/>
  <c r="J562" i="3"/>
  <c r="K562" i="3" s="1"/>
  <c r="C562" i="3"/>
  <c r="B562" i="3"/>
  <c r="L561" i="3"/>
  <c r="M561" i="3" s="1"/>
  <c r="J561" i="3"/>
  <c r="K561" i="3" s="1"/>
  <c r="C561" i="3"/>
  <c r="I561" i="3" s="1"/>
  <c r="B561" i="3"/>
  <c r="L560" i="3"/>
  <c r="M560" i="3" s="1"/>
  <c r="J560" i="3"/>
  <c r="K560" i="3" s="1"/>
  <c r="C560" i="3"/>
  <c r="B560" i="3"/>
  <c r="L559" i="3"/>
  <c r="M559" i="3" s="1"/>
  <c r="J559" i="3"/>
  <c r="K559" i="3" s="1"/>
  <c r="C559" i="3"/>
  <c r="B559" i="3"/>
  <c r="L558" i="3"/>
  <c r="M558" i="3" s="1"/>
  <c r="J558" i="3"/>
  <c r="K558" i="3" s="1"/>
  <c r="C558" i="3"/>
  <c r="B558" i="3"/>
  <c r="L557" i="3"/>
  <c r="M557" i="3" s="1"/>
  <c r="J557" i="3"/>
  <c r="K557" i="3" s="1"/>
  <c r="C557" i="3"/>
  <c r="B557" i="3"/>
  <c r="L556" i="3"/>
  <c r="M556" i="3" s="1"/>
  <c r="J556" i="3"/>
  <c r="K556" i="3" s="1"/>
  <c r="C556" i="3"/>
  <c r="B556" i="3"/>
  <c r="L555" i="3"/>
  <c r="M555" i="3" s="1"/>
  <c r="J555" i="3"/>
  <c r="K555" i="3" s="1"/>
  <c r="C555" i="3"/>
  <c r="B555" i="3"/>
  <c r="L554" i="3"/>
  <c r="M554" i="3" s="1"/>
  <c r="J554" i="3"/>
  <c r="K554" i="3" s="1"/>
  <c r="C554" i="3"/>
  <c r="B554" i="3"/>
  <c r="L553" i="3"/>
  <c r="M553" i="3" s="1"/>
  <c r="J553" i="3"/>
  <c r="K553" i="3" s="1"/>
  <c r="C553" i="3"/>
  <c r="B553" i="3"/>
  <c r="L552" i="3"/>
  <c r="M552" i="3" s="1"/>
  <c r="J552" i="3"/>
  <c r="K552" i="3" s="1"/>
  <c r="C552" i="3"/>
  <c r="B552" i="3"/>
  <c r="L551" i="3"/>
  <c r="M551" i="3" s="1"/>
  <c r="J551" i="3"/>
  <c r="K551" i="3" s="1"/>
  <c r="C551" i="3"/>
  <c r="B551" i="3"/>
  <c r="L550" i="3"/>
  <c r="M550" i="3" s="1"/>
  <c r="J550" i="3"/>
  <c r="K550" i="3" s="1"/>
  <c r="C550" i="3"/>
  <c r="B550" i="3"/>
  <c r="L549" i="3"/>
  <c r="M549" i="3" s="1"/>
  <c r="J549" i="3"/>
  <c r="K549" i="3" s="1"/>
  <c r="C549" i="3"/>
  <c r="B549" i="3"/>
  <c r="L548" i="3"/>
  <c r="M548" i="3" s="1"/>
  <c r="J548" i="3"/>
  <c r="K548" i="3" s="1"/>
  <c r="C548" i="3"/>
  <c r="B548" i="3"/>
  <c r="I548" i="3" s="1"/>
  <c r="L547" i="3"/>
  <c r="M547" i="3" s="1"/>
  <c r="J547" i="3"/>
  <c r="K547" i="3" s="1"/>
  <c r="C547" i="3"/>
  <c r="B547" i="3"/>
  <c r="L546" i="3"/>
  <c r="M546" i="3" s="1"/>
  <c r="J546" i="3"/>
  <c r="K546" i="3" s="1"/>
  <c r="C546" i="3"/>
  <c r="B546" i="3"/>
  <c r="L545" i="3"/>
  <c r="M545" i="3" s="1"/>
  <c r="J545" i="3"/>
  <c r="K545" i="3" s="1"/>
  <c r="C545" i="3"/>
  <c r="B545" i="3"/>
  <c r="I545" i="3" s="1"/>
  <c r="L544" i="3"/>
  <c r="M544" i="3" s="1"/>
  <c r="J544" i="3"/>
  <c r="K544" i="3" s="1"/>
  <c r="C544" i="3"/>
  <c r="B544" i="3"/>
  <c r="L543" i="3"/>
  <c r="M543" i="3" s="1"/>
  <c r="J543" i="3"/>
  <c r="K543" i="3" s="1"/>
  <c r="C543" i="3"/>
  <c r="B543" i="3"/>
  <c r="L542" i="3"/>
  <c r="M542" i="3" s="1"/>
  <c r="J542" i="3"/>
  <c r="K542" i="3" s="1"/>
  <c r="C542" i="3"/>
  <c r="B542" i="3"/>
  <c r="L541" i="3"/>
  <c r="M541" i="3" s="1"/>
  <c r="J541" i="3"/>
  <c r="K541" i="3" s="1"/>
  <c r="C541" i="3"/>
  <c r="B541" i="3"/>
  <c r="L540" i="3"/>
  <c r="M540" i="3" s="1"/>
  <c r="J540" i="3"/>
  <c r="K540" i="3" s="1"/>
  <c r="C540" i="3"/>
  <c r="B540" i="3"/>
  <c r="L539" i="3"/>
  <c r="M539" i="3" s="1"/>
  <c r="J539" i="3"/>
  <c r="K539" i="3" s="1"/>
  <c r="C539" i="3"/>
  <c r="B539" i="3"/>
  <c r="L538" i="3"/>
  <c r="M538" i="3" s="1"/>
  <c r="J538" i="3"/>
  <c r="K538" i="3" s="1"/>
  <c r="C538" i="3"/>
  <c r="B538" i="3"/>
  <c r="I538" i="3" s="1"/>
  <c r="L537" i="3"/>
  <c r="M537" i="3" s="1"/>
  <c r="J537" i="3"/>
  <c r="K537" i="3" s="1"/>
  <c r="C537" i="3"/>
  <c r="B537" i="3"/>
  <c r="L536" i="3"/>
  <c r="M536" i="3" s="1"/>
  <c r="J536" i="3"/>
  <c r="K536" i="3" s="1"/>
  <c r="C536" i="3"/>
  <c r="B536" i="3"/>
  <c r="I536" i="3" s="1"/>
  <c r="L535" i="3"/>
  <c r="M535" i="3" s="1"/>
  <c r="J535" i="3"/>
  <c r="K535" i="3" s="1"/>
  <c r="C535" i="3"/>
  <c r="B535" i="3"/>
  <c r="L534" i="3"/>
  <c r="M534" i="3" s="1"/>
  <c r="J534" i="3"/>
  <c r="K534" i="3" s="1"/>
  <c r="C534" i="3"/>
  <c r="B534" i="3"/>
  <c r="L533" i="3"/>
  <c r="M533" i="3" s="1"/>
  <c r="J533" i="3"/>
  <c r="K533" i="3" s="1"/>
  <c r="C533" i="3"/>
  <c r="I533" i="3" s="1"/>
  <c r="B533" i="3"/>
  <c r="L532" i="3"/>
  <c r="M532" i="3" s="1"/>
  <c r="J532" i="3"/>
  <c r="K532" i="3" s="1"/>
  <c r="C532" i="3"/>
  <c r="B532" i="3"/>
  <c r="I532" i="3" s="1"/>
  <c r="L531" i="3"/>
  <c r="M531" i="3" s="1"/>
  <c r="J531" i="3"/>
  <c r="K531" i="3" s="1"/>
  <c r="C531" i="3"/>
  <c r="B531" i="3"/>
  <c r="L530" i="3"/>
  <c r="M530" i="3" s="1"/>
  <c r="J530" i="3"/>
  <c r="K530" i="3" s="1"/>
  <c r="C530" i="3"/>
  <c r="B530" i="3"/>
  <c r="L529" i="3"/>
  <c r="M529" i="3" s="1"/>
  <c r="J529" i="3"/>
  <c r="K529" i="3" s="1"/>
  <c r="C529" i="3"/>
  <c r="B529" i="3"/>
  <c r="L528" i="3"/>
  <c r="M528" i="3" s="1"/>
  <c r="J528" i="3"/>
  <c r="K528" i="3" s="1"/>
  <c r="C528" i="3"/>
  <c r="B528" i="3"/>
  <c r="L527" i="3"/>
  <c r="M527" i="3" s="1"/>
  <c r="J527" i="3"/>
  <c r="K527" i="3" s="1"/>
  <c r="C527" i="3"/>
  <c r="B527" i="3"/>
  <c r="L526" i="3"/>
  <c r="M526" i="3" s="1"/>
  <c r="J526" i="3"/>
  <c r="K526" i="3" s="1"/>
  <c r="C526" i="3"/>
  <c r="B526" i="3"/>
  <c r="L525" i="3"/>
  <c r="M525" i="3" s="1"/>
  <c r="J525" i="3"/>
  <c r="K525" i="3" s="1"/>
  <c r="C525" i="3"/>
  <c r="B525" i="3"/>
  <c r="L524" i="3"/>
  <c r="M524" i="3" s="1"/>
  <c r="J524" i="3"/>
  <c r="K524" i="3" s="1"/>
  <c r="C524" i="3"/>
  <c r="B524" i="3"/>
  <c r="L523" i="3"/>
  <c r="M523" i="3" s="1"/>
  <c r="J523" i="3"/>
  <c r="K523" i="3" s="1"/>
  <c r="C523" i="3"/>
  <c r="B523" i="3"/>
  <c r="L522" i="3"/>
  <c r="M522" i="3" s="1"/>
  <c r="J522" i="3"/>
  <c r="K522" i="3" s="1"/>
  <c r="C522" i="3"/>
  <c r="B522" i="3"/>
  <c r="L521" i="3"/>
  <c r="M521" i="3" s="1"/>
  <c r="J521" i="3"/>
  <c r="K521" i="3" s="1"/>
  <c r="C521" i="3"/>
  <c r="B521" i="3"/>
  <c r="L520" i="3"/>
  <c r="M520" i="3" s="1"/>
  <c r="J520" i="3"/>
  <c r="K520" i="3" s="1"/>
  <c r="C520" i="3"/>
  <c r="B520" i="3"/>
  <c r="L519" i="3"/>
  <c r="M519" i="3" s="1"/>
  <c r="J519" i="3"/>
  <c r="K519" i="3" s="1"/>
  <c r="C519" i="3"/>
  <c r="I519" i="3" s="1"/>
  <c r="B519" i="3"/>
  <c r="L518" i="3"/>
  <c r="M518" i="3" s="1"/>
  <c r="J518" i="3"/>
  <c r="K518" i="3" s="1"/>
  <c r="C518" i="3"/>
  <c r="B518" i="3"/>
  <c r="L517" i="3"/>
  <c r="M517" i="3" s="1"/>
  <c r="J517" i="3"/>
  <c r="K517" i="3" s="1"/>
  <c r="C517" i="3"/>
  <c r="B517" i="3"/>
  <c r="L516" i="3"/>
  <c r="M516" i="3" s="1"/>
  <c r="J516" i="3"/>
  <c r="K516" i="3" s="1"/>
  <c r="C516" i="3"/>
  <c r="B516" i="3"/>
  <c r="L515" i="3"/>
  <c r="M515" i="3" s="1"/>
  <c r="J515" i="3"/>
  <c r="K515" i="3" s="1"/>
  <c r="C515" i="3"/>
  <c r="B515" i="3"/>
  <c r="L514" i="3"/>
  <c r="M514" i="3" s="1"/>
  <c r="J514" i="3"/>
  <c r="K514" i="3" s="1"/>
  <c r="C514" i="3"/>
  <c r="B514" i="3"/>
  <c r="L513" i="3"/>
  <c r="M513" i="3" s="1"/>
  <c r="J513" i="3"/>
  <c r="K513" i="3" s="1"/>
  <c r="C513" i="3"/>
  <c r="B513" i="3"/>
  <c r="L512" i="3"/>
  <c r="M512" i="3" s="1"/>
  <c r="J512" i="3"/>
  <c r="K512" i="3" s="1"/>
  <c r="C512" i="3"/>
  <c r="B512" i="3"/>
  <c r="L511" i="3"/>
  <c r="M511" i="3" s="1"/>
  <c r="J511" i="3"/>
  <c r="K511" i="3" s="1"/>
  <c r="C511" i="3"/>
  <c r="B511" i="3"/>
  <c r="L510" i="3"/>
  <c r="M510" i="3" s="1"/>
  <c r="J510" i="3"/>
  <c r="K510" i="3" s="1"/>
  <c r="C510" i="3"/>
  <c r="B510" i="3"/>
  <c r="L509" i="3"/>
  <c r="M509" i="3" s="1"/>
  <c r="J509" i="3"/>
  <c r="K509" i="3" s="1"/>
  <c r="C509" i="3"/>
  <c r="B509" i="3"/>
  <c r="L508" i="3"/>
  <c r="M508" i="3" s="1"/>
  <c r="J508" i="3"/>
  <c r="K508" i="3" s="1"/>
  <c r="C508" i="3"/>
  <c r="B508" i="3"/>
  <c r="L507" i="3"/>
  <c r="M507" i="3" s="1"/>
  <c r="J507" i="3"/>
  <c r="K507" i="3" s="1"/>
  <c r="C507" i="3"/>
  <c r="B507" i="3"/>
  <c r="L506" i="3"/>
  <c r="M506" i="3" s="1"/>
  <c r="J506" i="3"/>
  <c r="K506" i="3" s="1"/>
  <c r="C506" i="3"/>
  <c r="B506" i="3"/>
  <c r="L505" i="3"/>
  <c r="M505" i="3" s="1"/>
  <c r="K505" i="3"/>
  <c r="J505" i="3"/>
  <c r="C505" i="3"/>
  <c r="B505" i="3"/>
  <c r="L504" i="3"/>
  <c r="M504" i="3" s="1"/>
  <c r="J504" i="3"/>
  <c r="K504" i="3" s="1"/>
  <c r="C504" i="3"/>
  <c r="B504" i="3"/>
  <c r="M503" i="3"/>
  <c r="L503" i="3"/>
  <c r="J503" i="3"/>
  <c r="K503" i="3" s="1"/>
  <c r="C503" i="3"/>
  <c r="B503" i="3"/>
  <c r="L502" i="3"/>
  <c r="M502" i="3" s="1"/>
  <c r="J502" i="3"/>
  <c r="K502" i="3" s="1"/>
  <c r="C502" i="3"/>
  <c r="B502" i="3"/>
  <c r="L501" i="3"/>
  <c r="M501" i="3" s="1"/>
  <c r="J501" i="3"/>
  <c r="K501" i="3" s="1"/>
  <c r="C501" i="3"/>
  <c r="B501" i="3"/>
  <c r="L500" i="3"/>
  <c r="M500" i="3" s="1"/>
  <c r="J500" i="3"/>
  <c r="K500" i="3" s="1"/>
  <c r="C500" i="3"/>
  <c r="B500" i="3"/>
  <c r="L499" i="3"/>
  <c r="M499" i="3" s="1"/>
  <c r="J499" i="3"/>
  <c r="K499" i="3" s="1"/>
  <c r="C499" i="3"/>
  <c r="B499" i="3"/>
  <c r="L498" i="3"/>
  <c r="M498" i="3" s="1"/>
  <c r="J498" i="3"/>
  <c r="K498" i="3" s="1"/>
  <c r="C498" i="3"/>
  <c r="B498" i="3"/>
  <c r="L497" i="3"/>
  <c r="M497" i="3" s="1"/>
  <c r="J497" i="3"/>
  <c r="K497" i="3" s="1"/>
  <c r="C497" i="3"/>
  <c r="B497" i="3"/>
  <c r="L496" i="3"/>
  <c r="M496" i="3" s="1"/>
  <c r="J496" i="3"/>
  <c r="K496" i="3" s="1"/>
  <c r="C496" i="3"/>
  <c r="B496" i="3"/>
  <c r="L495" i="3"/>
  <c r="M495" i="3" s="1"/>
  <c r="J495" i="3"/>
  <c r="K495" i="3" s="1"/>
  <c r="C495" i="3"/>
  <c r="B495" i="3"/>
  <c r="L494" i="3"/>
  <c r="M494" i="3" s="1"/>
  <c r="J494" i="3"/>
  <c r="K494" i="3" s="1"/>
  <c r="C494" i="3"/>
  <c r="B494" i="3"/>
  <c r="L493" i="3"/>
  <c r="M493" i="3" s="1"/>
  <c r="J493" i="3"/>
  <c r="K493" i="3" s="1"/>
  <c r="C493" i="3"/>
  <c r="B493" i="3"/>
  <c r="L492" i="3"/>
  <c r="M492" i="3" s="1"/>
  <c r="J492" i="3"/>
  <c r="K492" i="3" s="1"/>
  <c r="C492" i="3"/>
  <c r="B492" i="3"/>
  <c r="L491" i="3"/>
  <c r="M491" i="3" s="1"/>
  <c r="J491" i="3"/>
  <c r="K491" i="3" s="1"/>
  <c r="C491" i="3"/>
  <c r="B491" i="3"/>
  <c r="L490" i="3"/>
  <c r="M490" i="3" s="1"/>
  <c r="J490" i="3"/>
  <c r="K490" i="3" s="1"/>
  <c r="C490" i="3"/>
  <c r="B490" i="3"/>
  <c r="L489" i="3"/>
  <c r="M489" i="3" s="1"/>
  <c r="J489" i="3"/>
  <c r="K489" i="3" s="1"/>
  <c r="C489" i="3"/>
  <c r="B489" i="3"/>
  <c r="L488" i="3"/>
  <c r="M488" i="3" s="1"/>
  <c r="J488" i="3"/>
  <c r="K488" i="3" s="1"/>
  <c r="C488" i="3"/>
  <c r="B488" i="3"/>
  <c r="L487" i="3"/>
  <c r="M487" i="3" s="1"/>
  <c r="J487" i="3"/>
  <c r="K487" i="3" s="1"/>
  <c r="C487" i="3"/>
  <c r="B487" i="3"/>
  <c r="L486" i="3"/>
  <c r="M486" i="3" s="1"/>
  <c r="J486" i="3"/>
  <c r="K486" i="3" s="1"/>
  <c r="C486" i="3"/>
  <c r="B486" i="3"/>
  <c r="L485" i="3"/>
  <c r="M485" i="3" s="1"/>
  <c r="J485" i="3"/>
  <c r="K485" i="3" s="1"/>
  <c r="C485" i="3"/>
  <c r="B485" i="3"/>
  <c r="L484" i="3"/>
  <c r="M484" i="3" s="1"/>
  <c r="J484" i="3"/>
  <c r="K484" i="3" s="1"/>
  <c r="C484" i="3"/>
  <c r="I484" i="3" s="1"/>
  <c r="B484" i="3"/>
  <c r="L483" i="3"/>
  <c r="M483" i="3" s="1"/>
  <c r="J483" i="3"/>
  <c r="K483" i="3" s="1"/>
  <c r="C483" i="3"/>
  <c r="B483" i="3"/>
  <c r="L482" i="3"/>
  <c r="M482" i="3" s="1"/>
  <c r="J482" i="3"/>
  <c r="K482" i="3" s="1"/>
  <c r="C482" i="3"/>
  <c r="B482" i="3"/>
  <c r="L481" i="3"/>
  <c r="M481" i="3" s="1"/>
  <c r="J481" i="3"/>
  <c r="K481" i="3" s="1"/>
  <c r="C481" i="3"/>
  <c r="B481" i="3"/>
  <c r="L480" i="3"/>
  <c r="M480" i="3" s="1"/>
  <c r="J480" i="3"/>
  <c r="K480" i="3" s="1"/>
  <c r="C480" i="3"/>
  <c r="B480" i="3"/>
  <c r="L479" i="3"/>
  <c r="M479" i="3" s="1"/>
  <c r="J479" i="3"/>
  <c r="K479" i="3" s="1"/>
  <c r="C479" i="3"/>
  <c r="B479" i="3"/>
  <c r="L478" i="3"/>
  <c r="M478" i="3" s="1"/>
  <c r="J478" i="3"/>
  <c r="K478" i="3" s="1"/>
  <c r="C478" i="3"/>
  <c r="B478" i="3"/>
  <c r="L477" i="3"/>
  <c r="M477" i="3" s="1"/>
  <c r="J477" i="3"/>
  <c r="K477" i="3" s="1"/>
  <c r="C477" i="3"/>
  <c r="B477" i="3"/>
  <c r="L476" i="3"/>
  <c r="M476" i="3" s="1"/>
  <c r="J476" i="3"/>
  <c r="K476" i="3" s="1"/>
  <c r="C476" i="3"/>
  <c r="B476" i="3"/>
  <c r="L475" i="3"/>
  <c r="M475" i="3" s="1"/>
  <c r="J475" i="3"/>
  <c r="K475" i="3" s="1"/>
  <c r="C475" i="3"/>
  <c r="B475" i="3"/>
  <c r="L474" i="3"/>
  <c r="M474" i="3" s="1"/>
  <c r="J474" i="3"/>
  <c r="K474" i="3" s="1"/>
  <c r="C474" i="3"/>
  <c r="B474" i="3"/>
  <c r="I474" i="3" s="1"/>
  <c r="L473" i="3"/>
  <c r="M473" i="3" s="1"/>
  <c r="K473" i="3"/>
  <c r="J473" i="3"/>
  <c r="C473" i="3"/>
  <c r="B473" i="3"/>
  <c r="L472" i="3"/>
  <c r="M472" i="3" s="1"/>
  <c r="J472" i="3"/>
  <c r="K472" i="3" s="1"/>
  <c r="C472" i="3"/>
  <c r="B472" i="3"/>
  <c r="M471" i="3"/>
  <c r="L471" i="3"/>
  <c r="J471" i="3"/>
  <c r="K471" i="3" s="1"/>
  <c r="C471" i="3"/>
  <c r="B471" i="3"/>
  <c r="L470" i="3"/>
  <c r="M470" i="3" s="1"/>
  <c r="J470" i="3"/>
  <c r="K470" i="3" s="1"/>
  <c r="C470" i="3"/>
  <c r="B470" i="3"/>
  <c r="L469" i="3"/>
  <c r="M469" i="3" s="1"/>
  <c r="J469" i="3"/>
  <c r="K469" i="3" s="1"/>
  <c r="C469" i="3"/>
  <c r="B469" i="3"/>
  <c r="L468" i="3"/>
  <c r="M468" i="3" s="1"/>
  <c r="J468" i="3"/>
  <c r="K468" i="3" s="1"/>
  <c r="C468" i="3"/>
  <c r="B468" i="3"/>
  <c r="L467" i="3"/>
  <c r="M467" i="3" s="1"/>
  <c r="J467" i="3"/>
  <c r="K467" i="3" s="1"/>
  <c r="C467" i="3"/>
  <c r="B467" i="3"/>
  <c r="L466" i="3"/>
  <c r="M466" i="3" s="1"/>
  <c r="J466" i="3"/>
  <c r="K466" i="3" s="1"/>
  <c r="C466" i="3"/>
  <c r="B466" i="3"/>
  <c r="L465" i="3"/>
  <c r="M465" i="3" s="1"/>
  <c r="J465" i="3"/>
  <c r="K465" i="3" s="1"/>
  <c r="C465" i="3"/>
  <c r="B465" i="3"/>
  <c r="L464" i="3"/>
  <c r="M464" i="3" s="1"/>
  <c r="J464" i="3"/>
  <c r="K464" i="3" s="1"/>
  <c r="C464" i="3"/>
  <c r="B464" i="3"/>
  <c r="L463" i="3"/>
  <c r="M463" i="3" s="1"/>
  <c r="J463" i="3"/>
  <c r="K463" i="3" s="1"/>
  <c r="C463" i="3"/>
  <c r="B463" i="3"/>
  <c r="L462" i="3"/>
  <c r="M462" i="3" s="1"/>
  <c r="J462" i="3"/>
  <c r="K462" i="3" s="1"/>
  <c r="C462" i="3"/>
  <c r="B462" i="3"/>
  <c r="L461" i="3"/>
  <c r="M461" i="3" s="1"/>
  <c r="K461" i="3"/>
  <c r="J461" i="3"/>
  <c r="C461" i="3"/>
  <c r="B461" i="3"/>
  <c r="L460" i="3"/>
  <c r="M460" i="3" s="1"/>
  <c r="J460" i="3"/>
  <c r="K460" i="3" s="1"/>
  <c r="C460" i="3"/>
  <c r="B460" i="3"/>
  <c r="L459" i="3"/>
  <c r="M459" i="3" s="1"/>
  <c r="J459" i="3"/>
  <c r="K459" i="3" s="1"/>
  <c r="C459" i="3"/>
  <c r="B459" i="3"/>
  <c r="L458" i="3"/>
  <c r="M458" i="3" s="1"/>
  <c r="J458" i="3"/>
  <c r="K458" i="3" s="1"/>
  <c r="C458" i="3"/>
  <c r="B458" i="3"/>
  <c r="L457" i="3"/>
  <c r="M457" i="3" s="1"/>
  <c r="J457" i="3"/>
  <c r="K457" i="3" s="1"/>
  <c r="C457" i="3"/>
  <c r="B457" i="3"/>
  <c r="L456" i="3"/>
  <c r="M456" i="3" s="1"/>
  <c r="J456" i="3"/>
  <c r="K456" i="3" s="1"/>
  <c r="C456" i="3"/>
  <c r="B456" i="3"/>
  <c r="L455" i="3"/>
  <c r="M455" i="3" s="1"/>
  <c r="J455" i="3"/>
  <c r="K455" i="3" s="1"/>
  <c r="C455" i="3"/>
  <c r="B455" i="3"/>
  <c r="L454" i="3"/>
  <c r="M454" i="3" s="1"/>
  <c r="J454" i="3"/>
  <c r="K454" i="3" s="1"/>
  <c r="C454" i="3"/>
  <c r="B454" i="3"/>
  <c r="L453" i="3"/>
  <c r="M453" i="3" s="1"/>
  <c r="J453" i="3"/>
  <c r="K453" i="3" s="1"/>
  <c r="C453" i="3"/>
  <c r="B453" i="3"/>
  <c r="L452" i="3"/>
  <c r="M452" i="3" s="1"/>
  <c r="J452" i="3"/>
  <c r="K452" i="3" s="1"/>
  <c r="C452" i="3"/>
  <c r="B452" i="3"/>
  <c r="L451" i="3"/>
  <c r="M451" i="3" s="1"/>
  <c r="J451" i="3"/>
  <c r="K451" i="3" s="1"/>
  <c r="C451" i="3"/>
  <c r="B451" i="3"/>
  <c r="L450" i="3"/>
  <c r="M450" i="3" s="1"/>
  <c r="J450" i="3"/>
  <c r="K450" i="3" s="1"/>
  <c r="C450" i="3"/>
  <c r="B450" i="3"/>
  <c r="L449" i="3"/>
  <c r="M449" i="3" s="1"/>
  <c r="J449" i="3"/>
  <c r="K449" i="3" s="1"/>
  <c r="C449" i="3"/>
  <c r="B449" i="3"/>
  <c r="L448" i="3"/>
  <c r="M448" i="3" s="1"/>
  <c r="J448" i="3"/>
  <c r="K448" i="3" s="1"/>
  <c r="C448" i="3"/>
  <c r="B448" i="3"/>
  <c r="M447" i="3"/>
  <c r="L447" i="3"/>
  <c r="J447" i="3"/>
  <c r="K447" i="3" s="1"/>
  <c r="C447" i="3"/>
  <c r="B447" i="3"/>
  <c r="L446" i="3"/>
  <c r="M446" i="3" s="1"/>
  <c r="J446" i="3"/>
  <c r="K446" i="3" s="1"/>
  <c r="C446" i="3"/>
  <c r="B446" i="3"/>
  <c r="L445" i="3"/>
  <c r="M445" i="3" s="1"/>
  <c r="K445" i="3"/>
  <c r="J445" i="3"/>
  <c r="C445" i="3"/>
  <c r="B445" i="3"/>
  <c r="L444" i="3"/>
  <c r="M444" i="3" s="1"/>
  <c r="J444" i="3"/>
  <c r="K444" i="3" s="1"/>
  <c r="C444" i="3"/>
  <c r="B444" i="3"/>
  <c r="L443" i="3"/>
  <c r="M443" i="3" s="1"/>
  <c r="J443" i="3"/>
  <c r="K443" i="3" s="1"/>
  <c r="C443" i="3"/>
  <c r="B443" i="3"/>
  <c r="L442" i="3"/>
  <c r="M442" i="3" s="1"/>
  <c r="J442" i="3"/>
  <c r="K442" i="3" s="1"/>
  <c r="C442" i="3"/>
  <c r="B442" i="3"/>
  <c r="L441" i="3"/>
  <c r="M441" i="3" s="1"/>
  <c r="J441" i="3"/>
  <c r="K441" i="3" s="1"/>
  <c r="C441" i="3"/>
  <c r="B441" i="3"/>
  <c r="L440" i="3"/>
  <c r="M440" i="3" s="1"/>
  <c r="J440" i="3"/>
  <c r="K440" i="3" s="1"/>
  <c r="C440" i="3"/>
  <c r="B440" i="3"/>
  <c r="L439" i="3"/>
  <c r="M439" i="3" s="1"/>
  <c r="J439" i="3"/>
  <c r="K439" i="3" s="1"/>
  <c r="C439" i="3"/>
  <c r="B439" i="3"/>
  <c r="L438" i="3"/>
  <c r="M438" i="3" s="1"/>
  <c r="J438" i="3"/>
  <c r="K438" i="3" s="1"/>
  <c r="C438" i="3"/>
  <c r="B438" i="3"/>
  <c r="L437" i="3"/>
  <c r="M437" i="3" s="1"/>
  <c r="J437" i="3"/>
  <c r="K437" i="3" s="1"/>
  <c r="C437" i="3"/>
  <c r="B437" i="3"/>
  <c r="M436" i="3"/>
  <c r="L436" i="3"/>
  <c r="J436" i="3"/>
  <c r="K436" i="3" s="1"/>
  <c r="C436" i="3"/>
  <c r="B436" i="3"/>
  <c r="L435" i="3"/>
  <c r="M435" i="3" s="1"/>
  <c r="J435" i="3"/>
  <c r="K435" i="3" s="1"/>
  <c r="C435" i="3"/>
  <c r="B435" i="3"/>
  <c r="L434" i="3"/>
  <c r="M434" i="3" s="1"/>
  <c r="J434" i="3"/>
  <c r="K434" i="3" s="1"/>
  <c r="C434" i="3"/>
  <c r="B434" i="3"/>
  <c r="L433" i="3"/>
  <c r="M433" i="3" s="1"/>
  <c r="J433" i="3"/>
  <c r="K433" i="3" s="1"/>
  <c r="C433" i="3"/>
  <c r="B433" i="3"/>
  <c r="L432" i="3"/>
  <c r="M432" i="3" s="1"/>
  <c r="J432" i="3"/>
  <c r="K432" i="3" s="1"/>
  <c r="C432" i="3"/>
  <c r="B432" i="3"/>
  <c r="L431" i="3"/>
  <c r="M431" i="3" s="1"/>
  <c r="J431" i="3"/>
  <c r="K431" i="3" s="1"/>
  <c r="C431" i="3"/>
  <c r="B431" i="3"/>
  <c r="L430" i="3"/>
  <c r="M430" i="3" s="1"/>
  <c r="J430" i="3"/>
  <c r="K430" i="3" s="1"/>
  <c r="C430" i="3"/>
  <c r="B430" i="3"/>
  <c r="L429" i="3"/>
  <c r="M429" i="3" s="1"/>
  <c r="J429" i="3"/>
  <c r="K429" i="3" s="1"/>
  <c r="C429" i="3"/>
  <c r="B429" i="3"/>
  <c r="L428" i="3"/>
  <c r="M428" i="3" s="1"/>
  <c r="J428" i="3"/>
  <c r="K428" i="3" s="1"/>
  <c r="C428" i="3"/>
  <c r="B428" i="3"/>
  <c r="L427" i="3"/>
  <c r="M427" i="3" s="1"/>
  <c r="J427" i="3"/>
  <c r="K427" i="3" s="1"/>
  <c r="C427" i="3"/>
  <c r="B427" i="3"/>
  <c r="L426" i="3"/>
  <c r="M426" i="3" s="1"/>
  <c r="J426" i="3"/>
  <c r="K426" i="3" s="1"/>
  <c r="C426" i="3"/>
  <c r="B426" i="3"/>
  <c r="I426" i="3" s="1"/>
  <c r="L425" i="3"/>
  <c r="M425" i="3" s="1"/>
  <c r="J425" i="3"/>
  <c r="K425" i="3" s="1"/>
  <c r="C425" i="3"/>
  <c r="B425" i="3"/>
  <c r="L424" i="3"/>
  <c r="M424" i="3" s="1"/>
  <c r="J424" i="3"/>
  <c r="K424" i="3" s="1"/>
  <c r="C424" i="3"/>
  <c r="B424" i="3"/>
  <c r="L423" i="3"/>
  <c r="M423" i="3" s="1"/>
  <c r="J423" i="3"/>
  <c r="K423" i="3" s="1"/>
  <c r="C423" i="3"/>
  <c r="B423" i="3"/>
  <c r="L422" i="3"/>
  <c r="M422" i="3" s="1"/>
  <c r="J422" i="3"/>
  <c r="K422" i="3" s="1"/>
  <c r="C422" i="3"/>
  <c r="B422" i="3"/>
  <c r="L421" i="3"/>
  <c r="M421" i="3" s="1"/>
  <c r="J421" i="3"/>
  <c r="K421" i="3" s="1"/>
  <c r="C421" i="3"/>
  <c r="B421" i="3"/>
  <c r="L420" i="3"/>
  <c r="M420" i="3" s="1"/>
  <c r="J420" i="3"/>
  <c r="K420" i="3" s="1"/>
  <c r="C420" i="3"/>
  <c r="B420" i="3"/>
  <c r="L419" i="3"/>
  <c r="M419" i="3" s="1"/>
  <c r="J419" i="3"/>
  <c r="K419" i="3" s="1"/>
  <c r="C419" i="3"/>
  <c r="B419" i="3"/>
  <c r="I419" i="3" s="1"/>
  <c r="L418" i="3"/>
  <c r="M418" i="3" s="1"/>
  <c r="J418" i="3"/>
  <c r="K418" i="3" s="1"/>
  <c r="C418" i="3"/>
  <c r="B418" i="3"/>
  <c r="L417" i="3"/>
  <c r="M417" i="3" s="1"/>
  <c r="J417" i="3"/>
  <c r="K417" i="3" s="1"/>
  <c r="C417" i="3"/>
  <c r="B417" i="3"/>
  <c r="L416" i="3"/>
  <c r="M416" i="3" s="1"/>
  <c r="J416" i="3"/>
  <c r="K416" i="3" s="1"/>
  <c r="C416" i="3"/>
  <c r="B416" i="3"/>
  <c r="L415" i="3"/>
  <c r="M415" i="3" s="1"/>
  <c r="J415" i="3"/>
  <c r="K415" i="3" s="1"/>
  <c r="C415" i="3"/>
  <c r="B415" i="3"/>
  <c r="L414" i="3"/>
  <c r="M414" i="3" s="1"/>
  <c r="J414" i="3"/>
  <c r="K414" i="3" s="1"/>
  <c r="C414" i="3"/>
  <c r="B414" i="3"/>
  <c r="L413" i="3"/>
  <c r="M413" i="3" s="1"/>
  <c r="J413" i="3"/>
  <c r="K413" i="3" s="1"/>
  <c r="C413" i="3"/>
  <c r="B413" i="3"/>
  <c r="I413" i="3" s="1"/>
  <c r="L412" i="3"/>
  <c r="M412" i="3" s="1"/>
  <c r="J412" i="3"/>
  <c r="K412" i="3" s="1"/>
  <c r="C412" i="3"/>
  <c r="B412" i="3"/>
  <c r="L411" i="3"/>
  <c r="M411" i="3" s="1"/>
  <c r="J411" i="3"/>
  <c r="K411" i="3" s="1"/>
  <c r="C411" i="3"/>
  <c r="B411" i="3"/>
  <c r="L410" i="3"/>
  <c r="M410" i="3" s="1"/>
  <c r="J410" i="3"/>
  <c r="K410" i="3" s="1"/>
  <c r="C410" i="3"/>
  <c r="B410" i="3"/>
  <c r="L409" i="3"/>
  <c r="M409" i="3" s="1"/>
  <c r="J409" i="3"/>
  <c r="K409" i="3" s="1"/>
  <c r="C409" i="3"/>
  <c r="B409" i="3"/>
  <c r="L408" i="3"/>
  <c r="M408" i="3" s="1"/>
  <c r="J408" i="3"/>
  <c r="K408" i="3" s="1"/>
  <c r="C408" i="3"/>
  <c r="B408" i="3"/>
  <c r="L407" i="3"/>
  <c r="M407" i="3" s="1"/>
  <c r="J407" i="3"/>
  <c r="K407" i="3" s="1"/>
  <c r="C407" i="3"/>
  <c r="B407" i="3"/>
  <c r="L406" i="3"/>
  <c r="M406" i="3" s="1"/>
  <c r="J406" i="3"/>
  <c r="K406" i="3" s="1"/>
  <c r="C406" i="3"/>
  <c r="B406" i="3"/>
  <c r="L405" i="3"/>
  <c r="M405" i="3" s="1"/>
  <c r="J405" i="3"/>
  <c r="K405" i="3" s="1"/>
  <c r="C405" i="3"/>
  <c r="B405" i="3"/>
  <c r="L404" i="3"/>
  <c r="M404" i="3" s="1"/>
  <c r="J404" i="3"/>
  <c r="K404" i="3" s="1"/>
  <c r="C404" i="3"/>
  <c r="B404" i="3"/>
  <c r="M403" i="3"/>
  <c r="L403" i="3"/>
  <c r="J403" i="3"/>
  <c r="K403" i="3" s="1"/>
  <c r="C403" i="3"/>
  <c r="B403" i="3"/>
  <c r="L402" i="3"/>
  <c r="M402" i="3" s="1"/>
  <c r="J402" i="3"/>
  <c r="K402" i="3" s="1"/>
  <c r="C402" i="3"/>
  <c r="B402" i="3"/>
  <c r="L401" i="3"/>
  <c r="M401" i="3" s="1"/>
  <c r="J401" i="3"/>
  <c r="K401" i="3" s="1"/>
  <c r="C401" i="3"/>
  <c r="B401" i="3"/>
  <c r="L400" i="3"/>
  <c r="M400" i="3" s="1"/>
  <c r="J400" i="3"/>
  <c r="K400" i="3" s="1"/>
  <c r="C400" i="3"/>
  <c r="B400" i="3"/>
  <c r="L399" i="3"/>
  <c r="M399" i="3" s="1"/>
  <c r="J399" i="3"/>
  <c r="K399" i="3" s="1"/>
  <c r="C399" i="3"/>
  <c r="B399" i="3"/>
  <c r="L398" i="3"/>
  <c r="M398" i="3" s="1"/>
  <c r="J398" i="3"/>
  <c r="K398" i="3" s="1"/>
  <c r="C398" i="3"/>
  <c r="B398" i="3"/>
  <c r="L397" i="3"/>
  <c r="M397" i="3" s="1"/>
  <c r="J397" i="3"/>
  <c r="K397" i="3" s="1"/>
  <c r="C397" i="3"/>
  <c r="B397" i="3"/>
  <c r="L396" i="3"/>
  <c r="M396" i="3" s="1"/>
  <c r="J396" i="3"/>
  <c r="K396" i="3" s="1"/>
  <c r="C396" i="3"/>
  <c r="B396" i="3"/>
  <c r="I396" i="3" s="1"/>
  <c r="L395" i="3"/>
  <c r="M395" i="3" s="1"/>
  <c r="J395" i="3"/>
  <c r="K395" i="3" s="1"/>
  <c r="C395" i="3"/>
  <c r="B395" i="3"/>
  <c r="L394" i="3"/>
  <c r="M394" i="3" s="1"/>
  <c r="K394" i="3"/>
  <c r="J394" i="3"/>
  <c r="C394" i="3"/>
  <c r="B394" i="3"/>
  <c r="L393" i="3"/>
  <c r="M393" i="3" s="1"/>
  <c r="J393" i="3"/>
  <c r="K393" i="3" s="1"/>
  <c r="C393" i="3"/>
  <c r="B393" i="3"/>
  <c r="L392" i="3"/>
  <c r="M392" i="3" s="1"/>
  <c r="J392" i="3"/>
  <c r="K392" i="3" s="1"/>
  <c r="C392" i="3"/>
  <c r="B392" i="3"/>
  <c r="L391" i="3"/>
  <c r="M391" i="3" s="1"/>
  <c r="J391" i="3"/>
  <c r="K391" i="3" s="1"/>
  <c r="C391" i="3"/>
  <c r="B391" i="3"/>
  <c r="L390" i="3"/>
  <c r="M390" i="3" s="1"/>
  <c r="J390" i="3"/>
  <c r="K390" i="3" s="1"/>
  <c r="C390" i="3"/>
  <c r="B390" i="3"/>
  <c r="L389" i="3"/>
  <c r="M389" i="3" s="1"/>
  <c r="J389" i="3"/>
  <c r="K389" i="3" s="1"/>
  <c r="C389" i="3"/>
  <c r="B389" i="3"/>
  <c r="L388" i="3"/>
  <c r="M388" i="3" s="1"/>
  <c r="J388" i="3"/>
  <c r="K388" i="3" s="1"/>
  <c r="C388" i="3"/>
  <c r="I388" i="3" s="1"/>
  <c r="B388" i="3"/>
  <c r="L387" i="3"/>
  <c r="M387" i="3" s="1"/>
  <c r="J387" i="3"/>
  <c r="K387" i="3" s="1"/>
  <c r="C387" i="3"/>
  <c r="B387" i="3"/>
  <c r="L386" i="3"/>
  <c r="M386" i="3" s="1"/>
  <c r="J386" i="3"/>
  <c r="K386" i="3" s="1"/>
  <c r="C386" i="3"/>
  <c r="B386" i="3"/>
  <c r="L385" i="3"/>
  <c r="M385" i="3" s="1"/>
  <c r="K385" i="3"/>
  <c r="J385" i="3"/>
  <c r="C385" i="3"/>
  <c r="B385" i="3"/>
  <c r="L384" i="3"/>
  <c r="M384" i="3" s="1"/>
  <c r="J384" i="3"/>
  <c r="K384" i="3" s="1"/>
  <c r="C384" i="3"/>
  <c r="B384" i="3"/>
  <c r="L383" i="3"/>
  <c r="M383" i="3" s="1"/>
  <c r="J383" i="3"/>
  <c r="K383" i="3" s="1"/>
  <c r="C383" i="3"/>
  <c r="B383" i="3"/>
  <c r="L382" i="3"/>
  <c r="M382" i="3" s="1"/>
  <c r="J382" i="3"/>
  <c r="K382" i="3" s="1"/>
  <c r="C382" i="3"/>
  <c r="B382" i="3"/>
  <c r="L381" i="3"/>
  <c r="M381" i="3" s="1"/>
  <c r="J381" i="3"/>
  <c r="K381" i="3" s="1"/>
  <c r="C381" i="3"/>
  <c r="B381" i="3"/>
  <c r="L380" i="3"/>
  <c r="M380" i="3" s="1"/>
  <c r="J380" i="3"/>
  <c r="K380" i="3" s="1"/>
  <c r="C380" i="3"/>
  <c r="B380" i="3"/>
  <c r="L379" i="3"/>
  <c r="M379" i="3" s="1"/>
  <c r="J379" i="3"/>
  <c r="K379" i="3" s="1"/>
  <c r="C379" i="3"/>
  <c r="B379" i="3"/>
  <c r="L378" i="3"/>
  <c r="M378" i="3" s="1"/>
  <c r="J378" i="3"/>
  <c r="K378" i="3" s="1"/>
  <c r="C378" i="3"/>
  <c r="B378" i="3"/>
  <c r="L377" i="3"/>
  <c r="M377" i="3" s="1"/>
  <c r="J377" i="3"/>
  <c r="K377" i="3" s="1"/>
  <c r="C377" i="3"/>
  <c r="B377" i="3"/>
  <c r="L376" i="3"/>
  <c r="M376" i="3" s="1"/>
  <c r="J376" i="3"/>
  <c r="K376" i="3" s="1"/>
  <c r="C376" i="3"/>
  <c r="B376" i="3"/>
  <c r="L375" i="3"/>
  <c r="M375" i="3" s="1"/>
  <c r="J375" i="3"/>
  <c r="K375" i="3" s="1"/>
  <c r="C375" i="3"/>
  <c r="B375" i="3"/>
  <c r="L374" i="3"/>
  <c r="M374" i="3" s="1"/>
  <c r="J374" i="3"/>
  <c r="K374" i="3" s="1"/>
  <c r="C374" i="3"/>
  <c r="B374" i="3"/>
  <c r="L373" i="3"/>
  <c r="M373" i="3" s="1"/>
  <c r="J373" i="3"/>
  <c r="K373" i="3" s="1"/>
  <c r="C373" i="3"/>
  <c r="B373" i="3"/>
  <c r="L372" i="3"/>
  <c r="M372" i="3" s="1"/>
  <c r="J372" i="3"/>
  <c r="K372" i="3" s="1"/>
  <c r="C372" i="3"/>
  <c r="B372" i="3"/>
  <c r="L371" i="3"/>
  <c r="M371" i="3" s="1"/>
  <c r="J371" i="3"/>
  <c r="K371" i="3" s="1"/>
  <c r="C371" i="3"/>
  <c r="B371" i="3"/>
  <c r="L370" i="3"/>
  <c r="M370" i="3" s="1"/>
  <c r="J370" i="3"/>
  <c r="K370" i="3" s="1"/>
  <c r="C370" i="3"/>
  <c r="B370" i="3"/>
  <c r="L369" i="3"/>
  <c r="M369" i="3" s="1"/>
  <c r="J369" i="3"/>
  <c r="K369" i="3" s="1"/>
  <c r="C369" i="3"/>
  <c r="B369" i="3"/>
  <c r="L368" i="3"/>
  <c r="M368" i="3" s="1"/>
  <c r="J368" i="3"/>
  <c r="K368" i="3" s="1"/>
  <c r="C368" i="3"/>
  <c r="B368" i="3"/>
  <c r="L367" i="3"/>
  <c r="M367" i="3" s="1"/>
  <c r="J367" i="3"/>
  <c r="K367" i="3" s="1"/>
  <c r="C367" i="3"/>
  <c r="B367" i="3"/>
  <c r="I367" i="3" s="1"/>
  <c r="L366" i="3"/>
  <c r="M366" i="3" s="1"/>
  <c r="J366" i="3"/>
  <c r="K366" i="3" s="1"/>
  <c r="C366" i="3"/>
  <c r="B366" i="3"/>
  <c r="L365" i="3"/>
  <c r="M365" i="3" s="1"/>
  <c r="J365" i="3"/>
  <c r="K365" i="3" s="1"/>
  <c r="C365" i="3"/>
  <c r="B365" i="3"/>
  <c r="I365" i="3" s="1"/>
  <c r="L364" i="3"/>
  <c r="M364" i="3" s="1"/>
  <c r="J364" i="3"/>
  <c r="K364" i="3" s="1"/>
  <c r="C364" i="3"/>
  <c r="B364" i="3"/>
  <c r="I364" i="3" s="1"/>
  <c r="L363" i="3"/>
  <c r="M363" i="3" s="1"/>
  <c r="J363" i="3"/>
  <c r="K363" i="3" s="1"/>
  <c r="C363" i="3"/>
  <c r="B363" i="3"/>
  <c r="L362" i="3"/>
  <c r="M362" i="3" s="1"/>
  <c r="J362" i="3"/>
  <c r="K362" i="3" s="1"/>
  <c r="C362" i="3"/>
  <c r="B362" i="3"/>
  <c r="L361" i="3"/>
  <c r="M361" i="3" s="1"/>
  <c r="J361" i="3"/>
  <c r="K361" i="3" s="1"/>
  <c r="C361" i="3"/>
  <c r="B361" i="3"/>
  <c r="L360" i="3"/>
  <c r="M360" i="3" s="1"/>
  <c r="J360" i="3"/>
  <c r="K360" i="3" s="1"/>
  <c r="C360" i="3"/>
  <c r="B360" i="3"/>
  <c r="L359" i="3"/>
  <c r="M359" i="3" s="1"/>
  <c r="J359" i="3"/>
  <c r="K359" i="3" s="1"/>
  <c r="C359" i="3"/>
  <c r="B359" i="3"/>
  <c r="L358" i="3"/>
  <c r="M358" i="3" s="1"/>
  <c r="J358" i="3"/>
  <c r="K358" i="3" s="1"/>
  <c r="C358" i="3"/>
  <c r="B358" i="3"/>
  <c r="I358" i="3" s="1"/>
  <c r="L357" i="3"/>
  <c r="M357" i="3" s="1"/>
  <c r="J357" i="3"/>
  <c r="K357" i="3" s="1"/>
  <c r="C357" i="3"/>
  <c r="B357" i="3"/>
  <c r="L356" i="3"/>
  <c r="M356" i="3" s="1"/>
  <c r="J356" i="3"/>
  <c r="K356" i="3" s="1"/>
  <c r="C356" i="3"/>
  <c r="B356" i="3"/>
  <c r="L355" i="3"/>
  <c r="M355" i="3" s="1"/>
  <c r="J355" i="3"/>
  <c r="K355" i="3" s="1"/>
  <c r="C355" i="3"/>
  <c r="B355" i="3"/>
  <c r="L354" i="3"/>
  <c r="M354" i="3" s="1"/>
  <c r="J354" i="3"/>
  <c r="K354" i="3" s="1"/>
  <c r="C354" i="3"/>
  <c r="B354" i="3"/>
  <c r="L353" i="3"/>
  <c r="M353" i="3" s="1"/>
  <c r="J353" i="3"/>
  <c r="K353" i="3" s="1"/>
  <c r="C353" i="3"/>
  <c r="B353" i="3"/>
  <c r="L352" i="3"/>
  <c r="M352" i="3" s="1"/>
  <c r="J352" i="3"/>
  <c r="K352" i="3" s="1"/>
  <c r="C352" i="3"/>
  <c r="B352" i="3"/>
  <c r="L351" i="3"/>
  <c r="M351" i="3" s="1"/>
  <c r="J351" i="3"/>
  <c r="K351" i="3" s="1"/>
  <c r="C351" i="3"/>
  <c r="B351" i="3"/>
  <c r="L350" i="3"/>
  <c r="M350" i="3" s="1"/>
  <c r="J350" i="3"/>
  <c r="K350" i="3" s="1"/>
  <c r="C350" i="3"/>
  <c r="B350" i="3"/>
  <c r="L349" i="3"/>
  <c r="M349" i="3" s="1"/>
  <c r="J349" i="3"/>
  <c r="K349" i="3" s="1"/>
  <c r="C349" i="3"/>
  <c r="B349" i="3"/>
  <c r="L348" i="3"/>
  <c r="M348" i="3" s="1"/>
  <c r="J348" i="3"/>
  <c r="K348" i="3" s="1"/>
  <c r="C348" i="3"/>
  <c r="B348" i="3"/>
  <c r="L347" i="3"/>
  <c r="M347" i="3" s="1"/>
  <c r="J347" i="3"/>
  <c r="K347" i="3" s="1"/>
  <c r="C347" i="3"/>
  <c r="B347" i="3"/>
  <c r="L346" i="3"/>
  <c r="M346" i="3" s="1"/>
  <c r="J346" i="3"/>
  <c r="K346" i="3" s="1"/>
  <c r="C346" i="3"/>
  <c r="B346" i="3"/>
  <c r="L345" i="3"/>
  <c r="M345" i="3" s="1"/>
  <c r="J345" i="3"/>
  <c r="K345" i="3" s="1"/>
  <c r="C345" i="3"/>
  <c r="B345" i="3"/>
  <c r="L344" i="3"/>
  <c r="M344" i="3" s="1"/>
  <c r="J344" i="3"/>
  <c r="K344" i="3" s="1"/>
  <c r="C344" i="3"/>
  <c r="B344" i="3"/>
  <c r="L343" i="3"/>
  <c r="M343" i="3" s="1"/>
  <c r="J343" i="3"/>
  <c r="K343" i="3" s="1"/>
  <c r="C343" i="3"/>
  <c r="B343" i="3"/>
  <c r="L342" i="3"/>
  <c r="M342" i="3" s="1"/>
  <c r="J342" i="3"/>
  <c r="K342" i="3" s="1"/>
  <c r="C342" i="3"/>
  <c r="B342" i="3"/>
  <c r="L341" i="3"/>
  <c r="M341" i="3" s="1"/>
  <c r="J341" i="3"/>
  <c r="K341" i="3" s="1"/>
  <c r="C341" i="3"/>
  <c r="B341" i="3"/>
  <c r="L340" i="3"/>
  <c r="M340" i="3" s="1"/>
  <c r="J340" i="3"/>
  <c r="K340" i="3" s="1"/>
  <c r="C340" i="3"/>
  <c r="B340" i="3"/>
  <c r="L339" i="3"/>
  <c r="M339" i="3" s="1"/>
  <c r="J339" i="3"/>
  <c r="K339" i="3" s="1"/>
  <c r="C339" i="3"/>
  <c r="B339" i="3"/>
  <c r="L338" i="3"/>
  <c r="M338" i="3" s="1"/>
  <c r="J338" i="3"/>
  <c r="K338" i="3" s="1"/>
  <c r="C338" i="3"/>
  <c r="B338" i="3"/>
  <c r="L337" i="3"/>
  <c r="M337" i="3" s="1"/>
  <c r="J337" i="3"/>
  <c r="K337" i="3" s="1"/>
  <c r="C337" i="3"/>
  <c r="B337" i="3"/>
  <c r="L336" i="3"/>
  <c r="M336" i="3" s="1"/>
  <c r="J336" i="3"/>
  <c r="K336" i="3" s="1"/>
  <c r="C336" i="3"/>
  <c r="B336" i="3"/>
  <c r="L335" i="3"/>
  <c r="M335" i="3" s="1"/>
  <c r="J335" i="3"/>
  <c r="K335" i="3" s="1"/>
  <c r="C335" i="3"/>
  <c r="B335" i="3"/>
  <c r="L334" i="3"/>
  <c r="M334" i="3" s="1"/>
  <c r="J334" i="3"/>
  <c r="K334" i="3" s="1"/>
  <c r="C334" i="3"/>
  <c r="B334" i="3"/>
  <c r="L333" i="3"/>
  <c r="M333" i="3" s="1"/>
  <c r="J333" i="3"/>
  <c r="K333" i="3" s="1"/>
  <c r="C333" i="3"/>
  <c r="B333" i="3"/>
  <c r="L332" i="3"/>
  <c r="M332" i="3" s="1"/>
  <c r="J332" i="3"/>
  <c r="K332" i="3" s="1"/>
  <c r="C332" i="3"/>
  <c r="B332" i="3"/>
  <c r="L331" i="3"/>
  <c r="M331" i="3" s="1"/>
  <c r="J331" i="3"/>
  <c r="K331" i="3" s="1"/>
  <c r="C331" i="3"/>
  <c r="I331" i="3" s="1"/>
  <c r="B331" i="3"/>
  <c r="L330" i="3"/>
  <c r="M330" i="3" s="1"/>
  <c r="J330" i="3"/>
  <c r="K330" i="3" s="1"/>
  <c r="C330" i="3"/>
  <c r="B330" i="3"/>
  <c r="L329" i="3"/>
  <c r="M329" i="3" s="1"/>
  <c r="J329" i="3"/>
  <c r="K329" i="3" s="1"/>
  <c r="C329" i="3"/>
  <c r="B329" i="3"/>
  <c r="L328" i="3"/>
  <c r="M328" i="3" s="1"/>
  <c r="J328" i="3"/>
  <c r="K328" i="3" s="1"/>
  <c r="C328" i="3"/>
  <c r="B328" i="3"/>
  <c r="L327" i="3"/>
  <c r="M327" i="3" s="1"/>
  <c r="J327" i="3"/>
  <c r="K327" i="3" s="1"/>
  <c r="C327" i="3"/>
  <c r="B327" i="3"/>
  <c r="L326" i="3"/>
  <c r="M326" i="3" s="1"/>
  <c r="J326" i="3"/>
  <c r="K326" i="3" s="1"/>
  <c r="C326" i="3"/>
  <c r="I326" i="3" s="1"/>
  <c r="B326" i="3"/>
  <c r="L325" i="3"/>
  <c r="M325" i="3" s="1"/>
  <c r="J325" i="3"/>
  <c r="K325" i="3" s="1"/>
  <c r="C325" i="3"/>
  <c r="B325" i="3"/>
  <c r="I325" i="3" s="1"/>
  <c r="L324" i="3"/>
  <c r="M324" i="3" s="1"/>
  <c r="J324" i="3"/>
  <c r="K324" i="3" s="1"/>
  <c r="C324" i="3"/>
  <c r="B324" i="3"/>
  <c r="L323" i="3"/>
  <c r="M323" i="3" s="1"/>
  <c r="J323" i="3"/>
  <c r="K323" i="3" s="1"/>
  <c r="C323" i="3"/>
  <c r="B323" i="3"/>
  <c r="I323" i="3" s="1"/>
  <c r="L322" i="3"/>
  <c r="M322" i="3" s="1"/>
  <c r="J322" i="3"/>
  <c r="K322" i="3" s="1"/>
  <c r="C322" i="3"/>
  <c r="B322" i="3"/>
  <c r="L321" i="3"/>
  <c r="M321" i="3" s="1"/>
  <c r="J321" i="3"/>
  <c r="K321" i="3" s="1"/>
  <c r="C321" i="3"/>
  <c r="B321" i="3"/>
  <c r="L320" i="3"/>
  <c r="M320" i="3" s="1"/>
  <c r="J320" i="3"/>
  <c r="K320" i="3" s="1"/>
  <c r="C320" i="3"/>
  <c r="B320" i="3"/>
  <c r="L319" i="3"/>
  <c r="M319" i="3" s="1"/>
  <c r="J319" i="3"/>
  <c r="K319" i="3" s="1"/>
  <c r="C319" i="3"/>
  <c r="B319" i="3"/>
  <c r="L318" i="3"/>
  <c r="M318" i="3" s="1"/>
  <c r="J318" i="3"/>
  <c r="K318" i="3" s="1"/>
  <c r="C318" i="3"/>
  <c r="B318" i="3"/>
  <c r="L317" i="3"/>
  <c r="M317" i="3" s="1"/>
  <c r="J317" i="3"/>
  <c r="K317" i="3" s="1"/>
  <c r="C317" i="3"/>
  <c r="B317" i="3"/>
  <c r="I317" i="3" s="1"/>
  <c r="L316" i="3"/>
  <c r="M316" i="3" s="1"/>
  <c r="J316" i="3"/>
  <c r="K316" i="3" s="1"/>
  <c r="C316" i="3"/>
  <c r="B316" i="3"/>
  <c r="L315" i="3"/>
  <c r="M315" i="3" s="1"/>
  <c r="J315" i="3"/>
  <c r="K315" i="3" s="1"/>
  <c r="C315" i="3"/>
  <c r="B315" i="3"/>
  <c r="L314" i="3"/>
  <c r="M314" i="3" s="1"/>
  <c r="J314" i="3"/>
  <c r="K314" i="3" s="1"/>
  <c r="C314" i="3"/>
  <c r="B314" i="3"/>
  <c r="L313" i="3"/>
  <c r="M313" i="3" s="1"/>
  <c r="J313" i="3"/>
  <c r="K313" i="3" s="1"/>
  <c r="C313" i="3"/>
  <c r="B313" i="3"/>
  <c r="L312" i="3"/>
  <c r="M312" i="3" s="1"/>
  <c r="J312" i="3"/>
  <c r="K312" i="3" s="1"/>
  <c r="C312" i="3"/>
  <c r="B312" i="3"/>
  <c r="L311" i="3"/>
  <c r="M311" i="3" s="1"/>
  <c r="J311" i="3"/>
  <c r="K311" i="3" s="1"/>
  <c r="C311" i="3"/>
  <c r="B311" i="3"/>
  <c r="L310" i="3"/>
  <c r="M310" i="3" s="1"/>
  <c r="J310" i="3"/>
  <c r="K310" i="3" s="1"/>
  <c r="C310" i="3"/>
  <c r="B310" i="3"/>
  <c r="L309" i="3"/>
  <c r="M309" i="3" s="1"/>
  <c r="J309" i="3"/>
  <c r="K309" i="3" s="1"/>
  <c r="C309" i="3"/>
  <c r="B309" i="3"/>
  <c r="I309" i="3" s="1"/>
  <c r="L308" i="3"/>
  <c r="M308" i="3" s="1"/>
  <c r="J308" i="3"/>
  <c r="K308" i="3" s="1"/>
  <c r="C308" i="3"/>
  <c r="B308" i="3"/>
  <c r="L307" i="3"/>
  <c r="M307" i="3" s="1"/>
  <c r="J307" i="3"/>
  <c r="K307" i="3" s="1"/>
  <c r="C307" i="3"/>
  <c r="B307" i="3"/>
  <c r="L306" i="3"/>
  <c r="M306" i="3" s="1"/>
  <c r="J306" i="3"/>
  <c r="K306" i="3" s="1"/>
  <c r="C306" i="3"/>
  <c r="B306" i="3"/>
  <c r="L305" i="3"/>
  <c r="M305" i="3" s="1"/>
  <c r="J305" i="3"/>
  <c r="K305" i="3" s="1"/>
  <c r="C305" i="3"/>
  <c r="B305" i="3"/>
  <c r="I305" i="3" s="1"/>
  <c r="L304" i="3"/>
  <c r="M304" i="3" s="1"/>
  <c r="J304" i="3"/>
  <c r="K304" i="3" s="1"/>
  <c r="C304" i="3"/>
  <c r="B304" i="3"/>
  <c r="L303" i="3"/>
  <c r="M303" i="3" s="1"/>
  <c r="J303" i="3"/>
  <c r="K303" i="3" s="1"/>
  <c r="C303" i="3"/>
  <c r="B303" i="3"/>
  <c r="I303" i="3" s="1"/>
  <c r="L302" i="3"/>
  <c r="M302" i="3" s="1"/>
  <c r="J302" i="3"/>
  <c r="K302" i="3" s="1"/>
  <c r="C302" i="3"/>
  <c r="B302" i="3"/>
  <c r="L301" i="3"/>
  <c r="M301" i="3" s="1"/>
  <c r="J301" i="3"/>
  <c r="K301" i="3" s="1"/>
  <c r="C301" i="3"/>
  <c r="B301" i="3"/>
  <c r="I301" i="3" s="1"/>
  <c r="L300" i="3"/>
  <c r="M300" i="3" s="1"/>
  <c r="J300" i="3"/>
  <c r="K300" i="3" s="1"/>
  <c r="C300" i="3"/>
  <c r="B300" i="3"/>
  <c r="L299" i="3"/>
  <c r="M299" i="3" s="1"/>
  <c r="J299" i="3"/>
  <c r="K299" i="3" s="1"/>
  <c r="C299" i="3"/>
  <c r="B299" i="3"/>
  <c r="L298" i="3"/>
  <c r="M298" i="3" s="1"/>
  <c r="J298" i="3"/>
  <c r="K298" i="3" s="1"/>
  <c r="C298" i="3"/>
  <c r="B298" i="3"/>
  <c r="L297" i="3"/>
  <c r="M297" i="3" s="1"/>
  <c r="J297" i="3"/>
  <c r="K297" i="3" s="1"/>
  <c r="C297" i="3"/>
  <c r="B297" i="3"/>
  <c r="L296" i="3"/>
  <c r="M296" i="3" s="1"/>
  <c r="J296" i="3"/>
  <c r="K296" i="3" s="1"/>
  <c r="C296" i="3"/>
  <c r="B296" i="3"/>
  <c r="L295" i="3"/>
  <c r="M295" i="3" s="1"/>
  <c r="J295" i="3"/>
  <c r="K295" i="3" s="1"/>
  <c r="C295" i="3"/>
  <c r="B295" i="3"/>
  <c r="L294" i="3"/>
  <c r="M294" i="3" s="1"/>
  <c r="J294" i="3"/>
  <c r="K294" i="3" s="1"/>
  <c r="C294" i="3"/>
  <c r="B294" i="3"/>
  <c r="L293" i="3"/>
  <c r="M293" i="3" s="1"/>
  <c r="J293" i="3"/>
  <c r="K293" i="3" s="1"/>
  <c r="C293" i="3"/>
  <c r="B293" i="3"/>
  <c r="I293" i="3" s="1"/>
  <c r="L292" i="3"/>
  <c r="M292" i="3" s="1"/>
  <c r="J292" i="3"/>
  <c r="K292" i="3" s="1"/>
  <c r="C292" i="3"/>
  <c r="B292" i="3"/>
  <c r="L291" i="3"/>
  <c r="M291" i="3" s="1"/>
  <c r="J291" i="3"/>
  <c r="K291" i="3" s="1"/>
  <c r="C291" i="3"/>
  <c r="B291" i="3"/>
  <c r="L290" i="3"/>
  <c r="M290" i="3" s="1"/>
  <c r="J290" i="3"/>
  <c r="K290" i="3" s="1"/>
  <c r="C290" i="3"/>
  <c r="B290" i="3"/>
  <c r="L289" i="3"/>
  <c r="M289" i="3" s="1"/>
  <c r="J289" i="3"/>
  <c r="K289" i="3" s="1"/>
  <c r="C289" i="3"/>
  <c r="B289" i="3"/>
  <c r="I289" i="3" s="1"/>
  <c r="L288" i="3"/>
  <c r="M288" i="3" s="1"/>
  <c r="J288" i="3"/>
  <c r="K288" i="3" s="1"/>
  <c r="C288" i="3"/>
  <c r="B288" i="3"/>
  <c r="L287" i="3"/>
  <c r="M287" i="3" s="1"/>
  <c r="J287" i="3"/>
  <c r="K287" i="3" s="1"/>
  <c r="C287" i="3"/>
  <c r="B287" i="3"/>
  <c r="I287" i="3" s="1"/>
  <c r="L286" i="3"/>
  <c r="M286" i="3" s="1"/>
  <c r="J286" i="3"/>
  <c r="K286" i="3" s="1"/>
  <c r="C286" i="3"/>
  <c r="B286" i="3"/>
  <c r="L285" i="3"/>
  <c r="M285" i="3" s="1"/>
  <c r="J285" i="3"/>
  <c r="K285" i="3" s="1"/>
  <c r="C285" i="3"/>
  <c r="B285" i="3"/>
  <c r="I285" i="3" s="1"/>
  <c r="L284" i="3"/>
  <c r="M284" i="3" s="1"/>
  <c r="J284" i="3"/>
  <c r="K284" i="3" s="1"/>
  <c r="C284" i="3"/>
  <c r="B284" i="3"/>
  <c r="L283" i="3"/>
  <c r="M283" i="3" s="1"/>
  <c r="J283" i="3"/>
  <c r="K283" i="3" s="1"/>
  <c r="C283" i="3"/>
  <c r="B283" i="3"/>
  <c r="L282" i="3"/>
  <c r="M282" i="3" s="1"/>
  <c r="J282" i="3"/>
  <c r="K282" i="3" s="1"/>
  <c r="C282" i="3"/>
  <c r="B282" i="3"/>
  <c r="I282" i="3" s="1"/>
  <c r="L281" i="3"/>
  <c r="M281" i="3" s="1"/>
  <c r="J281" i="3"/>
  <c r="K281" i="3" s="1"/>
  <c r="C281" i="3"/>
  <c r="B281" i="3"/>
  <c r="L280" i="3"/>
  <c r="M280" i="3" s="1"/>
  <c r="J280" i="3"/>
  <c r="K280" i="3" s="1"/>
  <c r="C280" i="3"/>
  <c r="B280" i="3"/>
  <c r="L279" i="3"/>
  <c r="M279" i="3" s="1"/>
  <c r="J279" i="3"/>
  <c r="K279" i="3" s="1"/>
  <c r="C279" i="3"/>
  <c r="B279" i="3"/>
  <c r="L278" i="3"/>
  <c r="M278" i="3" s="1"/>
  <c r="J278" i="3"/>
  <c r="K278" i="3" s="1"/>
  <c r="C278" i="3"/>
  <c r="B278" i="3"/>
  <c r="I278" i="3" s="1"/>
  <c r="L277" i="3"/>
  <c r="M277" i="3" s="1"/>
  <c r="J277" i="3"/>
  <c r="K277" i="3" s="1"/>
  <c r="C277" i="3"/>
  <c r="B277" i="3"/>
  <c r="L276" i="3"/>
  <c r="M276" i="3" s="1"/>
  <c r="J276" i="3"/>
  <c r="K276" i="3" s="1"/>
  <c r="C276" i="3"/>
  <c r="B276" i="3"/>
  <c r="L275" i="3"/>
  <c r="M275" i="3" s="1"/>
  <c r="J275" i="3"/>
  <c r="K275" i="3" s="1"/>
  <c r="C275" i="3"/>
  <c r="B275" i="3"/>
  <c r="L274" i="3"/>
  <c r="M274" i="3" s="1"/>
  <c r="J274" i="3"/>
  <c r="K274" i="3" s="1"/>
  <c r="C274" i="3"/>
  <c r="B274" i="3"/>
  <c r="L273" i="3"/>
  <c r="M273" i="3" s="1"/>
  <c r="J273" i="3"/>
  <c r="K273" i="3" s="1"/>
  <c r="C273" i="3"/>
  <c r="B273" i="3"/>
  <c r="L272" i="3"/>
  <c r="M272" i="3" s="1"/>
  <c r="J272" i="3"/>
  <c r="K272" i="3" s="1"/>
  <c r="C272" i="3"/>
  <c r="B272" i="3"/>
  <c r="L271" i="3"/>
  <c r="M271" i="3" s="1"/>
  <c r="J271" i="3"/>
  <c r="K271" i="3" s="1"/>
  <c r="C271" i="3"/>
  <c r="B271" i="3"/>
  <c r="L270" i="3"/>
  <c r="M270" i="3" s="1"/>
  <c r="J270" i="3"/>
  <c r="K270" i="3" s="1"/>
  <c r="C270" i="3"/>
  <c r="B270" i="3"/>
  <c r="L269" i="3"/>
  <c r="M269" i="3" s="1"/>
  <c r="J269" i="3"/>
  <c r="K269" i="3" s="1"/>
  <c r="C269" i="3"/>
  <c r="B269" i="3"/>
  <c r="L268" i="3"/>
  <c r="M268" i="3" s="1"/>
  <c r="J268" i="3"/>
  <c r="K268" i="3" s="1"/>
  <c r="C268" i="3"/>
  <c r="B268" i="3"/>
  <c r="L267" i="3"/>
  <c r="M267" i="3" s="1"/>
  <c r="J267" i="3"/>
  <c r="K267" i="3" s="1"/>
  <c r="C267" i="3"/>
  <c r="B267" i="3"/>
  <c r="L266" i="3"/>
  <c r="M266" i="3" s="1"/>
  <c r="J266" i="3"/>
  <c r="K266" i="3" s="1"/>
  <c r="C266" i="3"/>
  <c r="B266" i="3"/>
  <c r="L265" i="3"/>
  <c r="M265" i="3" s="1"/>
  <c r="J265" i="3"/>
  <c r="K265" i="3" s="1"/>
  <c r="C265" i="3"/>
  <c r="B265" i="3"/>
  <c r="L264" i="3"/>
  <c r="M264" i="3" s="1"/>
  <c r="J264" i="3"/>
  <c r="K264" i="3" s="1"/>
  <c r="C264" i="3"/>
  <c r="B264" i="3"/>
  <c r="I264" i="3" s="1"/>
  <c r="L263" i="3"/>
  <c r="M263" i="3" s="1"/>
  <c r="J263" i="3"/>
  <c r="K263" i="3" s="1"/>
  <c r="C263" i="3"/>
  <c r="B263" i="3"/>
  <c r="L262" i="3"/>
  <c r="M262" i="3" s="1"/>
  <c r="J262" i="3"/>
  <c r="K262" i="3" s="1"/>
  <c r="C262" i="3"/>
  <c r="B262" i="3"/>
  <c r="L261" i="3"/>
  <c r="M261" i="3" s="1"/>
  <c r="J261" i="3"/>
  <c r="K261" i="3" s="1"/>
  <c r="C261" i="3"/>
  <c r="B261" i="3"/>
  <c r="L260" i="3"/>
  <c r="M260" i="3" s="1"/>
  <c r="J260" i="3"/>
  <c r="K260" i="3" s="1"/>
  <c r="C260" i="3"/>
  <c r="B260" i="3"/>
  <c r="L259" i="3"/>
  <c r="M259" i="3" s="1"/>
  <c r="J259" i="3"/>
  <c r="K259" i="3" s="1"/>
  <c r="C259" i="3"/>
  <c r="B259" i="3"/>
  <c r="L258" i="3"/>
  <c r="M258" i="3" s="1"/>
  <c r="J258" i="3"/>
  <c r="K258" i="3" s="1"/>
  <c r="C258" i="3"/>
  <c r="B258" i="3"/>
  <c r="I258" i="3" s="1"/>
  <c r="L257" i="3"/>
  <c r="M257" i="3" s="1"/>
  <c r="J257" i="3"/>
  <c r="K257" i="3" s="1"/>
  <c r="C257" i="3"/>
  <c r="I257" i="3" s="1"/>
  <c r="B257" i="3"/>
  <c r="L256" i="3"/>
  <c r="M256" i="3" s="1"/>
  <c r="J256" i="3"/>
  <c r="K256" i="3" s="1"/>
  <c r="F256" i="3"/>
  <c r="C256" i="3"/>
  <c r="B256" i="3"/>
  <c r="L255" i="3"/>
  <c r="M255" i="3" s="1"/>
  <c r="J255" i="3"/>
  <c r="K255" i="3" s="1"/>
  <c r="C255" i="3"/>
  <c r="B255" i="3"/>
  <c r="I255" i="3" s="1"/>
  <c r="L254" i="3"/>
  <c r="M254" i="3" s="1"/>
  <c r="J254" i="3"/>
  <c r="K254" i="3" s="1"/>
  <c r="C254" i="3"/>
  <c r="B254" i="3"/>
  <c r="L253" i="3"/>
  <c r="M253" i="3" s="1"/>
  <c r="J253" i="3"/>
  <c r="K253" i="3" s="1"/>
  <c r="C253" i="3"/>
  <c r="B253" i="3"/>
  <c r="L252" i="3"/>
  <c r="M252" i="3" s="1"/>
  <c r="J252" i="3"/>
  <c r="K252" i="3" s="1"/>
  <c r="C252" i="3"/>
  <c r="B252" i="3"/>
  <c r="I252" i="3" s="1"/>
  <c r="L251" i="3"/>
  <c r="M251" i="3" s="1"/>
  <c r="J251" i="3"/>
  <c r="K251" i="3" s="1"/>
  <c r="C251" i="3"/>
  <c r="B251" i="3"/>
  <c r="L250" i="3"/>
  <c r="M250" i="3" s="1"/>
  <c r="J250" i="3"/>
  <c r="K250" i="3" s="1"/>
  <c r="C250" i="3"/>
  <c r="B250" i="3"/>
  <c r="L249" i="3"/>
  <c r="M249" i="3" s="1"/>
  <c r="J249" i="3"/>
  <c r="K249" i="3" s="1"/>
  <c r="C249" i="3"/>
  <c r="B249" i="3"/>
  <c r="L248" i="3"/>
  <c r="M248" i="3" s="1"/>
  <c r="J248" i="3"/>
  <c r="K248" i="3" s="1"/>
  <c r="C248" i="3"/>
  <c r="B248" i="3"/>
  <c r="L247" i="3"/>
  <c r="M247" i="3" s="1"/>
  <c r="J247" i="3"/>
  <c r="K247" i="3" s="1"/>
  <c r="C247" i="3"/>
  <c r="B247" i="3"/>
  <c r="L246" i="3"/>
  <c r="M246" i="3" s="1"/>
  <c r="J246" i="3"/>
  <c r="K246" i="3" s="1"/>
  <c r="C246" i="3"/>
  <c r="B246" i="3"/>
  <c r="L245" i="3"/>
  <c r="M245" i="3" s="1"/>
  <c r="J245" i="3"/>
  <c r="K245" i="3" s="1"/>
  <c r="C245" i="3"/>
  <c r="B245" i="3"/>
  <c r="L244" i="3"/>
  <c r="M244" i="3" s="1"/>
  <c r="J244" i="3"/>
  <c r="K244" i="3" s="1"/>
  <c r="C244" i="3"/>
  <c r="B244" i="3"/>
  <c r="L243" i="3"/>
  <c r="M243" i="3" s="1"/>
  <c r="J243" i="3"/>
  <c r="K243" i="3" s="1"/>
  <c r="C243" i="3"/>
  <c r="B243" i="3"/>
  <c r="L242" i="3"/>
  <c r="M242" i="3" s="1"/>
  <c r="J242" i="3"/>
  <c r="K242" i="3" s="1"/>
  <c r="C242" i="3"/>
  <c r="B242" i="3"/>
  <c r="L241" i="3"/>
  <c r="M241" i="3" s="1"/>
  <c r="J241" i="3"/>
  <c r="K241" i="3" s="1"/>
  <c r="C241" i="3"/>
  <c r="B241" i="3"/>
  <c r="L240" i="3"/>
  <c r="M240" i="3" s="1"/>
  <c r="J240" i="3"/>
  <c r="K240" i="3" s="1"/>
  <c r="C240" i="3"/>
  <c r="B240" i="3"/>
  <c r="L239" i="3"/>
  <c r="M239" i="3" s="1"/>
  <c r="J239" i="3"/>
  <c r="K239" i="3" s="1"/>
  <c r="C239" i="3"/>
  <c r="B239" i="3"/>
  <c r="L238" i="3"/>
  <c r="M238" i="3" s="1"/>
  <c r="J238" i="3"/>
  <c r="K238" i="3" s="1"/>
  <c r="C238" i="3"/>
  <c r="B238" i="3"/>
  <c r="L237" i="3"/>
  <c r="M237" i="3" s="1"/>
  <c r="J237" i="3"/>
  <c r="K237" i="3" s="1"/>
  <c r="C237" i="3"/>
  <c r="B237" i="3"/>
  <c r="L236" i="3"/>
  <c r="M236" i="3" s="1"/>
  <c r="J236" i="3"/>
  <c r="K236" i="3" s="1"/>
  <c r="C236" i="3"/>
  <c r="B236" i="3"/>
  <c r="L235" i="3"/>
  <c r="M235" i="3" s="1"/>
  <c r="J235" i="3"/>
  <c r="K235" i="3" s="1"/>
  <c r="C235" i="3"/>
  <c r="I235" i="3" s="1"/>
  <c r="B235" i="3"/>
  <c r="L234" i="3"/>
  <c r="M234" i="3" s="1"/>
  <c r="J234" i="3"/>
  <c r="K234" i="3" s="1"/>
  <c r="C234" i="3"/>
  <c r="B234" i="3"/>
  <c r="L233" i="3"/>
  <c r="M233" i="3" s="1"/>
  <c r="J233" i="3"/>
  <c r="K233" i="3" s="1"/>
  <c r="C233" i="3"/>
  <c r="B233" i="3"/>
  <c r="L232" i="3"/>
  <c r="M232" i="3" s="1"/>
  <c r="J232" i="3"/>
  <c r="K232" i="3" s="1"/>
  <c r="C232" i="3"/>
  <c r="B232" i="3"/>
  <c r="I232" i="3" s="1"/>
  <c r="L231" i="3"/>
  <c r="M231" i="3" s="1"/>
  <c r="J231" i="3"/>
  <c r="K231" i="3" s="1"/>
  <c r="C231" i="3"/>
  <c r="B231" i="3"/>
  <c r="L230" i="3"/>
  <c r="M230" i="3" s="1"/>
  <c r="J230" i="3"/>
  <c r="K230" i="3" s="1"/>
  <c r="C230" i="3"/>
  <c r="B230" i="3"/>
  <c r="L229" i="3"/>
  <c r="M229" i="3" s="1"/>
  <c r="J229" i="3"/>
  <c r="K229" i="3" s="1"/>
  <c r="C229" i="3"/>
  <c r="B229" i="3"/>
  <c r="L228" i="3"/>
  <c r="M228" i="3" s="1"/>
  <c r="J228" i="3"/>
  <c r="K228" i="3" s="1"/>
  <c r="C228" i="3"/>
  <c r="B228" i="3"/>
  <c r="L227" i="3"/>
  <c r="M227" i="3" s="1"/>
  <c r="J227" i="3"/>
  <c r="K227" i="3" s="1"/>
  <c r="C227" i="3"/>
  <c r="I227" i="3" s="1"/>
  <c r="B227" i="3"/>
  <c r="L226" i="3"/>
  <c r="M226" i="3" s="1"/>
  <c r="J226" i="3"/>
  <c r="K226" i="3" s="1"/>
  <c r="C226" i="3"/>
  <c r="B226" i="3"/>
  <c r="L225" i="3"/>
  <c r="M225" i="3" s="1"/>
  <c r="J225" i="3"/>
  <c r="K225" i="3" s="1"/>
  <c r="C225" i="3"/>
  <c r="B225" i="3"/>
  <c r="L224" i="3"/>
  <c r="M224" i="3" s="1"/>
  <c r="J224" i="3"/>
  <c r="K224" i="3" s="1"/>
  <c r="C224" i="3"/>
  <c r="B224" i="3"/>
  <c r="L223" i="3"/>
  <c r="M223" i="3" s="1"/>
  <c r="J223" i="3"/>
  <c r="K223" i="3" s="1"/>
  <c r="C223" i="3"/>
  <c r="I223" i="3" s="1"/>
  <c r="B223" i="3"/>
  <c r="L222" i="3"/>
  <c r="M222" i="3" s="1"/>
  <c r="J222" i="3"/>
  <c r="K222" i="3" s="1"/>
  <c r="C222" i="3"/>
  <c r="B222" i="3"/>
  <c r="L221" i="3"/>
  <c r="M221" i="3" s="1"/>
  <c r="J221" i="3"/>
  <c r="K221" i="3" s="1"/>
  <c r="C221" i="3"/>
  <c r="B221" i="3"/>
  <c r="L220" i="3"/>
  <c r="M220" i="3" s="1"/>
  <c r="J220" i="3"/>
  <c r="K220" i="3" s="1"/>
  <c r="C220" i="3"/>
  <c r="B220" i="3"/>
  <c r="L219" i="3"/>
  <c r="M219" i="3" s="1"/>
  <c r="J219" i="3"/>
  <c r="K219" i="3" s="1"/>
  <c r="C219" i="3"/>
  <c r="B219" i="3"/>
  <c r="L218" i="3"/>
  <c r="M218" i="3" s="1"/>
  <c r="J218" i="3"/>
  <c r="K218" i="3" s="1"/>
  <c r="C218" i="3"/>
  <c r="B218" i="3"/>
  <c r="L217" i="3"/>
  <c r="M217" i="3" s="1"/>
  <c r="J217" i="3"/>
  <c r="K217" i="3" s="1"/>
  <c r="C217" i="3"/>
  <c r="B217" i="3"/>
  <c r="L216" i="3"/>
  <c r="M216" i="3" s="1"/>
  <c r="J216" i="3"/>
  <c r="K216" i="3" s="1"/>
  <c r="C216" i="3"/>
  <c r="B216" i="3"/>
  <c r="M215" i="3"/>
  <c r="L215" i="3"/>
  <c r="J215" i="3"/>
  <c r="K215" i="3" s="1"/>
  <c r="C215" i="3"/>
  <c r="B215" i="3"/>
  <c r="L214" i="3"/>
  <c r="M214" i="3" s="1"/>
  <c r="J214" i="3"/>
  <c r="K214" i="3" s="1"/>
  <c r="C214" i="3"/>
  <c r="B214" i="3"/>
  <c r="L213" i="3"/>
  <c r="M213" i="3" s="1"/>
  <c r="J213" i="3"/>
  <c r="K213" i="3" s="1"/>
  <c r="C213" i="3"/>
  <c r="B213" i="3"/>
  <c r="L212" i="3"/>
  <c r="M212" i="3" s="1"/>
  <c r="J212" i="3"/>
  <c r="K212" i="3" s="1"/>
  <c r="C212" i="3"/>
  <c r="B212" i="3"/>
  <c r="L211" i="3"/>
  <c r="M211" i="3" s="1"/>
  <c r="J211" i="3"/>
  <c r="K211" i="3" s="1"/>
  <c r="C211" i="3"/>
  <c r="B211" i="3"/>
  <c r="L210" i="3"/>
  <c r="M210" i="3" s="1"/>
  <c r="J210" i="3"/>
  <c r="K210" i="3" s="1"/>
  <c r="C210" i="3"/>
  <c r="B210" i="3"/>
  <c r="L209" i="3"/>
  <c r="M209" i="3" s="1"/>
  <c r="J209" i="3"/>
  <c r="K209" i="3" s="1"/>
  <c r="C209" i="3"/>
  <c r="B209" i="3"/>
  <c r="L208" i="3"/>
  <c r="M208" i="3" s="1"/>
  <c r="J208" i="3"/>
  <c r="K208" i="3" s="1"/>
  <c r="C208" i="3"/>
  <c r="B208" i="3"/>
  <c r="L207" i="3"/>
  <c r="M207" i="3" s="1"/>
  <c r="J207" i="3"/>
  <c r="K207" i="3" s="1"/>
  <c r="C207" i="3"/>
  <c r="B207" i="3"/>
  <c r="L206" i="3"/>
  <c r="M206" i="3" s="1"/>
  <c r="J206" i="3"/>
  <c r="K206" i="3" s="1"/>
  <c r="C206" i="3"/>
  <c r="B206" i="3"/>
  <c r="L205" i="3"/>
  <c r="M205" i="3" s="1"/>
  <c r="J205" i="3"/>
  <c r="K205" i="3" s="1"/>
  <c r="C205" i="3"/>
  <c r="B205" i="3"/>
  <c r="L204" i="3"/>
  <c r="M204" i="3" s="1"/>
  <c r="J204" i="3"/>
  <c r="K204" i="3" s="1"/>
  <c r="C204" i="3"/>
  <c r="B204" i="3"/>
  <c r="L203" i="3"/>
  <c r="M203" i="3" s="1"/>
  <c r="J203" i="3"/>
  <c r="K203" i="3" s="1"/>
  <c r="C203" i="3"/>
  <c r="B203" i="3"/>
  <c r="L202" i="3"/>
  <c r="M202" i="3" s="1"/>
  <c r="J202" i="3"/>
  <c r="K202" i="3" s="1"/>
  <c r="C202" i="3"/>
  <c r="B202" i="3"/>
  <c r="L201" i="3"/>
  <c r="M201" i="3" s="1"/>
  <c r="J201" i="3"/>
  <c r="K201" i="3" s="1"/>
  <c r="C201" i="3"/>
  <c r="B201" i="3"/>
  <c r="L200" i="3"/>
  <c r="M200" i="3" s="1"/>
  <c r="J200" i="3"/>
  <c r="K200" i="3" s="1"/>
  <c r="C200" i="3"/>
  <c r="B200" i="3"/>
  <c r="L199" i="3"/>
  <c r="M199" i="3" s="1"/>
  <c r="J199" i="3"/>
  <c r="K199" i="3" s="1"/>
  <c r="C199" i="3"/>
  <c r="B199" i="3"/>
  <c r="L198" i="3"/>
  <c r="M198" i="3" s="1"/>
  <c r="J198" i="3"/>
  <c r="K198" i="3" s="1"/>
  <c r="C198" i="3"/>
  <c r="B198" i="3"/>
  <c r="L197" i="3"/>
  <c r="M197" i="3" s="1"/>
  <c r="J197" i="3"/>
  <c r="K197" i="3" s="1"/>
  <c r="C197" i="3"/>
  <c r="B197" i="3"/>
  <c r="L196" i="3"/>
  <c r="M196" i="3" s="1"/>
  <c r="J196" i="3"/>
  <c r="K196" i="3" s="1"/>
  <c r="C196" i="3"/>
  <c r="B196" i="3"/>
  <c r="L195" i="3"/>
  <c r="M195" i="3" s="1"/>
  <c r="J195" i="3"/>
  <c r="K195" i="3" s="1"/>
  <c r="C195" i="3"/>
  <c r="B195" i="3"/>
  <c r="I195" i="3" s="1"/>
  <c r="L194" i="3"/>
  <c r="M194" i="3" s="1"/>
  <c r="J194" i="3"/>
  <c r="K194" i="3" s="1"/>
  <c r="C194" i="3"/>
  <c r="B194" i="3"/>
  <c r="L193" i="3"/>
  <c r="M193" i="3" s="1"/>
  <c r="J193" i="3"/>
  <c r="K193" i="3" s="1"/>
  <c r="C193" i="3"/>
  <c r="B193" i="3"/>
  <c r="L192" i="3"/>
  <c r="M192" i="3" s="1"/>
  <c r="J192" i="3"/>
  <c r="K192" i="3" s="1"/>
  <c r="C192" i="3"/>
  <c r="B192" i="3"/>
  <c r="L191" i="3"/>
  <c r="M191" i="3" s="1"/>
  <c r="J191" i="3"/>
  <c r="K191" i="3" s="1"/>
  <c r="C191" i="3"/>
  <c r="B191" i="3"/>
  <c r="I191" i="3" s="1"/>
  <c r="L190" i="3"/>
  <c r="M190" i="3" s="1"/>
  <c r="J190" i="3"/>
  <c r="K190" i="3" s="1"/>
  <c r="C190" i="3"/>
  <c r="B190" i="3"/>
  <c r="L189" i="3"/>
  <c r="M189" i="3" s="1"/>
  <c r="J189" i="3"/>
  <c r="K189" i="3" s="1"/>
  <c r="C189" i="3"/>
  <c r="B189" i="3"/>
  <c r="L188" i="3"/>
  <c r="M188" i="3" s="1"/>
  <c r="J188" i="3"/>
  <c r="K188" i="3" s="1"/>
  <c r="C188" i="3"/>
  <c r="I188" i="3" s="1"/>
  <c r="B188" i="3"/>
  <c r="L187" i="3"/>
  <c r="M187" i="3" s="1"/>
  <c r="J187" i="3"/>
  <c r="K187" i="3" s="1"/>
  <c r="C187" i="3"/>
  <c r="B187" i="3"/>
  <c r="I187" i="3" s="1"/>
  <c r="L186" i="3"/>
  <c r="M186" i="3" s="1"/>
  <c r="J186" i="3"/>
  <c r="K186" i="3" s="1"/>
  <c r="C186" i="3"/>
  <c r="B186" i="3"/>
  <c r="L185" i="3"/>
  <c r="M185" i="3" s="1"/>
  <c r="J185" i="3"/>
  <c r="K185" i="3" s="1"/>
  <c r="C185" i="3"/>
  <c r="B185" i="3"/>
  <c r="L184" i="3"/>
  <c r="M184" i="3" s="1"/>
  <c r="J184" i="3"/>
  <c r="K184" i="3" s="1"/>
  <c r="E184" i="3"/>
  <c r="C184" i="3"/>
  <c r="B184" i="3"/>
  <c r="L183" i="3"/>
  <c r="M183" i="3" s="1"/>
  <c r="J183" i="3"/>
  <c r="K183" i="3" s="1"/>
  <c r="C183" i="3"/>
  <c r="B183" i="3"/>
  <c r="L182" i="3"/>
  <c r="M182" i="3" s="1"/>
  <c r="J182" i="3"/>
  <c r="K182" i="3" s="1"/>
  <c r="C182" i="3"/>
  <c r="B182" i="3"/>
  <c r="L181" i="3"/>
  <c r="M181" i="3" s="1"/>
  <c r="J181" i="3"/>
  <c r="K181" i="3" s="1"/>
  <c r="C181" i="3"/>
  <c r="B181" i="3"/>
  <c r="L180" i="3"/>
  <c r="M180" i="3" s="1"/>
  <c r="J180" i="3"/>
  <c r="K180" i="3" s="1"/>
  <c r="C180" i="3"/>
  <c r="B180" i="3"/>
  <c r="L179" i="3"/>
  <c r="M179" i="3" s="1"/>
  <c r="J179" i="3"/>
  <c r="K179" i="3" s="1"/>
  <c r="C179" i="3"/>
  <c r="B179" i="3"/>
  <c r="L178" i="3"/>
  <c r="M178" i="3" s="1"/>
  <c r="J178" i="3"/>
  <c r="K178" i="3" s="1"/>
  <c r="C178" i="3"/>
  <c r="B178" i="3"/>
  <c r="L177" i="3"/>
  <c r="M177" i="3" s="1"/>
  <c r="J177" i="3"/>
  <c r="K177" i="3" s="1"/>
  <c r="C177" i="3"/>
  <c r="B177" i="3"/>
  <c r="L176" i="3"/>
  <c r="M176" i="3" s="1"/>
  <c r="J176" i="3"/>
  <c r="K176" i="3" s="1"/>
  <c r="C176" i="3"/>
  <c r="B176" i="3"/>
  <c r="L175" i="3"/>
  <c r="M175" i="3" s="1"/>
  <c r="J175" i="3"/>
  <c r="K175" i="3" s="1"/>
  <c r="C175" i="3"/>
  <c r="B175" i="3"/>
  <c r="L174" i="3"/>
  <c r="M174" i="3" s="1"/>
  <c r="J174" i="3"/>
  <c r="K174" i="3" s="1"/>
  <c r="C174" i="3"/>
  <c r="B174" i="3"/>
  <c r="I174" i="3" s="1"/>
  <c r="L173" i="3"/>
  <c r="M173" i="3" s="1"/>
  <c r="J173" i="3"/>
  <c r="K173" i="3" s="1"/>
  <c r="C173" i="3"/>
  <c r="B173" i="3"/>
  <c r="L172" i="3"/>
  <c r="M172" i="3" s="1"/>
  <c r="J172" i="3"/>
  <c r="K172" i="3" s="1"/>
  <c r="C172" i="3"/>
  <c r="B172" i="3"/>
  <c r="L171" i="3"/>
  <c r="M171" i="3" s="1"/>
  <c r="J171" i="3"/>
  <c r="K171" i="3" s="1"/>
  <c r="C171" i="3"/>
  <c r="B171" i="3"/>
  <c r="L170" i="3"/>
  <c r="M170" i="3" s="1"/>
  <c r="J170" i="3"/>
  <c r="K170" i="3" s="1"/>
  <c r="C170" i="3"/>
  <c r="B170" i="3"/>
  <c r="L169" i="3"/>
  <c r="M169" i="3" s="1"/>
  <c r="K169" i="3"/>
  <c r="J169" i="3"/>
  <c r="C169" i="3"/>
  <c r="B169" i="3"/>
  <c r="L168" i="3"/>
  <c r="M168" i="3" s="1"/>
  <c r="J168" i="3"/>
  <c r="K168" i="3" s="1"/>
  <c r="C168" i="3"/>
  <c r="B168" i="3"/>
  <c r="L167" i="3"/>
  <c r="M167" i="3" s="1"/>
  <c r="J167" i="3"/>
  <c r="K167" i="3" s="1"/>
  <c r="C167" i="3"/>
  <c r="B167" i="3"/>
  <c r="L166" i="3"/>
  <c r="M166" i="3" s="1"/>
  <c r="J166" i="3"/>
  <c r="K166" i="3" s="1"/>
  <c r="C166" i="3"/>
  <c r="B166" i="3"/>
  <c r="L165" i="3"/>
  <c r="M165" i="3" s="1"/>
  <c r="J165" i="3"/>
  <c r="K165" i="3" s="1"/>
  <c r="C165" i="3"/>
  <c r="B165" i="3"/>
  <c r="L164" i="3"/>
  <c r="M164" i="3" s="1"/>
  <c r="J164" i="3"/>
  <c r="K164" i="3" s="1"/>
  <c r="C164" i="3"/>
  <c r="B164" i="3"/>
  <c r="L163" i="3"/>
  <c r="M163" i="3" s="1"/>
  <c r="J163" i="3"/>
  <c r="K163" i="3" s="1"/>
  <c r="C163" i="3"/>
  <c r="B163" i="3"/>
  <c r="L162" i="3"/>
  <c r="M162" i="3" s="1"/>
  <c r="J162" i="3"/>
  <c r="K162" i="3" s="1"/>
  <c r="C162" i="3"/>
  <c r="B162" i="3"/>
  <c r="L161" i="3"/>
  <c r="M161" i="3" s="1"/>
  <c r="J161" i="3"/>
  <c r="K161" i="3" s="1"/>
  <c r="C161" i="3"/>
  <c r="B161" i="3"/>
  <c r="L160" i="3"/>
  <c r="M160" i="3" s="1"/>
  <c r="J160" i="3"/>
  <c r="K160" i="3" s="1"/>
  <c r="C160" i="3"/>
  <c r="B160" i="3"/>
  <c r="L159" i="3"/>
  <c r="M159" i="3" s="1"/>
  <c r="J159" i="3"/>
  <c r="K159" i="3" s="1"/>
  <c r="C159" i="3"/>
  <c r="B159" i="3"/>
  <c r="L158" i="3"/>
  <c r="M158" i="3" s="1"/>
  <c r="J158" i="3"/>
  <c r="K158" i="3" s="1"/>
  <c r="C158" i="3"/>
  <c r="B158" i="3"/>
  <c r="L157" i="3"/>
  <c r="M157" i="3" s="1"/>
  <c r="J157" i="3"/>
  <c r="K157" i="3" s="1"/>
  <c r="C157" i="3"/>
  <c r="B157" i="3"/>
  <c r="L156" i="3"/>
  <c r="M156" i="3" s="1"/>
  <c r="J156" i="3"/>
  <c r="K156" i="3" s="1"/>
  <c r="C156" i="3"/>
  <c r="B156" i="3"/>
  <c r="L155" i="3"/>
  <c r="M155" i="3" s="1"/>
  <c r="J155" i="3"/>
  <c r="K155" i="3" s="1"/>
  <c r="C155" i="3"/>
  <c r="B155" i="3"/>
  <c r="L154" i="3"/>
  <c r="M154" i="3" s="1"/>
  <c r="J154" i="3"/>
  <c r="K154" i="3" s="1"/>
  <c r="C154" i="3"/>
  <c r="B154" i="3"/>
  <c r="L153" i="3"/>
  <c r="M153" i="3" s="1"/>
  <c r="J153" i="3"/>
  <c r="K153" i="3" s="1"/>
  <c r="C153" i="3"/>
  <c r="B153" i="3"/>
  <c r="L152" i="3"/>
  <c r="M152" i="3" s="1"/>
  <c r="J152" i="3"/>
  <c r="K152" i="3" s="1"/>
  <c r="C152" i="3"/>
  <c r="B152" i="3"/>
  <c r="L151" i="3"/>
  <c r="M151" i="3" s="1"/>
  <c r="J151" i="3"/>
  <c r="K151" i="3" s="1"/>
  <c r="C151" i="3"/>
  <c r="B151" i="3"/>
  <c r="L150" i="3"/>
  <c r="M150" i="3" s="1"/>
  <c r="J150" i="3"/>
  <c r="K150" i="3" s="1"/>
  <c r="C150" i="3"/>
  <c r="B150" i="3"/>
  <c r="L149" i="3"/>
  <c r="M149" i="3" s="1"/>
  <c r="J149" i="3"/>
  <c r="K149" i="3" s="1"/>
  <c r="C149" i="3"/>
  <c r="B149" i="3"/>
  <c r="L148" i="3"/>
  <c r="M148" i="3" s="1"/>
  <c r="J148" i="3"/>
  <c r="K148" i="3" s="1"/>
  <c r="C148" i="3"/>
  <c r="B148" i="3"/>
  <c r="L147" i="3"/>
  <c r="M147" i="3" s="1"/>
  <c r="J147" i="3"/>
  <c r="K147" i="3" s="1"/>
  <c r="C147" i="3"/>
  <c r="B147" i="3"/>
  <c r="L146" i="3"/>
  <c r="M146" i="3" s="1"/>
  <c r="J146" i="3"/>
  <c r="K146" i="3" s="1"/>
  <c r="C146" i="3"/>
  <c r="B146" i="3"/>
  <c r="L145" i="3"/>
  <c r="M145" i="3" s="1"/>
  <c r="J145" i="3"/>
  <c r="K145" i="3" s="1"/>
  <c r="C145" i="3"/>
  <c r="B145" i="3"/>
  <c r="I145" i="3" s="1"/>
  <c r="L144" i="3"/>
  <c r="M144" i="3" s="1"/>
  <c r="J144" i="3"/>
  <c r="K144" i="3" s="1"/>
  <c r="C144" i="3"/>
  <c r="B144" i="3"/>
  <c r="L143" i="3"/>
  <c r="M143" i="3" s="1"/>
  <c r="J143" i="3"/>
  <c r="K143" i="3" s="1"/>
  <c r="H143" i="3"/>
  <c r="C143" i="3"/>
  <c r="B143" i="3"/>
  <c r="L142" i="3"/>
  <c r="M142" i="3" s="1"/>
  <c r="J142" i="3"/>
  <c r="K142" i="3" s="1"/>
  <c r="C142" i="3"/>
  <c r="B142" i="3"/>
  <c r="L141" i="3"/>
  <c r="M141" i="3" s="1"/>
  <c r="J141" i="3"/>
  <c r="K141" i="3" s="1"/>
  <c r="C141" i="3"/>
  <c r="B141" i="3"/>
  <c r="L140" i="3"/>
  <c r="M140" i="3" s="1"/>
  <c r="J140" i="3"/>
  <c r="K140" i="3" s="1"/>
  <c r="C140" i="3"/>
  <c r="B140" i="3"/>
  <c r="L139" i="3"/>
  <c r="M139" i="3" s="1"/>
  <c r="J139" i="3"/>
  <c r="K139" i="3" s="1"/>
  <c r="C139" i="3"/>
  <c r="B139" i="3"/>
  <c r="L138" i="3"/>
  <c r="M138" i="3" s="1"/>
  <c r="J138" i="3"/>
  <c r="K138" i="3" s="1"/>
  <c r="C138" i="3"/>
  <c r="B138" i="3"/>
  <c r="L137" i="3"/>
  <c r="M137" i="3" s="1"/>
  <c r="J137" i="3"/>
  <c r="K137" i="3" s="1"/>
  <c r="C137" i="3"/>
  <c r="B137" i="3"/>
  <c r="L136" i="3"/>
  <c r="M136" i="3" s="1"/>
  <c r="J136" i="3"/>
  <c r="K136" i="3" s="1"/>
  <c r="C136" i="3"/>
  <c r="B136" i="3"/>
  <c r="L135" i="3"/>
  <c r="M135" i="3" s="1"/>
  <c r="J135" i="3"/>
  <c r="K135" i="3" s="1"/>
  <c r="C135" i="3"/>
  <c r="B135" i="3"/>
  <c r="C134" i="3"/>
  <c r="B134" i="3"/>
  <c r="G133" i="3"/>
  <c r="J133" i="3" s="1"/>
  <c r="K133" i="3" s="1"/>
  <c r="C133" i="3"/>
  <c r="B133" i="3"/>
  <c r="L132" i="3"/>
  <c r="M132" i="3" s="1"/>
  <c r="J132" i="3"/>
  <c r="K132" i="3" s="1"/>
  <c r="C132" i="3"/>
  <c r="B132" i="3"/>
  <c r="L131" i="3"/>
  <c r="M131" i="3" s="1"/>
  <c r="J131" i="3"/>
  <c r="K131" i="3" s="1"/>
  <c r="C131" i="3"/>
  <c r="B131" i="3"/>
  <c r="L130" i="3"/>
  <c r="M130" i="3" s="1"/>
  <c r="J130" i="3"/>
  <c r="K130" i="3" s="1"/>
  <c r="C130" i="3"/>
  <c r="B130" i="3"/>
  <c r="L129" i="3"/>
  <c r="M129" i="3" s="1"/>
  <c r="J129" i="3"/>
  <c r="K129" i="3" s="1"/>
  <c r="C129" i="3"/>
  <c r="B129" i="3"/>
  <c r="L128" i="3"/>
  <c r="M128" i="3" s="1"/>
  <c r="J128" i="3"/>
  <c r="K128" i="3" s="1"/>
  <c r="C128" i="3"/>
  <c r="B128" i="3"/>
  <c r="L127" i="3"/>
  <c r="M127" i="3" s="1"/>
  <c r="J127" i="3"/>
  <c r="K127" i="3" s="1"/>
  <c r="C127" i="3"/>
  <c r="B127" i="3"/>
  <c r="L126" i="3"/>
  <c r="M126" i="3" s="1"/>
  <c r="J126" i="3"/>
  <c r="K126" i="3" s="1"/>
  <c r="C126" i="3"/>
  <c r="B126" i="3"/>
  <c r="L125" i="3"/>
  <c r="M125" i="3" s="1"/>
  <c r="J125" i="3"/>
  <c r="K125" i="3" s="1"/>
  <c r="C125" i="3"/>
  <c r="B125" i="3"/>
  <c r="L124" i="3"/>
  <c r="M124" i="3" s="1"/>
  <c r="J124" i="3"/>
  <c r="K124" i="3" s="1"/>
  <c r="C124" i="3"/>
  <c r="B124" i="3"/>
  <c r="L123" i="3"/>
  <c r="M123" i="3" s="1"/>
  <c r="J123" i="3"/>
  <c r="K123" i="3" s="1"/>
  <c r="C123" i="3"/>
  <c r="B123" i="3"/>
  <c r="L122" i="3"/>
  <c r="M122" i="3" s="1"/>
  <c r="J122" i="3"/>
  <c r="K122" i="3" s="1"/>
  <c r="C122" i="3"/>
  <c r="B122" i="3"/>
  <c r="L121" i="3"/>
  <c r="M121" i="3" s="1"/>
  <c r="J121" i="3"/>
  <c r="K121" i="3" s="1"/>
  <c r="C121" i="3"/>
  <c r="B121" i="3"/>
  <c r="L120" i="3"/>
  <c r="M120" i="3" s="1"/>
  <c r="J120" i="3"/>
  <c r="K120" i="3" s="1"/>
  <c r="C120" i="3"/>
  <c r="B120" i="3"/>
  <c r="L119" i="3"/>
  <c r="M119" i="3" s="1"/>
  <c r="J119" i="3"/>
  <c r="K119" i="3" s="1"/>
  <c r="C119" i="3"/>
  <c r="B119" i="3"/>
  <c r="L118" i="3"/>
  <c r="M118" i="3" s="1"/>
  <c r="J118" i="3"/>
  <c r="K118" i="3" s="1"/>
  <c r="C118" i="3"/>
  <c r="B118" i="3"/>
  <c r="L117" i="3"/>
  <c r="M117" i="3" s="1"/>
  <c r="J117" i="3"/>
  <c r="K117" i="3" s="1"/>
  <c r="C117" i="3"/>
  <c r="B117" i="3"/>
  <c r="L116" i="3"/>
  <c r="M116" i="3" s="1"/>
  <c r="J116" i="3"/>
  <c r="K116" i="3" s="1"/>
  <c r="C116" i="3"/>
  <c r="B116" i="3"/>
  <c r="L115" i="3"/>
  <c r="M115" i="3" s="1"/>
  <c r="J115" i="3"/>
  <c r="K115" i="3" s="1"/>
  <c r="C115" i="3"/>
  <c r="B115" i="3"/>
  <c r="L114" i="3"/>
  <c r="M114" i="3" s="1"/>
  <c r="J114" i="3"/>
  <c r="K114" i="3" s="1"/>
  <c r="C114" i="3"/>
  <c r="B114" i="3"/>
  <c r="L113" i="3"/>
  <c r="M113" i="3" s="1"/>
  <c r="J113" i="3"/>
  <c r="K113" i="3" s="1"/>
  <c r="C113" i="3"/>
  <c r="B113" i="3"/>
  <c r="L112" i="3"/>
  <c r="M112" i="3" s="1"/>
  <c r="J112" i="3"/>
  <c r="K112" i="3" s="1"/>
  <c r="C112" i="3"/>
  <c r="B112" i="3"/>
  <c r="L111" i="3"/>
  <c r="M111" i="3" s="1"/>
  <c r="J111" i="3"/>
  <c r="K111" i="3" s="1"/>
  <c r="C111" i="3"/>
  <c r="B111" i="3"/>
  <c r="L110" i="3"/>
  <c r="M110" i="3" s="1"/>
  <c r="J110" i="3"/>
  <c r="K110" i="3" s="1"/>
  <c r="C110" i="3"/>
  <c r="B110" i="3"/>
  <c r="L109" i="3"/>
  <c r="M109" i="3" s="1"/>
  <c r="J109" i="3"/>
  <c r="K109" i="3" s="1"/>
  <c r="C109" i="3"/>
  <c r="B109" i="3"/>
  <c r="L108" i="3"/>
  <c r="M108" i="3" s="1"/>
  <c r="J108" i="3"/>
  <c r="K108" i="3" s="1"/>
  <c r="C108" i="3"/>
  <c r="B108" i="3"/>
  <c r="L107" i="3"/>
  <c r="M107" i="3" s="1"/>
  <c r="J107" i="3"/>
  <c r="K107" i="3" s="1"/>
  <c r="C107" i="3"/>
  <c r="B107" i="3"/>
  <c r="L106" i="3"/>
  <c r="M106" i="3" s="1"/>
  <c r="J106" i="3"/>
  <c r="K106" i="3" s="1"/>
  <c r="C106" i="3"/>
  <c r="B106" i="3"/>
  <c r="L105" i="3"/>
  <c r="M105" i="3" s="1"/>
  <c r="J105" i="3"/>
  <c r="K105" i="3" s="1"/>
  <c r="C105" i="3"/>
  <c r="B105" i="3"/>
  <c r="L104" i="3"/>
  <c r="M104" i="3" s="1"/>
  <c r="J104" i="3"/>
  <c r="K104" i="3" s="1"/>
  <c r="C104" i="3"/>
  <c r="B104" i="3"/>
  <c r="L103" i="3"/>
  <c r="M103" i="3" s="1"/>
  <c r="J103" i="3"/>
  <c r="K103" i="3" s="1"/>
  <c r="C103" i="3"/>
  <c r="B103" i="3"/>
  <c r="L102" i="3"/>
  <c r="M102" i="3" s="1"/>
  <c r="J102" i="3"/>
  <c r="K102" i="3" s="1"/>
  <c r="C102" i="3"/>
  <c r="B102" i="3"/>
  <c r="L101" i="3"/>
  <c r="M101" i="3" s="1"/>
  <c r="J101" i="3"/>
  <c r="K101" i="3" s="1"/>
  <c r="C101" i="3"/>
  <c r="B101" i="3"/>
  <c r="L100" i="3"/>
  <c r="M100" i="3" s="1"/>
  <c r="J100" i="3"/>
  <c r="K100" i="3" s="1"/>
  <c r="C100" i="3"/>
  <c r="B100" i="3"/>
  <c r="L99" i="3"/>
  <c r="M99" i="3" s="1"/>
  <c r="J99" i="3"/>
  <c r="K99" i="3" s="1"/>
  <c r="C99" i="3"/>
  <c r="B99" i="3"/>
  <c r="L98" i="3"/>
  <c r="M98" i="3" s="1"/>
  <c r="J98" i="3"/>
  <c r="K98" i="3" s="1"/>
  <c r="C98" i="3"/>
  <c r="B98" i="3"/>
  <c r="L97" i="3"/>
  <c r="M97" i="3" s="1"/>
  <c r="J97" i="3"/>
  <c r="K97" i="3" s="1"/>
  <c r="C97" i="3"/>
  <c r="B97" i="3"/>
  <c r="L96" i="3"/>
  <c r="M96" i="3" s="1"/>
  <c r="J96" i="3"/>
  <c r="K96" i="3" s="1"/>
  <c r="C96" i="3"/>
  <c r="B96" i="3"/>
  <c r="L95" i="3"/>
  <c r="M95" i="3" s="1"/>
  <c r="J95" i="3"/>
  <c r="K95" i="3" s="1"/>
  <c r="C95" i="3"/>
  <c r="B95" i="3"/>
  <c r="L94" i="3"/>
  <c r="M94" i="3" s="1"/>
  <c r="J94" i="3"/>
  <c r="K94" i="3" s="1"/>
  <c r="C94" i="3"/>
  <c r="B94" i="3"/>
  <c r="L93" i="3"/>
  <c r="M93" i="3" s="1"/>
  <c r="J93" i="3"/>
  <c r="K93" i="3" s="1"/>
  <c r="C93" i="3"/>
  <c r="B93" i="3"/>
  <c r="L92" i="3"/>
  <c r="M92" i="3" s="1"/>
  <c r="J92" i="3"/>
  <c r="K92" i="3" s="1"/>
  <c r="C92" i="3"/>
  <c r="B92" i="3"/>
  <c r="L91" i="3"/>
  <c r="M91" i="3" s="1"/>
  <c r="J91" i="3"/>
  <c r="K91" i="3" s="1"/>
  <c r="C91" i="3"/>
  <c r="B91" i="3"/>
  <c r="L90" i="3"/>
  <c r="M90" i="3" s="1"/>
  <c r="J90" i="3"/>
  <c r="K90" i="3" s="1"/>
  <c r="C90" i="3"/>
  <c r="B90" i="3"/>
  <c r="L89" i="3"/>
  <c r="M89" i="3" s="1"/>
  <c r="J89" i="3"/>
  <c r="K89" i="3" s="1"/>
  <c r="C89" i="3"/>
  <c r="B89" i="3"/>
  <c r="L88" i="3"/>
  <c r="M88" i="3" s="1"/>
  <c r="J88" i="3"/>
  <c r="K88" i="3" s="1"/>
  <c r="C88" i="3"/>
  <c r="B88" i="3"/>
  <c r="I88" i="3" s="1"/>
  <c r="L87" i="3"/>
  <c r="M87" i="3" s="1"/>
  <c r="J87" i="3"/>
  <c r="K87" i="3" s="1"/>
  <c r="C87" i="3"/>
  <c r="B87" i="3"/>
  <c r="L86" i="3"/>
  <c r="M86" i="3" s="1"/>
  <c r="J86" i="3"/>
  <c r="K86" i="3" s="1"/>
  <c r="C86" i="3"/>
  <c r="B86" i="3"/>
  <c r="L85" i="3"/>
  <c r="M85" i="3" s="1"/>
  <c r="J85" i="3"/>
  <c r="K85" i="3" s="1"/>
  <c r="C85" i="3"/>
  <c r="B85" i="3"/>
  <c r="L84" i="3"/>
  <c r="M84" i="3" s="1"/>
  <c r="J84" i="3"/>
  <c r="K84" i="3" s="1"/>
  <c r="C84" i="3"/>
  <c r="B84" i="3"/>
  <c r="I84" i="3" s="1"/>
  <c r="L83" i="3"/>
  <c r="M83" i="3" s="1"/>
  <c r="J83" i="3"/>
  <c r="K83" i="3" s="1"/>
  <c r="C83" i="3"/>
  <c r="B83" i="3"/>
  <c r="L82" i="3"/>
  <c r="M82" i="3" s="1"/>
  <c r="J82" i="3"/>
  <c r="K82" i="3" s="1"/>
  <c r="C82" i="3"/>
  <c r="B82" i="3"/>
  <c r="I82" i="3" s="1"/>
  <c r="L81" i="3"/>
  <c r="M81" i="3" s="1"/>
  <c r="J81" i="3"/>
  <c r="K81" i="3" s="1"/>
  <c r="C81" i="3"/>
  <c r="B81" i="3"/>
  <c r="L80" i="3"/>
  <c r="M80" i="3" s="1"/>
  <c r="J80" i="3"/>
  <c r="K80" i="3" s="1"/>
  <c r="C80" i="3"/>
  <c r="B80" i="3"/>
  <c r="L79" i="3"/>
  <c r="M79" i="3" s="1"/>
  <c r="J79" i="3"/>
  <c r="K79" i="3" s="1"/>
  <c r="C79" i="3"/>
  <c r="B79" i="3"/>
  <c r="L78" i="3"/>
  <c r="M78" i="3" s="1"/>
  <c r="J78" i="3"/>
  <c r="K78" i="3" s="1"/>
  <c r="C78" i="3"/>
  <c r="B78" i="3"/>
  <c r="I78" i="3" s="1"/>
  <c r="L77" i="3"/>
  <c r="M77" i="3" s="1"/>
  <c r="J77" i="3"/>
  <c r="K77" i="3" s="1"/>
  <c r="C77" i="3"/>
  <c r="B77" i="3"/>
  <c r="L76" i="3"/>
  <c r="M76" i="3" s="1"/>
  <c r="J76" i="3"/>
  <c r="K76" i="3" s="1"/>
  <c r="C76" i="3"/>
  <c r="B76" i="3"/>
  <c r="L75" i="3"/>
  <c r="M75" i="3" s="1"/>
  <c r="J75" i="3"/>
  <c r="K75" i="3" s="1"/>
  <c r="C75" i="3"/>
  <c r="B75" i="3"/>
  <c r="L74" i="3"/>
  <c r="M74" i="3" s="1"/>
  <c r="J74" i="3"/>
  <c r="K74" i="3" s="1"/>
  <c r="C74" i="3"/>
  <c r="B74" i="3"/>
  <c r="L73" i="3"/>
  <c r="M73" i="3" s="1"/>
  <c r="J73" i="3"/>
  <c r="K73" i="3" s="1"/>
  <c r="C73" i="3"/>
  <c r="B73" i="3"/>
  <c r="L72" i="3"/>
  <c r="M72" i="3" s="1"/>
  <c r="J72" i="3"/>
  <c r="K72" i="3" s="1"/>
  <c r="C72" i="3"/>
  <c r="B72" i="3"/>
  <c r="L71" i="3"/>
  <c r="M71" i="3" s="1"/>
  <c r="J71" i="3"/>
  <c r="K71" i="3" s="1"/>
  <c r="C71" i="3"/>
  <c r="B71" i="3"/>
  <c r="I71" i="3" s="1"/>
  <c r="L70" i="3"/>
  <c r="M70" i="3" s="1"/>
  <c r="J70" i="3"/>
  <c r="K70" i="3" s="1"/>
  <c r="C70" i="3"/>
  <c r="B70" i="3"/>
  <c r="L69" i="3"/>
  <c r="M69" i="3" s="1"/>
  <c r="J69" i="3"/>
  <c r="K69" i="3" s="1"/>
  <c r="C69" i="3"/>
  <c r="B69" i="3"/>
  <c r="L68" i="3"/>
  <c r="M68" i="3" s="1"/>
  <c r="J68" i="3"/>
  <c r="K68" i="3" s="1"/>
  <c r="C68" i="3"/>
  <c r="B68" i="3"/>
  <c r="L67" i="3"/>
  <c r="M67" i="3" s="1"/>
  <c r="J67" i="3"/>
  <c r="K67" i="3" s="1"/>
  <c r="C67" i="3"/>
  <c r="B67" i="3"/>
  <c r="L66" i="3"/>
  <c r="M66" i="3" s="1"/>
  <c r="J66" i="3"/>
  <c r="K66" i="3" s="1"/>
  <c r="C66" i="3"/>
  <c r="B66" i="3"/>
  <c r="L65" i="3"/>
  <c r="M65" i="3" s="1"/>
  <c r="J65" i="3"/>
  <c r="K65" i="3" s="1"/>
  <c r="C65" i="3"/>
  <c r="B65" i="3"/>
  <c r="I65" i="3" s="1"/>
  <c r="L64" i="3"/>
  <c r="M64" i="3" s="1"/>
  <c r="J64" i="3"/>
  <c r="K64" i="3" s="1"/>
  <c r="C64" i="3"/>
  <c r="B64" i="3"/>
  <c r="L63" i="3"/>
  <c r="M63" i="3" s="1"/>
  <c r="J63" i="3"/>
  <c r="K63" i="3" s="1"/>
  <c r="C63" i="3"/>
  <c r="B63" i="3"/>
  <c r="L62" i="3"/>
  <c r="M62" i="3" s="1"/>
  <c r="J62" i="3"/>
  <c r="K62" i="3" s="1"/>
  <c r="C62" i="3"/>
  <c r="B62" i="3"/>
  <c r="L61" i="3"/>
  <c r="M61" i="3" s="1"/>
  <c r="J61" i="3"/>
  <c r="K61" i="3" s="1"/>
  <c r="C61" i="3"/>
  <c r="B61" i="3"/>
  <c r="I61" i="3" s="1"/>
  <c r="L60" i="3"/>
  <c r="M60" i="3" s="1"/>
  <c r="J60" i="3"/>
  <c r="K60" i="3" s="1"/>
  <c r="C60" i="3"/>
  <c r="B60" i="3"/>
  <c r="L59" i="3"/>
  <c r="M59" i="3" s="1"/>
  <c r="J59" i="3"/>
  <c r="K59" i="3" s="1"/>
  <c r="C59" i="3"/>
  <c r="B59" i="3"/>
  <c r="I59" i="3" s="1"/>
  <c r="L58" i="3"/>
  <c r="M58" i="3" s="1"/>
  <c r="J58" i="3"/>
  <c r="K58" i="3" s="1"/>
  <c r="C58" i="3"/>
  <c r="B58" i="3"/>
  <c r="L57" i="3"/>
  <c r="M57" i="3" s="1"/>
  <c r="J57" i="3"/>
  <c r="K57" i="3" s="1"/>
  <c r="C57" i="3"/>
  <c r="B57" i="3"/>
  <c r="L56" i="3"/>
  <c r="M56" i="3" s="1"/>
  <c r="J56" i="3"/>
  <c r="K56" i="3" s="1"/>
  <c r="C56" i="3"/>
  <c r="B56" i="3"/>
  <c r="L55" i="3"/>
  <c r="M55" i="3" s="1"/>
  <c r="J55" i="3"/>
  <c r="K55" i="3" s="1"/>
  <c r="C55" i="3"/>
  <c r="B55" i="3"/>
  <c r="I55" i="3" s="1"/>
  <c r="L54" i="3"/>
  <c r="M54" i="3" s="1"/>
  <c r="J54" i="3"/>
  <c r="K54" i="3" s="1"/>
  <c r="C54" i="3"/>
  <c r="B54" i="3"/>
  <c r="L53" i="3"/>
  <c r="M53" i="3" s="1"/>
  <c r="J53" i="3"/>
  <c r="K53" i="3" s="1"/>
  <c r="C53" i="3"/>
  <c r="B53" i="3"/>
  <c r="I53" i="3" s="1"/>
  <c r="L52" i="3"/>
  <c r="M52" i="3" s="1"/>
  <c r="J52" i="3"/>
  <c r="K52" i="3" s="1"/>
  <c r="C52" i="3"/>
  <c r="B52" i="3"/>
  <c r="L51" i="3"/>
  <c r="M51" i="3" s="1"/>
  <c r="J51" i="3"/>
  <c r="K51" i="3" s="1"/>
  <c r="C51" i="3"/>
  <c r="B51" i="3"/>
  <c r="I51" i="3" s="1"/>
  <c r="L50" i="3"/>
  <c r="M50" i="3" s="1"/>
  <c r="J50" i="3"/>
  <c r="K50" i="3" s="1"/>
  <c r="C50" i="3"/>
  <c r="B50" i="3"/>
  <c r="L49" i="3"/>
  <c r="M49" i="3" s="1"/>
  <c r="J49" i="3"/>
  <c r="K49" i="3" s="1"/>
  <c r="C49" i="3"/>
  <c r="B49" i="3"/>
  <c r="L48" i="3"/>
  <c r="M48" i="3" s="1"/>
  <c r="J48" i="3"/>
  <c r="K48" i="3" s="1"/>
  <c r="C48" i="3"/>
  <c r="I48" i="3" s="1"/>
  <c r="B48" i="3"/>
  <c r="L47" i="3"/>
  <c r="M47" i="3" s="1"/>
  <c r="J47" i="3"/>
  <c r="K47" i="3" s="1"/>
  <c r="C47" i="3"/>
  <c r="B47" i="3"/>
  <c r="I47" i="3" s="1"/>
  <c r="L46" i="3"/>
  <c r="M46" i="3" s="1"/>
  <c r="J46" i="3"/>
  <c r="K46" i="3" s="1"/>
  <c r="C46" i="3"/>
  <c r="B46" i="3"/>
  <c r="L45" i="3"/>
  <c r="M45" i="3" s="1"/>
  <c r="J45" i="3"/>
  <c r="K45" i="3" s="1"/>
  <c r="C45" i="3"/>
  <c r="B45" i="3"/>
  <c r="I45" i="3" s="1"/>
  <c r="L44" i="3"/>
  <c r="M44" i="3" s="1"/>
  <c r="J44" i="3"/>
  <c r="K44" i="3" s="1"/>
  <c r="C44" i="3"/>
  <c r="B44" i="3"/>
  <c r="L43" i="3"/>
  <c r="M43" i="3" s="1"/>
  <c r="J43" i="3"/>
  <c r="K43" i="3" s="1"/>
  <c r="C43" i="3"/>
  <c r="B43" i="3"/>
  <c r="I43" i="3" s="1"/>
  <c r="L42" i="3"/>
  <c r="M42" i="3" s="1"/>
  <c r="J42" i="3"/>
  <c r="K42" i="3" s="1"/>
  <c r="C42" i="3"/>
  <c r="B42" i="3"/>
  <c r="L41" i="3"/>
  <c r="M41" i="3" s="1"/>
  <c r="J41" i="3"/>
  <c r="K41" i="3" s="1"/>
  <c r="C41" i="3"/>
  <c r="B41" i="3"/>
  <c r="L40" i="3"/>
  <c r="M40" i="3" s="1"/>
  <c r="J40" i="3"/>
  <c r="K40" i="3" s="1"/>
  <c r="C40" i="3"/>
  <c r="B40" i="3"/>
  <c r="L39" i="3"/>
  <c r="M39" i="3" s="1"/>
  <c r="J39" i="3"/>
  <c r="K39" i="3" s="1"/>
  <c r="C39" i="3"/>
  <c r="B39" i="3"/>
  <c r="I39" i="3" s="1"/>
  <c r="L38" i="3"/>
  <c r="M38" i="3" s="1"/>
  <c r="J38" i="3"/>
  <c r="K38" i="3" s="1"/>
  <c r="C38" i="3"/>
  <c r="B38" i="3"/>
  <c r="L37" i="3"/>
  <c r="M37" i="3" s="1"/>
  <c r="J37" i="3"/>
  <c r="K37" i="3" s="1"/>
  <c r="C37" i="3"/>
  <c r="B37" i="3"/>
  <c r="L36" i="3"/>
  <c r="M36" i="3" s="1"/>
  <c r="J36" i="3"/>
  <c r="K36" i="3" s="1"/>
  <c r="C36" i="3"/>
  <c r="B36" i="3"/>
  <c r="L35" i="3"/>
  <c r="M35" i="3" s="1"/>
  <c r="J35" i="3"/>
  <c r="K35" i="3" s="1"/>
  <c r="C35" i="3"/>
  <c r="B35" i="3"/>
  <c r="L34" i="3"/>
  <c r="M34" i="3" s="1"/>
  <c r="J34" i="3"/>
  <c r="K34" i="3" s="1"/>
  <c r="C34" i="3"/>
  <c r="B34" i="3"/>
  <c r="L33" i="3"/>
  <c r="M33" i="3" s="1"/>
  <c r="J33" i="3"/>
  <c r="K33" i="3" s="1"/>
  <c r="C33" i="3"/>
  <c r="B33" i="3"/>
  <c r="L32" i="3"/>
  <c r="M32" i="3" s="1"/>
  <c r="J32" i="3"/>
  <c r="K32" i="3" s="1"/>
  <c r="C32" i="3"/>
  <c r="I32" i="3" s="1"/>
  <c r="B32" i="3"/>
  <c r="L31" i="3"/>
  <c r="M31" i="3" s="1"/>
  <c r="J31" i="3"/>
  <c r="K31" i="3" s="1"/>
  <c r="C31" i="3"/>
  <c r="B31" i="3"/>
  <c r="L30" i="3"/>
  <c r="M30" i="3" s="1"/>
  <c r="J30" i="3"/>
  <c r="K30" i="3" s="1"/>
  <c r="C30" i="3"/>
  <c r="B30" i="3"/>
  <c r="L29" i="3"/>
  <c r="M29" i="3" s="1"/>
  <c r="J29" i="3"/>
  <c r="K29" i="3" s="1"/>
  <c r="C29" i="3"/>
  <c r="B29" i="3"/>
  <c r="L28" i="3"/>
  <c r="M28" i="3" s="1"/>
  <c r="J28" i="3"/>
  <c r="K28" i="3" s="1"/>
  <c r="C28" i="3"/>
  <c r="B28" i="3"/>
  <c r="L27" i="3"/>
  <c r="M27" i="3" s="1"/>
  <c r="J27" i="3"/>
  <c r="K27" i="3" s="1"/>
  <c r="C27" i="3"/>
  <c r="B27" i="3"/>
  <c r="L26" i="3"/>
  <c r="M26" i="3" s="1"/>
  <c r="J26" i="3"/>
  <c r="K26" i="3" s="1"/>
  <c r="C26" i="3"/>
  <c r="B26" i="3"/>
  <c r="L25" i="3"/>
  <c r="M25" i="3" s="1"/>
  <c r="J25" i="3"/>
  <c r="K25" i="3" s="1"/>
  <c r="C25" i="3"/>
  <c r="B25" i="3"/>
  <c r="L24" i="3"/>
  <c r="M24" i="3" s="1"/>
  <c r="J24" i="3"/>
  <c r="K24" i="3" s="1"/>
  <c r="C24" i="3"/>
  <c r="B24" i="3"/>
  <c r="L23" i="3"/>
  <c r="M23" i="3" s="1"/>
  <c r="J23" i="3"/>
  <c r="K23" i="3" s="1"/>
  <c r="C23" i="3"/>
  <c r="B23" i="3"/>
  <c r="L22" i="3"/>
  <c r="M22" i="3" s="1"/>
  <c r="J22" i="3"/>
  <c r="K22" i="3" s="1"/>
  <c r="C22" i="3"/>
  <c r="B22" i="3"/>
  <c r="L21" i="3"/>
  <c r="M21" i="3" s="1"/>
  <c r="J21" i="3"/>
  <c r="K21" i="3" s="1"/>
  <c r="C21" i="3"/>
  <c r="B21" i="3"/>
  <c r="L20" i="3"/>
  <c r="M20" i="3" s="1"/>
  <c r="J20" i="3"/>
  <c r="K20" i="3" s="1"/>
  <c r="C20" i="3"/>
  <c r="B20" i="3"/>
  <c r="L19" i="3"/>
  <c r="M19" i="3" s="1"/>
  <c r="J19" i="3"/>
  <c r="K19" i="3" s="1"/>
  <c r="C19" i="3"/>
  <c r="B19" i="3"/>
  <c r="L18" i="3"/>
  <c r="M18" i="3" s="1"/>
  <c r="J18" i="3"/>
  <c r="K18" i="3" s="1"/>
  <c r="C18" i="3"/>
  <c r="B18" i="3"/>
  <c r="L17" i="3"/>
  <c r="M17" i="3" s="1"/>
  <c r="J17" i="3"/>
  <c r="K17" i="3" s="1"/>
  <c r="C17" i="3"/>
  <c r="B17" i="3"/>
  <c r="L16" i="3"/>
  <c r="M16" i="3" s="1"/>
  <c r="J16" i="3"/>
  <c r="K16" i="3" s="1"/>
  <c r="C16" i="3"/>
  <c r="B16" i="3"/>
  <c r="L15" i="3"/>
  <c r="M15" i="3" s="1"/>
  <c r="J15" i="3"/>
  <c r="K15" i="3" s="1"/>
  <c r="C15" i="3"/>
  <c r="B15" i="3"/>
  <c r="L14" i="3"/>
  <c r="M14" i="3" s="1"/>
  <c r="J14" i="3"/>
  <c r="K14" i="3" s="1"/>
  <c r="C14" i="3"/>
  <c r="B14" i="3"/>
  <c r="L13" i="3"/>
  <c r="M13" i="3" s="1"/>
  <c r="J13" i="3"/>
  <c r="K13" i="3" s="1"/>
  <c r="C13" i="3"/>
  <c r="B13" i="3"/>
  <c r="L12" i="3"/>
  <c r="M12" i="3" s="1"/>
  <c r="J12" i="3"/>
  <c r="K12" i="3" s="1"/>
  <c r="C12" i="3"/>
  <c r="B12" i="3"/>
  <c r="L11" i="3"/>
  <c r="M11" i="3" s="1"/>
  <c r="J11" i="3"/>
  <c r="K11" i="3" s="1"/>
  <c r="H11" i="3"/>
  <c r="F11" i="3"/>
  <c r="C11" i="3"/>
  <c r="B11" i="3"/>
  <c r="L10" i="3"/>
  <c r="M10" i="3" s="1"/>
  <c r="J10" i="3"/>
  <c r="K10" i="3" s="1"/>
  <c r="C10" i="3"/>
  <c r="B10" i="3"/>
  <c r="L9" i="3"/>
  <c r="M9" i="3" s="1"/>
  <c r="J9" i="3"/>
  <c r="K9" i="3" s="1"/>
  <c r="C9" i="3"/>
  <c r="B9" i="3"/>
  <c r="L8" i="3"/>
  <c r="M8" i="3" s="1"/>
  <c r="J8" i="3"/>
  <c r="K8" i="3" s="1"/>
  <c r="C8" i="3"/>
  <c r="B8" i="3"/>
  <c r="L7" i="3"/>
  <c r="M7" i="3" s="1"/>
  <c r="J7" i="3"/>
  <c r="K7" i="3" s="1"/>
  <c r="C7" i="3"/>
  <c r="B7" i="3"/>
  <c r="I7" i="3" s="1"/>
  <c r="L6" i="3"/>
  <c r="M6" i="3" s="1"/>
  <c r="J6" i="3"/>
  <c r="K6" i="3" s="1"/>
  <c r="C6" i="3"/>
  <c r="B6" i="3"/>
  <c r="L5" i="3"/>
  <c r="M5" i="3" s="1"/>
  <c r="J5" i="3"/>
  <c r="K5" i="3" s="1"/>
  <c r="C5" i="3"/>
  <c r="B5" i="3"/>
  <c r="L4" i="3"/>
  <c r="M4" i="3" s="1"/>
  <c r="J4" i="3"/>
  <c r="K4" i="3" s="1"/>
  <c r="C4" i="3"/>
  <c r="B4" i="3"/>
  <c r="L3" i="3"/>
  <c r="M3" i="3" s="1"/>
  <c r="J3" i="3"/>
  <c r="K3" i="3" s="1"/>
  <c r="C3" i="3"/>
  <c r="B3" i="3"/>
  <c r="L2" i="3"/>
  <c r="M2" i="3" s="1"/>
  <c r="J2" i="3"/>
  <c r="K2" i="3" s="1"/>
  <c r="C2" i="3"/>
  <c r="B2" i="3"/>
  <c r="I445" i="3" l="1"/>
  <c r="I483" i="3"/>
  <c r="I506" i="3"/>
  <c r="I512" i="3"/>
  <c r="I783" i="3"/>
  <c r="I820" i="3"/>
  <c r="I920" i="3"/>
  <c r="I1020" i="3"/>
  <c r="I1022" i="3"/>
  <c r="I1128" i="3"/>
  <c r="I1140" i="3"/>
  <c r="I1252" i="3"/>
  <c r="I175" i="3"/>
  <c r="I273" i="3"/>
  <c r="I348" i="3"/>
  <c r="I391" i="3"/>
  <c r="I673" i="3"/>
  <c r="I702" i="3"/>
  <c r="I704" i="3"/>
  <c r="I852" i="3"/>
  <c r="I862" i="3"/>
  <c r="I864" i="3"/>
  <c r="I924" i="3"/>
  <c r="I928" i="3"/>
  <c r="I1024" i="3"/>
  <c r="I1044" i="3"/>
  <c r="I1068" i="3"/>
  <c r="I1078" i="3"/>
  <c r="I1080" i="3"/>
  <c r="I1088" i="3"/>
  <c r="I1092" i="3"/>
  <c r="I1094" i="3"/>
  <c r="I1211" i="3"/>
  <c r="I19" i="3"/>
  <c r="I21" i="3"/>
  <c r="I23" i="3"/>
  <c r="I27" i="3"/>
  <c r="I29" i="3"/>
  <c r="I31" i="3"/>
  <c r="I35" i="3"/>
  <c r="I37" i="3"/>
  <c r="I141" i="3"/>
  <c r="I622" i="3"/>
  <c r="I624" i="3"/>
  <c r="I1160" i="3"/>
  <c r="I1239" i="3"/>
  <c r="I123" i="3"/>
  <c r="I151" i="3"/>
  <c r="I176" i="3"/>
  <c r="I374" i="3"/>
  <c r="I423" i="3"/>
  <c r="I455" i="3"/>
  <c r="I507" i="3"/>
  <c r="I552" i="3"/>
  <c r="I654" i="3"/>
  <c r="I687" i="3"/>
  <c r="I724" i="3"/>
  <c r="I753" i="3"/>
  <c r="I788" i="3"/>
  <c r="I790" i="3"/>
  <c r="I815" i="3"/>
  <c r="I1001" i="3"/>
  <c r="I1021" i="3"/>
  <c r="I1141" i="3"/>
  <c r="I1143" i="3"/>
  <c r="I1164" i="3"/>
  <c r="I6" i="3"/>
  <c r="I125" i="3"/>
  <c r="I161" i="3"/>
  <c r="I167" i="3"/>
  <c r="I241" i="3"/>
  <c r="I245" i="3"/>
  <c r="I247" i="3"/>
  <c r="I284" i="3"/>
  <c r="I286" i="3"/>
  <c r="I288" i="3"/>
  <c r="I292" i="3"/>
  <c r="I296" i="3"/>
  <c r="I298" i="3"/>
  <c r="I316" i="3"/>
  <c r="I318" i="3"/>
  <c r="I320" i="3"/>
  <c r="I359" i="3"/>
  <c r="I615" i="3"/>
  <c r="I617" i="3"/>
  <c r="I794" i="3"/>
  <c r="I798" i="3"/>
  <c r="I892" i="3"/>
  <c r="I894" i="3"/>
  <c r="I896" i="3"/>
  <c r="I921" i="3"/>
  <c r="I923" i="3"/>
  <c r="I925" i="3"/>
  <c r="I929" i="3"/>
  <c r="I951" i="3"/>
  <c r="I1027" i="3"/>
  <c r="I1029" i="3"/>
  <c r="I1041" i="3"/>
  <c r="I1043" i="3"/>
  <c r="I1047" i="3"/>
  <c r="I1049" i="3"/>
  <c r="I14" i="3"/>
  <c r="I22" i="3"/>
  <c r="I30" i="3"/>
  <c r="I171" i="3"/>
  <c r="I261" i="3"/>
  <c r="I338" i="3"/>
  <c r="I369" i="3"/>
  <c r="I371" i="3"/>
  <c r="I375" i="3"/>
  <c r="I379" i="3"/>
  <c r="I443" i="3"/>
  <c r="I500" i="3"/>
  <c r="I504" i="3"/>
  <c r="I578" i="3"/>
  <c r="I588" i="3"/>
  <c r="I594" i="3"/>
  <c r="I639" i="3"/>
  <c r="I707" i="3"/>
  <c r="I763" i="3"/>
  <c r="I765" i="3"/>
  <c r="I875" i="3"/>
  <c r="I887" i="3"/>
  <c r="I363" i="3"/>
  <c r="I328" i="3"/>
  <c r="I350" i="3"/>
  <c r="I67" i="3"/>
  <c r="I94" i="3"/>
  <c r="I98" i="3"/>
  <c r="I100" i="3"/>
  <c r="I104" i="3"/>
  <c r="I106" i="3"/>
  <c r="I112" i="3"/>
  <c r="I182" i="3"/>
  <c r="I213" i="3"/>
  <c r="I215" i="3"/>
  <c r="I224" i="3"/>
  <c r="I228" i="3"/>
  <c r="I270" i="3"/>
  <c r="I272" i="3"/>
  <c r="I450" i="3"/>
  <c r="I463" i="3"/>
  <c r="I609" i="3"/>
  <c r="I5" i="3"/>
  <c r="I280" i="3"/>
  <c r="I487" i="3"/>
  <c r="I16" i="3"/>
  <c r="I38" i="3"/>
  <c r="I46" i="3"/>
  <c r="I75" i="3"/>
  <c r="I77" i="3"/>
  <c r="I126" i="3"/>
  <c r="I130" i="3"/>
  <c r="I173" i="3"/>
  <c r="I192" i="3"/>
  <c r="I236" i="3"/>
  <c r="I244" i="3"/>
  <c r="I11" i="3"/>
  <c r="I54" i="3"/>
  <c r="I87" i="3"/>
  <c r="I93" i="3"/>
  <c r="I95" i="3"/>
  <c r="I97" i="3"/>
  <c r="I135" i="3"/>
  <c r="I183" i="3"/>
  <c r="I387" i="3"/>
  <c r="I515" i="3"/>
  <c r="I523" i="3"/>
  <c r="I649" i="3"/>
  <c r="I13" i="3"/>
  <c r="I15" i="3"/>
  <c r="I66" i="3"/>
  <c r="I68" i="3"/>
  <c r="I99" i="3"/>
  <c r="I101" i="3"/>
  <c r="I111" i="3"/>
  <c r="I137" i="3"/>
  <c r="I154" i="3"/>
  <c r="I156" i="3"/>
  <c r="I158" i="3"/>
  <c r="I168" i="3"/>
  <c r="I196" i="3"/>
  <c r="I204" i="3"/>
  <c r="I206" i="3"/>
  <c r="I210" i="3"/>
  <c r="I212" i="3"/>
  <c r="I312" i="3"/>
  <c r="I314" i="3"/>
  <c r="I376" i="3"/>
  <c r="I395" i="3"/>
  <c r="I397" i="3"/>
  <c r="I498" i="3"/>
  <c r="I630" i="3"/>
  <c r="I664" i="3"/>
  <c r="I666" i="3"/>
  <c r="I668" i="3"/>
  <c r="I670" i="3"/>
  <c r="I698" i="3"/>
  <c r="I700" i="3"/>
  <c r="I726" i="3"/>
  <c r="I730" i="3"/>
  <c r="I732" i="3"/>
  <c r="I734" i="3"/>
  <c r="I738" i="3"/>
  <c r="I755" i="3"/>
  <c r="I782" i="3"/>
  <c r="I829" i="3"/>
  <c r="I883" i="3"/>
  <c r="I908" i="3"/>
  <c r="I939" i="3"/>
  <c r="I964" i="3"/>
  <c r="I985" i="3"/>
  <c r="I993" i="3"/>
  <c r="I1010" i="3"/>
  <c r="I1033" i="3"/>
  <c r="I1035" i="3"/>
  <c r="I1099" i="3"/>
  <c r="I1133" i="3"/>
  <c r="I1137" i="3"/>
  <c r="I1139" i="3"/>
  <c r="I784" i="3"/>
  <c r="I797" i="3"/>
  <c r="I837" i="3"/>
  <c r="I941" i="3"/>
  <c r="I945" i="3"/>
  <c r="I949" i="3"/>
  <c r="I953" i="3"/>
  <c r="I1152" i="3"/>
  <c r="I1232" i="3"/>
  <c r="I134" i="3"/>
  <c r="I163" i="3"/>
  <c r="I186" i="3"/>
  <c r="I197" i="3"/>
  <c r="I199" i="3"/>
  <c r="I203" i="3"/>
  <c r="I205" i="3"/>
  <c r="I207" i="3"/>
  <c r="I209" i="3"/>
  <c r="I265" i="3"/>
  <c r="I269" i="3"/>
  <c r="I271" i="3"/>
  <c r="I277" i="3"/>
  <c r="I300" i="3"/>
  <c r="I302" i="3"/>
  <c r="I304" i="3"/>
  <c r="I308" i="3"/>
  <c r="I347" i="3"/>
  <c r="I349" i="3"/>
  <c r="I360" i="3"/>
  <c r="I386" i="3"/>
  <c r="I428" i="3"/>
  <c r="I432" i="3"/>
  <c r="I460" i="3"/>
  <c r="I464" i="3"/>
  <c r="I482" i="3"/>
  <c r="I495" i="3"/>
  <c r="I499" i="3"/>
  <c r="I514" i="3"/>
  <c r="I520" i="3"/>
  <c r="I600" i="3"/>
  <c r="I689" i="3"/>
  <c r="I723" i="3"/>
  <c r="I725" i="3"/>
  <c r="I729" i="3"/>
  <c r="I754" i="3"/>
  <c r="I767" i="3"/>
  <c r="I803" i="3"/>
  <c r="I805" i="3"/>
  <c r="I868" i="3"/>
  <c r="I893" i="3"/>
  <c r="I895" i="3"/>
  <c r="I976" i="3"/>
  <c r="I978" i="3"/>
  <c r="I1071" i="3"/>
  <c r="I1077" i="3"/>
  <c r="I1081" i="3"/>
  <c r="I1100" i="3"/>
  <c r="I1123" i="3"/>
  <c r="I1154" i="3"/>
  <c r="I1184" i="3"/>
  <c r="I1227" i="3"/>
  <c r="I1236" i="3"/>
  <c r="I392" i="3"/>
  <c r="I466" i="3"/>
  <c r="I574" i="3"/>
  <c r="I587" i="3"/>
  <c r="I610" i="3"/>
  <c r="I631" i="3"/>
  <c r="I642" i="3"/>
  <c r="I665" i="3"/>
  <c r="I669" i="3"/>
  <c r="I686" i="3"/>
  <c r="I714" i="3"/>
  <c r="I716" i="3"/>
  <c r="I718" i="3"/>
  <c r="I733" i="3"/>
  <c r="I735" i="3"/>
  <c r="I756" i="3"/>
  <c r="I781" i="3"/>
  <c r="I826" i="3"/>
  <c r="I828" i="3"/>
  <c r="I845" i="3"/>
  <c r="I876" i="3"/>
  <c r="I901" i="3"/>
  <c r="I969" i="3"/>
  <c r="I971" i="3"/>
  <c r="I988" i="3"/>
  <c r="I994" i="3"/>
  <c r="I996" i="3"/>
  <c r="I998" i="3"/>
  <c r="I1013" i="3"/>
  <c r="I1036" i="3"/>
  <c r="I1038" i="3"/>
  <c r="I1132" i="3"/>
  <c r="I1134" i="3"/>
  <c r="I1136" i="3"/>
  <c r="I1156" i="3"/>
  <c r="I1198" i="3"/>
  <c r="I1229" i="3"/>
  <c r="I337" i="3"/>
  <c r="I339" i="3"/>
  <c r="I368" i="3"/>
  <c r="I372" i="3"/>
  <c r="I383" i="3"/>
  <c r="I400" i="3"/>
  <c r="I404" i="3"/>
  <c r="I408" i="3"/>
  <c r="I412" i="3"/>
  <c r="I444" i="3"/>
  <c r="I461" i="3"/>
  <c r="I479" i="3"/>
  <c r="I496" i="3"/>
  <c r="I511" i="3"/>
  <c r="I546" i="3"/>
  <c r="I567" i="3"/>
  <c r="I616" i="3"/>
  <c r="I626" i="3"/>
  <c r="I658" i="3"/>
  <c r="I703" i="3"/>
  <c r="I743" i="3"/>
  <c r="I762" i="3"/>
  <c r="I859" i="3"/>
  <c r="I863" i="3"/>
  <c r="I871" i="3"/>
  <c r="I873" i="3"/>
  <c r="I919" i="3"/>
  <c r="I948" i="3"/>
  <c r="I1017" i="3"/>
  <c r="I1052" i="3"/>
  <c r="I1054" i="3"/>
  <c r="I1056" i="3"/>
  <c r="I1062" i="3"/>
  <c r="I1064" i="3"/>
  <c r="I1122" i="3"/>
  <c r="I1151" i="3"/>
  <c r="I1189" i="3"/>
  <c r="I1231" i="3"/>
  <c r="I601" i="3"/>
  <c r="I1248" i="3"/>
  <c r="I674" i="3"/>
  <c r="I681" i="3"/>
  <c r="I685" i="3"/>
  <c r="I335" i="3"/>
  <c r="I403" i="3"/>
  <c r="I431" i="3"/>
  <c r="I452" i="3"/>
  <c r="I73" i="3"/>
  <c r="I200" i="3"/>
  <c r="I436" i="3"/>
  <c r="I503" i="3"/>
  <c r="I147" i="3"/>
  <c r="I208" i="3"/>
  <c r="I327" i="3"/>
  <c r="I343" i="3"/>
  <c r="I362" i="3"/>
  <c r="I380" i="3"/>
  <c r="I416" i="3"/>
  <c r="I435" i="3"/>
  <c r="I440" i="3"/>
  <c r="I447" i="3"/>
  <c r="I468" i="3"/>
  <c r="I477" i="3"/>
  <c r="I491" i="3"/>
  <c r="I509" i="3"/>
  <c r="I516" i="3"/>
  <c r="I559" i="3"/>
  <c r="I568" i="3"/>
  <c r="I570" i="3"/>
  <c r="I575" i="3"/>
  <c r="I121" i="3"/>
  <c r="I24" i="3"/>
  <c r="I40" i="3"/>
  <c r="I56" i="3"/>
  <c r="I70" i="3"/>
  <c r="I72" i="3"/>
  <c r="I81" i="3"/>
  <c r="I83" i="3"/>
  <c r="I90" i="3"/>
  <c r="I103" i="3"/>
  <c r="I114" i="3"/>
  <c r="I162" i="3"/>
  <c r="I164" i="3"/>
  <c r="I178" i="3"/>
  <c r="I180" i="3"/>
  <c r="I189" i="3"/>
  <c r="I217" i="3"/>
  <c r="I229" i="3"/>
  <c r="I237" i="3"/>
  <c r="I239" i="3"/>
  <c r="I246" i="3"/>
  <c r="I260" i="3"/>
  <c r="I281" i="3"/>
  <c r="I332" i="3"/>
  <c r="I352" i="3"/>
  <c r="I384" i="3"/>
  <c r="I407" i="3"/>
  <c r="I409" i="3"/>
  <c r="I442" i="3"/>
  <c r="I451" i="3"/>
  <c r="I456" i="3"/>
  <c r="I493" i="3"/>
  <c r="I572" i="3"/>
  <c r="I89" i="3"/>
  <c r="I240" i="3"/>
  <c r="I96" i="3"/>
  <c r="I105" i="3"/>
  <c r="I122" i="3"/>
  <c r="I124" i="3"/>
  <c r="I146" i="3"/>
  <c r="I150" i="3"/>
  <c r="I166" i="3"/>
  <c r="I214" i="3"/>
  <c r="I219" i="3"/>
  <c r="I221" i="3"/>
  <c r="I274" i="3"/>
  <c r="I276" i="3"/>
  <c r="I290" i="3"/>
  <c r="I297" i="3"/>
  <c r="I306" i="3"/>
  <c r="I313" i="3"/>
  <c r="I324" i="3"/>
  <c r="I329" i="3"/>
  <c r="I334" i="3"/>
  <c r="I377" i="3"/>
  <c r="I393" i="3"/>
  <c r="I402" i="3"/>
  <c r="I411" i="3"/>
  <c r="I418" i="3"/>
  <c r="I458" i="3"/>
  <c r="I467" i="3"/>
  <c r="I117" i="3"/>
  <c r="I351" i="3"/>
  <c r="I656" i="3"/>
  <c r="I64" i="3"/>
  <c r="I132" i="3"/>
  <c r="I220" i="3"/>
  <c r="I4" i="3"/>
  <c r="I9" i="3"/>
  <c r="I62" i="3"/>
  <c r="I76" i="3"/>
  <c r="I128" i="3"/>
  <c r="I155" i="3"/>
  <c r="I159" i="3"/>
  <c r="I177" i="3"/>
  <c r="I193" i="3"/>
  <c r="I211" i="3"/>
  <c r="I216" i="3"/>
  <c r="I231" i="3"/>
  <c r="I243" i="3"/>
  <c r="I248" i="3"/>
  <c r="I251" i="3"/>
  <c r="I253" i="3"/>
  <c r="I256" i="3"/>
  <c r="I266" i="3"/>
  <c r="I294" i="3"/>
  <c r="I310" i="3"/>
  <c r="I321" i="3"/>
  <c r="I342" i="3"/>
  <c r="I344" i="3"/>
  <c r="I356" i="3"/>
  <c r="I381" i="3"/>
  <c r="I415" i="3"/>
  <c r="I420" i="3"/>
  <c r="I434" i="3"/>
  <c r="I439" i="3"/>
  <c r="I448" i="3"/>
  <c r="I476" i="3"/>
  <c r="I490" i="3"/>
  <c r="I537" i="3"/>
  <c r="I550" i="3"/>
  <c r="I554" i="3"/>
  <c r="I558" i="3"/>
  <c r="I589" i="3"/>
  <c r="I645" i="3"/>
  <c r="I708" i="3"/>
  <c r="I710" i="3"/>
  <c r="I719" i="3"/>
  <c r="I752" i="3"/>
  <c r="I761" i="3"/>
  <c r="I780" i="3"/>
  <c r="I789" i="3"/>
  <c r="I795" i="3"/>
  <c r="I809" i="3"/>
  <c r="I811" i="3"/>
  <c r="I813" i="3"/>
  <c r="I822" i="3"/>
  <c r="I824" i="3"/>
  <c r="I835" i="3"/>
  <c r="I855" i="3"/>
  <c r="I857" i="3"/>
  <c r="I870" i="3"/>
  <c r="I879" i="3"/>
  <c r="I906" i="3"/>
  <c r="I932" i="3"/>
  <c r="I934" i="3"/>
  <c r="I936" i="3"/>
  <c r="I938" i="3"/>
  <c r="I956" i="3"/>
  <c r="I974" i="3"/>
  <c r="I981" i="3"/>
  <c r="I997" i="3"/>
  <c r="I1006" i="3"/>
  <c r="I1018" i="3"/>
  <c r="I1023" i="3"/>
  <c r="I1039" i="3"/>
  <c r="I1057" i="3"/>
  <c r="I1070" i="3"/>
  <c r="I1089" i="3"/>
  <c r="I1149" i="3"/>
  <c r="I1181" i="3"/>
  <c r="I1185" i="3"/>
  <c r="I1249" i="3"/>
  <c r="I1251" i="3"/>
  <c r="I1258" i="3"/>
  <c r="I1204" i="3"/>
  <c r="I608" i="3"/>
  <c r="I633" i="3"/>
  <c r="I640" i="3"/>
  <c r="I721" i="3"/>
  <c r="I842" i="3"/>
  <c r="I899" i="3"/>
  <c r="I1032" i="3"/>
  <c r="I1084" i="3"/>
  <c r="I1091" i="3"/>
  <c r="I1095" i="3"/>
  <c r="I1104" i="3"/>
  <c r="I1108" i="3"/>
  <c r="I1120" i="3"/>
  <c r="I1125" i="3"/>
  <c r="I1135" i="3"/>
  <c r="I1144" i="3"/>
  <c r="I1159" i="3"/>
  <c r="I1170" i="3"/>
  <c r="I1193" i="3"/>
  <c r="I1234" i="3"/>
  <c r="I1253" i="3"/>
  <c r="I598" i="3"/>
  <c r="I605" i="3"/>
  <c r="I637" i="3"/>
  <c r="I653" i="3"/>
  <c r="I660" i="3"/>
  <c r="I662" i="3"/>
  <c r="I671" i="3"/>
  <c r="I705" i="3"/>
  <c r="I745" i="3"/>
  <c r="I749" i="3"/>
  <c r="I758" i="3"/>
  <c r="I786" i="3"/>
  <c r="I819" i="3"/>
  <c r="I830" i="3"/>
  <c r="I832" i="3"/>
  <c r="I848" i="3"/>
  <c r="I1008" i="3"/>
  <c r="I586" i="3"/>
  <c r="I595" i="3"/>
  <c r="I614" i="3"/>
  <c r="I621" i="3"/>
  <c r="I644" i="3"/>
  <c r="I646" i="3"/>
  <c r="I655" i="3"/>
  <c r="I682" i="3"/>
  <c r="I684" i="3"/>
  <c r="I691" i="3"/>
  <c r="I720" i="3"/>
  <c r="I727" i="3"/>
  <c r="I751" i="3"/>
  <c r="I769" i="3"/>
  <c r="I771" i="3"/>
  <c r="I773" i="3"/>
  <c r="I775" i="3"/>
  <c r="I779" i="3"/>
  <c r="I791" i="3"/>
  <c r="I796" i="3"/>
  <c r="I808" i="3"/>
  <c r="I812" i="3"/>
  <c r="I823" i="3"/>
  <c r="I834" i="3"/>
  <c r="I854" i="3"/>
  <c r="I856" i="3"/>
  <c r="I867" i="3"/>
  <c r="I869" i="3"/>
  <c r="I890" i="3"/>
  <c r="I907" i="3"/>
  <c r="I935" i="3"/>
  <c r="I946" i="3"/>
  <c r="I966" i="3"/>
  <c r="I980" i="3"/>
  <c r="I984" i="3"/>
  <c r="I1012" i="3"/>
  <c r="I1019" i="3"/>
  <c r="I1051" i="3"/>
  <c r="I1058" i="3"/>
  <c r="I1153" i="3"/>
  <c r="I1165" i="3"/>
  <c r="I1172" i="3"/>
  <c r="I1180" i="3"/>
  <c r="I1182" i="3"/>
  <c r="I1188" i="3"/>
  <c r="I1201" i="3"/>
  <c r="I1205" i="3"/>
  <c r="I1216" i="3"/>
  <c r="I1245" i="3"/>
  <c r="I492" i="3"/>
  <c r="I560" i="3"/>
  <c r="I569" i="3"/>
  <c r="I581" i="3"/>
  <c r="I590" i="3"/>
  <c r="I618" i="3"/>
  <c r="I627" i="3"/>
  <c r="I636" i="3"/>
  <c r="I648" i="3"/>
  <c r="I650" i="3"/>
  <c r="I652" i="3"/>
  <c r="I657" i="3"/>
  <c r="I659" i="3"/>
  <c r="I688" i="3"/>
  <c r="I706" i="3"/>
  <c r="I713" i="3"/>
  <c r="I717" i="3"/>
  <c r="I722" i="3"/>
  <c r="I764" i="3"/>
  <c r="I843" i="3"/>
  <c r="I860" i="3"/>
  <c r="I952" i="3"/>
  <c r="I968" i="3"/>
  <c r="I1073" i="3"/>
  <c r="I1075" i="3"/>
  <c r="I1079" i="3"/>
  <c r="I1090" i="3"/>
  <c r="I1105" i="3"/>
  <c r="I1145" i="3"/>
  <c r="I1155" i="3"/>
  <c r="I1167" i="3"/>
  <c r="I1169" i="3"/>
  <c r="I1207" i="3"/>
  <c r="I1233" i="3"/>
  <c r="I1235" i="3"/>
  <c r="I1240" i="3"/>
  <c r="I471" i="3"/>
  <c r="I480" i="3"/>
  <c r="I508" i="3"/>
  <c r="I526" i="3"/>
  <c r="I528" i="3"/>
  <c r="I530" i="3"/>
  <c r="I542" i="3"/>
  <c r="I547" i="3"/>
  <c r="I562" i="3"/>
  <c r="I564" i="3"/>
  <c r="I571" i="3"/>
  <c r="I573" i="3"/>
  <c r="I599" i="3"/>
  <c r="I611" i="3"/>
  <c r="I620" i="3"/>
  <c r="I643" i="3"/>
  <c r="I672" i="3"/>
  <c r="I690" i="3"/>
  <c r="I697" i="3"/>
  <c r="I701" i="3"/>
  <c r="I739" i="3"/>
  <c r="I741" i="3"/>
  <c r="I746" i="3"/>
  <c r="I750" i="3"/>
  <c r="I766" i="3"/>
  <c r="I787" i="3"/>
  <c r="I827" i="3"/>
  <c r="I831" i="3"/>
  <c r="I847" i="3"/>
  <c r="I851" i="3"/>
  <c r="I877" i="3"/>
  <c r="I891" i="3"/>
  <c r="I900" i="3"/>
  <c r="I902" i="3"/>
  <c r="I913" i="3"/>
  <c r="I922" i="3"/>
  <c r="I926" i="3"/>
  <c r="I954" i="3"/>
  <c r="I963" i="3"/>
  <c r="I977" i="3"/>
  <c r="I995" i="3"/>
  <c r="I1004" i="3"/>
  <c r="I1009" i="3"/>
  <c r="I1016" i="3"/>
  <c r="I1028" i="3"/>
  <c r="I1030" i="3"/>
  <c r="I1066" i="3"/>
  <c r="I1083" i="3"/>
  <c r="I1087" i="3"/>
  <c r="I1131" i="3"/>
  <c r="I1171" i="3"/>
  <c r="I1173" i="3"/>
  <c r="I1177" i="3"/>
  <c r="I1217" i="3"/>
  <c r="I250" i="3"/>
  <c r="I268" i="3"/>
  <c r="I475" i="3"/>
  <c r="I58" i="3"/>
  <c r="I113" i="3"/>
  <c r="I12" i="3"/>
  <c r="I20" i="3"/>
  <c r="I28" i="3"/>
  <c r="I36" i="3"/>
  <c r="I44" i="3"/>
  <c r="I52" i="3"/>
  <c r="I60" i="3"/>
  <c r="I63" i="3"/>
  <c r="I79" i="3"/>
  <c r="I92" i="3"/>
  <c r="I108" i="3"/>
  <c r="I110" i="3"/>
  <c r="J134" i="3"/>
  <c r="K134" i="3" s="1"/>
  <c r="I136" i="3"/>
  <c r="I139" i="3"/>
  <c r="I142" i="3"/>
  <c r="I152" i="3"/>
  <c r="I472" i="3"/>
  <c r="I3" i="3"/>
  <c r="I17" i="3"/>
  <c r="I25" i="3"/>
  <c r="I33" i="3"/>
  <c r="I41" i="3"/>
  <c r="I49" i="3"/>
  <c r="I57" i="3"/>
  <c r="I86" i="3"/>
  <c r="I102" i="3"/>
  <c r="I118" i="3"/>
  <c r="L134" i="3"/>
  <c r="M134" i="3" s="1"/>
  <c r="I144" i="3"/>
  <c r="I185" i="3"/>
  <c r="I218" i="3"/>
  <c r="I225" i="3"/>
  <c r="I238" i="3"/>
  <c r="I242" i="3"/>
  <c r="I262" i="3"/>
  <c r="I336" i="3"/>
  <c r="I399" i="3"/>
  <c r="I427" i="3"/>
  <c r="I488" i="3"/>
  <c r="I18" i="3"/>
  <c r="I42" i="3"/>
  <c r="I26" i="3"/>
  <c r="I50" i="3"/>
  <c r="I116" i="3"/>
  <c r="I129" i="3"/>
  <c r="I133" i="3"/>
  <c r="I34" i="3"/>
  <c r="I8" i="3"/>
  <c r="I2" i="3"/>
  <c r="I10" i="3"/>
  <c r="I69" i="3"/>
  <c r="I74" i="3"/>
  <c r="I80" i="3"/>
  <c r="I85" i="3"/>
  <c r="I109" i="3"/>
  <c r="I120" i="3"/>
  <c r="L133" i="3"/>
  <c r="M133" i="3" s="1"/>
  <c r="I138" i="3"/>
  <c r="I143" i="3"/>
  <c r="I148" i="3"/>
  <c r="I170" i="3"/>
  <c r="I179" i="3"/>
  <c r="I230" i="3"/>
  <c r="I333" i="3"/>
  <c r="I424" i="3"/>
  <c r="I459" i="3"/>
  <c r="I522" i="3"/>
  <c r="I525" i="3"/>
  <c r="I534" i="3"/>
  <c r="I553" i="3"/>
  <c r="I319" i="3"/>
  <c r="I322" i="3"/>
  <c r="I389" i="3"/>
  <c r="I398" i="3"/>
  <c r="I401" i="3"/>
  <c r="I410" i="3"/>
  <c r="I429" i="3"/>
  <c r="I555" i="3"/>
  <c r="I557" i="3"/>
  <c r="I563" i="3"/>
  <c r="I613" i="3"/>
  <c r="I249" i="3"/>
  <c r="I267" i="3"/>
  <c r="I283" i="3"/>
  <c r="I299" i="3"/>
  <c r="I315" i="3"/>
  <c r="I340" i="3"/>
  <c r="I355" i="3"/>
  <c r="I361" i="3"/>
  <c r="I370" i="3"/>
  <c r="I382" i="3"/>
  <c r="I385" i="3"/>
  <c r="I394" i="3"/>
  <c r="I422" i="3"/>
  <c r="I425" i="3"/>
  <c r="I438" i="3"/>
  <c r="I441" i="3"/>
  <c r="I454" i="3"/>
  <c r="I457" i="3"/>
  <c r="I470" i="3"/>
  <c r="I473" i="3"/>
  <c r="I486" i="3"/>
  <c r="I489" i="3"/>
  <c r="I502" i="3"/>
  <c r="I505" i="3"/>
  <c r="I518" i="3"/>
  <c r="I521" i="3"/>
  <c r="I524" i="3"/>
  <c r="I539" i="3"/>
  <c r="I544" i="3"/>
  <c r="I565" i="3"/>
  <c r="I602" i="3"/>
  <c r="I634" i="3"/>
  <c r="I263" i="3"/>
  <c r="I279" i="3"/>
  <c r="I295" i="3"/>
  <c r="I311" i="3"/>
  <c r="I330" i="3"/>
  <c r="I345" i="3"/>
  <c r="I357" i="3"/>
  <c r="I366" i="3"/>
  <c r="I406" i="3"/>
  <c r="I421" i="3"/>
  <c r="I437" i="3"/>
  <c r="I453" i="3"/>
  <c r="I469" i="3"/>
  <c r="I485" i="3"/>
  <c r="I501" i="3"/>
  <c r="I517" i="3"/>
  <c r="I529" i="3"/>
  <c r="I541" i="3"/>
  <c r="I549" i="3"/>
  <c r="I556" i="3"/>
  <c r="I583" i="3"/>
  <c r="I596" i="3"/>
  <c r="I604" i="3"/>
  <c r="I607" i="3"/>
  <c r="I619" i="3"/>
  <c r="I157" i="3"/>
  <c r="I160" i="3"/>
  <c r="I172" i="3"/>
  <c r="I184" i="3"/>
  <c r="I201" i="3"/>
  <c r="I222" i="3"/>
  <c r="I233" i="3"/>
  <c r="I254" i="3"/>
  <c r="I353" i="3"/>
  <c r="I390" i="3"/>
  <c r="I405" i="3"/>
  <c r="I414" i="3"/>
  <c r="I417" i="3"/>
  <c r="I430" i="3"/>
  <c r="I433" i="3"/>
  <c r="I446" i="3"/>
  <c r="I449" i="3"/>
  <c r="I462" i="3"/>
  <c r="I465" i="3"/>
  <c r="I478" i="3"/>
  <c r="I481" i="3"/>
  <c r="I494" i="3"/>
  <c r="I497" i="3"/>
  <c r="I510" i="3"/>
  <c r="I513" i="3"/>
  <c r="I531" i="3"/>
  <c r="I540" i="3"/>
  <c r="I543" i="3"/>
  <c r="I628" i="3"/>
  <c r="I793" i="3"/>
  <c r="I800" i="3"/>
  <c r="I850" i="3"/>
  <c r="I898" i="3"/>
  <c r="I960" i="3"/>
  <c r="I772" i="3"/>
  <c r="I818" i="3"/>
  <c r="I970" i="3"/>
  <c r="I1025" i="3"/>
  <c r="I1053" i="3"/>
  <c r="I1074" i="3"/>
  <c r="I1076" i="3"/>
  <c r="I1115" i="3"/>
  <c r="I580" i="3"/>
  <c r="I623" i="3"/>
  <c r="I629" i="3"/>
  <c r="I632" i="3"/>
  <c r="I635" i="3"/>
  <c r="I647" i="3"/>
  <c r="I667" i="3"/>
  <c r="I679" i="3"/>
  <c r="I693" i="3"/>
  <c r="I696" i="3"/>
  <c r="I699" i="3"/>
  <c r="I711" i="3"/>
  <c r="I731" i="3"/>
  <c r="I737" i="3"/>
  <c r="I747" i="3"/>
  <c r="I768" i="3"/>
  <c r="I792" i="3"/>
  <c r="I799" i="3"/>
  <c r="I814" i="3"/>
  <c r="I846" i="3"/>
  <c r="I866" i="3"/>
  <c r="I874" i="3"/>
  <c r="I886" i="3"/>
  <c r="I889" i="3"/>
  <c r="I897" i="3"/>
  <c r="I909" i="3"/>
  <c r="I914" i="3"/>
  <c r="I967" i="3"/>
  <c r="I972" i="3"/>
  <c r="I979" i="3"/>
  <c r="I1005" i="3"/>
  <c r="I1112" i="3"/>
  <c r="I802" i="3"/>
  <c r="I840" i="3"/>
  <c r="I865" i="3"/>
  <c r="I916" i="3"/>
  <c r="I990" i="3"/>
  <c r="I1014" i="3"/>
  <c r="I1050" i="3"/>
  <c r="I1069" i="3"/>
  <c r="I1121" i="3"/>
  <c r="I579" i="3"/>
  <c r="I591" i="3"/>
  <c r="I597" i="3"/>
  <c r="I603" i="3"/>
  <c r="I612" i="3"/>
  <c r="I651" i="3"/>
  <c r="I663" i="3"/>
  <c r="I677" i="3"/>
  <c r="I683" i="3"/>
  <c r="I695" i="3"/>
  <c r="I709" i="3"/>
  <c r="I715" i="3"/>
  <c r="I759" i="3"/>
  <c r="I807" i="3"/>
  <c r="I816" i="3"/>
  <c r="I821" i="3"/>
  <c r="I839" i="3"/>
  <c r="I853" i="3"/>
  <c r="I872" i="3"/>
  <c r="I880" i="3"/>
  <c r="I885" i="3"/>
  <c r="I903" i="3"/>
  <c r="I958" i="3"/>
  <c r="I987" i="3"/>
  <c r="I1011" i="3"/>
  <c r="I1106" i="3"/>
  <c r="I1130" i="3"/>
  <c r="I1175" i="3"/>
  <c r="I1183" i="3"/>
  <c r="I1190" i="3"/>
  <c r="I1197" i="3"/>
  <c r="I1209" i="3"/>
  <c r="I1221" i="3"/>
  <c r="I1226" i="3"/>
  <c r="I1238" i="3"/>
  <c r="I1241" i="3"/>
  <c r="I1247" i="3"/>
  <c r="I1250" i="3"/>
  <c r="I1254" i="3"/>
  <c r="I1127" i="3"/>
  <c r="I1158" i="3"/>
  <c r="I1161" i="3"/>
  <c r="I1166" i="3"/>
  <c r="I1187" i="3"/>
  <c r="I1192" i="3"/>
  <c r="I1199" i="3"/>
  <c r="I1206" i="3"/>
  <c r="I1213" i="3"/>
  <c r="I1223" i="3"/>
  <c r="I1237" i="3"/>
  <c r="I1257" i="3"/>
  <c r="I992" i="3"/>
  <c r="I957" i="3"/>
  <c r="I962" i="3"/>
  <c r="I983" i="3"/>
  <c r="I986" i="3"/>
  <c r="I989" i="3"/>
  <c r="I1003" i="3"/>
  <c r="I1046" i="3"/>
  <c r="I1060" i="3"/>
  <c r="I1063" i="3"/>
  <c r="I1086" i="3"/>
  <c r="I1111" i="3"/>
  <c r="I1117" i="3"/>
  <c r="I1126" i="3"/>
  <c r="I1129" i="3"/>
  <c r="I1157" i="3"/>
  <c r="I1163" i="3"/>
  <c r="I1168" i="3"/>
  <c r="I1203" i="3"/>
  <c r="I1208" i="3"/>
  <c r="I1215" i="3"/>
  <c r="I1225" i="3"/>
  <c r="I1246" i="3"/>
  <c r="I1256" i="3"/>
  <c r="I1259" i="3"/>
  <c r="I861" i="3"/>
  <c r="I882" i="3"/>
  <c r="I910" i="3"/>
  <c r="I965" i="3"/>
  <c r="I1015" i="3"/>
  <c r="I1026" i="3"/>
  <c r="I1034" i="3"/>
  <c r="I1037" i="3"/>
  <c r="I1040" i="3"/>
  <c r="I1096" i="3"/>
  <c r="I1147" i="3"/>
  <c r="I1176" i="3"/>
  <c r="I1219" i="3"/>
  <c r="I1255" i="3"/>
  <c r="I858" i="3"/>
  <c r="I878" i="3"/>
  <c r="I881" i="3"/>
  <c r="I904" i="3"/>
  <c r="I912" i="3"/>
  <c r="I915" i="3"/>
  <c r="I918" i="3"/>
  <c r="I930" i="3"/>
  <c r="I944" i="3"/>
  <c r="I947" i="3"/>
  <c r="I982" i="3"/>
  <c r="I1002" i="3"/>
  <c r="I1042" i="3"/>
  <c r="I1045" i="3"/>
  <c r="I1048" i="3"/>
  <c r="I1067" i="3"/>
  <c r="I1072" i="3"/>
  <c r="I1082" i="3"/>
  <c r="I1098" i="3"/>
  <c r="I1101" i="3"/>
  <c r="I1110" i="3"/>
  <c r="I1119" i="3"/>
  <c r="I1195" i="3"/>
  <c r="I1200" i="3"/>
  <c r="I91" i="3"/>
  <c r="I107" i="3"/>
  <c r="I119" i="3"/>
  <c r="I115" i="3"/>
  <c r="I131" i="3"/>
  <c r="I153" i="3"/>
  <c r="I169" i="3"/>
  <c r="I198" i="3"/>
  <c r="I202" i="3"/>
  <c r="I234" i="3"/>
  <c r="C20" i="5"/>
  <c r="C18" i="5"/>
  <c r="C16" i="5"/>
  <c r="C14" i="5"/>
  <c r="C12" i="5"/>
  <c r="C10" i="5"/>
  <c r="C8" i="5"/>
  <c r="C6" i="5"/>
  <c r="C4" i="5"/>
  <c r="C2" i="5"/>
  <c r="B20" i="5"/>
  <c r="B18" i="5"/>
  <c r="D18" i="5" s="1"/>
  <c r="E18" i="5" s="1"/>
  <c r="B16" i="5"/>
  <c r="D16" i="5" s="1"/>
  <c r="E16" i="5" s="1"/>
  <c r="B14" i="5"/>
  <c r="B12" i="5"/>
  <c r="B10" i="5"/>
  <c r="D10" i="5" s="1"/>
  <c r="E10" i="5" s="1"/>
  <c r="B8" i="5"/>
  <c r="B6" i="5"/>
  <c r="B4" i="5"/>
  <c r="B2" i="5"/>
  <c r="D2" i="5" s="1"/>
  <c r="E2" i="5" s="1"/>
  <c r="C19" i="5"/>
  <c r="C17" i="5"/>
  <c r="C15" i="5"/>
  <c r="C13" i="5"/>
  <c r="C11" i="5"/>
  <c r="C9" i="5"/>
  <c r="C7" i="5"/>
  <c r="C5" i="5"/>
  <c r="C3" i="5"/>
  <c r="B19" i="5"/>
  <c r="B17" i="5"/>
  <c r="D17" i="5" s="1"/>
  <c r="E17" i="5" s="1"/>
  <c r="B15" i="5"/>
  <c r="D15" i="5" s="1"/>
  <c r="E15" i="5" s="1"/>
  <c r="B13" i="5"/>
  <c r="B11" i="5"/>
  <c r="B9" i="5"/>
  <c r="B7" i="5"/>
  <c r="D7" i="5" s="1"/>
  <c r="E7" i="5" s="1"/>
  <c r="B5" i="5"/>
  <c r="B3" i="5"/>
  <c r="I127" i="3"/>
  <c r="I140" i="3"/>
  <c r="I149" i="3"/>
  <c r="I165" i="3"/>
  <c r="I181" i="3"/>
  <c r="I190" i="3"/>
  <c r="I194" i="3"/>
  <c r="I226" i="3"/>
  <c r="I259" i="3"/>
  <c r="I275" i="3"/>
  <c r="I291" i="3"/>
  <c r="I307" i="3"/>
  <c r="I354" i="3"/>
  <c r="I373" i="3"/>
  <c r="I346" i="3"/>
  <c r="I341" i="3"/>
  <c r="I378" i="3"/>
  <c r="I551" i="3"/>
  <c r="I680" i="3"/>
  <c r="I712" i="3"/>
  <c r="I535" i="3"/>
  <c r="I527" i="3"/>
  <c r="I592" i="3"/>
  <c r="I661" i="3"/>
  <c r="I785" i="3"/>
  <c r="I825" i="3"/>
  <c r="I728" i="3"/>
  <c r="I760" i="3"/>
  <c r="I777" i="3"/>
  <c r="I849" i="3"/>
  <c r="I736" i="3"/>
  <c r="I776" i="3"/>
  <c r="I833" i="3"/>
  <c r="I744" i="3"/>
  <c r="I817" i="3"/>
  <c r="I801" i="3"/>
  <c r="I841" i="3"/>
  <c r="I959" i="3"/>
  <c r="I991" i="3"/>
  <c r="I1007" i="3"/>
  <c r="I931" i="3"/>
  <c r="I943" i="3"/>
  <c r="I975" i="3"/>
  <c r="I917" i="3"/>
  <c r="I955" i="3"/>
  <c r="I999" i="3"/>
  <c r="I1031" i="3"/>
  <c r="I927" i="3"/>
  <c r="I1055" i="3"/>
  <c r="I1061" i="3"/>
  <c r="I1178" i="3"/>
  <c r="I1093" i="3"/>
  <c r="I1114" i="3"/>
  <c r="I1118" i="3"/>
  <c r="I1146" i="3"/>
  <c r="I1150" i="3"/>
  <c r="I1186" i="3"/>
  <c r="I1194" i="3"/>
  <c r="I1202" i="3"/>
  <c r="I1210" i="3"/>
  <c r="I1218" i="3"/>
  <c r="I1242" i="3"/>
  <c r="I1102" i="3"/>
  <c r="I1138" i="3"/>
  <c r="I1142" i="3"/>
  <c r="I1085" i="3"/>
  <c r="I1162" i="3"/>
  <c r="D11" i="5" l="1"/>
  <c r="E11" i="5" s="1"/>
  <c r="D12" i="5"/>
  <c r="E12" i="5" s="1"/>
  <c r="D3" i="5"/>
  <c r="E3" i="5" s="1"/>
  <c r="D19" i="5"/>
  <c r="E19" i="5" s="1"/>
  <c r="D9" i="5"/>
  <c r="E9" i="5" s="1"/>
  <c r="D8" i="5"/>
  <c r="E8" i="5" s="1"/>
  <c r="D14" i="5"/>
  <c r="E14" i="5" s="1"/>
  <c r="D5" i="5"/>
  <c r="E5" i="5" s="1"/>
  <c r="D4" i="5"/>
  <c r="E4" i="5" s="1"/>
  <c r="D20" i="5"/>
  <c r="E20" i="5" s="1"/>
  <c r="D6" i="5"/>
  <c r="E6" i="5" s="1"/>
  <c r="D13" i="5"/>
  <c r="E13" i="5" s="1"/>
</calcChain>
</file>

<file path=xl/sharedStrings.xml><?xml version="1.0" encoding="utf-8"?>
<sst xmlns="http://schemas.openxmlformats.org/spreadsheetml/2006/main" count="2475" uniqueCount="1327">
  <si>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</si>
  <si>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</si>
  <si>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</si>
  <si>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</si>
  <si>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</si>
  <si>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</si>
  <si>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</si>
  <si>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</si>
  <si>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</si>
  <si>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</si>
  <si>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</si>
  <si>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</si>
  <si>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</si>
  <si>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</si>
  <si>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</si>
  <si>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Date(combined)</t>
  </si>
  <si>
    <t>Day</t>
  </si>
  <si>
    <t>Date</t>
  </si>
  <si>
    <t>Open</t>
  </si>
  <si>
    <t>High</t>
  </si>
  <si>
    <t>Low</t>
  </si>
  <si>
    <t>Close</t>
  </si>
  <si>
    <t>Volume</t>
  </si>
  <si>
    <t>Filter Blanks</t>
  </si>
  <si>
    <t>Price Change in Stocks</t>
  </si>
  <si>
    <t>Movement</t>
  </si>
  <si>
    <t>Percentage Change</t>
  </si>
  <si>
    <t>Big Swings</t>
  </si>
  <si>
    <t>Tuesday, September 4, 2018</t>
  </si>
  <si>
    <t>Wednesday, September 5, 2018</t>
  </si>
  <si>
    <t>Thursday, September 6, 2018</t>
  </si>
  <si>
    <t>Friday, September 7, 2018</t>
  </si>
  <si>
    <t>Monday, September 10, 2018</t>
  </si>
  <si>
    <t>Tuesday, September 11, 2018</t>
  </si>
  <si>
    <t>Wednesday, September 12, 2018</t>
  </si>
  <si>
    <t>Thursday, September 13, 2018</t>
  </si>
  <si>
    <t>Friday, September 14, 2018</t>
  </si>
  <si>
    <t>Monday, September 17, 2018</t>
  </si>
  <si>
    <t>Tuesday, September 18, 2018</t>
  </si>
  <si>
    <t>Wednesday, September 19, 2018</t>
  </si>
  <si>
    <t>Thursday, September 20, 2018</t>
  </si>
  <si>
    <t>Friday, September 21, 2018</t>
  </si>
  <si>
    <t>Monday, September 24, 2018</t>
  </si>
  <si>
    <t>Tuesday, September 25, 2018</t>
  </si>
  <si>
    <t>Wednesday, September 26, 2018</t>
  </si>
  <si>
    <t>Thursday, September 27, 2018</t>
  </si>
  <si>
    <t>Friday, September 28, 2018</t>
  </si>
  <si>
    <t>Monday, October 1, 2018</t>
  </si>
  <si>
    <t>Tuesday, October 2, 2018</t>
  </si>
  <si>
    <t>Wednesday, October 3, 2018</t>
  </si>
  <si>
    <t>Thursday, October 4, 2018</t>
  </si>
  <si>
    <t>Friday, October 5, 2018</t>
  </si>
  <si>
    <t>Monday, October 8, 2018</t>
  </si>
  <si>
    <t>Tuesday, October 9, 2018</t>
  </si>
  <si>
    <t>Wednesday, October 10, 2018</t>
  </si>
  <si>
    <t>Thursday, October 11, 2018</t>
  </si>
  <si>
    <t>Friday, October 12, 2018</t>
  </si>
  <si>
    <t>Monday, October 15, 2018</t>
  </si>
  <si>
    <t>Tuesday, October 16, 2018</t>
  </si>
  <si>
    <t>Wednesday, October 17, 2018</t>
  </si>
  <si>
    <t>Thursday, October 18, 2018</t>
  </si>
  <si>
    <t>Friday, October 19, 2018</t>
  </si>
  <si>
    <t>Monday, October 22, 2018</t>
  </si>
  <si>
    <t>Tuesday, October 23, 2018</t>
  </si>
  <si>
    <t>Wednesday, October 24, 2018</t>
  </si>
  <si>
    <t>Thursday, October 25, 2018</t>
  </si>
  <si>
    <t>Friday, October 26, 2018</t>
  </si>
  <si>
    <t>Monday, October 29, 2018</t>
  </si>
  <si>
    <t>Tuesday, October 30, 2018</t>
  </si>
  <si>
    <t>Wednesday, October 31, 2018</t>
  </si>
  <si>
    <t>Thursday, November 1, 2018</t>
  </si>
  <si>
    <t>Friday, November 2, 2018</t>
  </si>
  <si>
    <t>Monday, November 5, 2018</t>
  </si>
  <si>
    <t>Tuesday, November 6, 2018</t>
  </si>
  <si>
    <t>Wednesday, November 7, 2018</t>
  </si>
  <si>
    <t>Thursday, November 8, 2018</t>
  </si>
  <si>
    <t>Friday, November 9, 2018</t>
  </si>
  <si>
    <t>Monday, November 12, 2018</t>
  </si>
  <si>
    <t>Tuesday, November 13, 2018</t>
  </si>
  <si>
    <t>Wednesday, November 14, 2018</t>
  </si>
  <si>
    <t>Thursday, November 15, 2018</t>
  </si>
  <si>
    <t>Friday, November 16, 2018</t>
  </si>
  <si>
    <t>Monday, November 19, 2018</t>
  </si>
  <si>
    <t>Tuesday, November 20, 2018</t>
  </si>
  <si>
    <t>Wednesday, November 21, 2018</t>
  </si>
  <si>
    <t>Friday, November 23, 2018</t>
  </si>
  <si>
    <t>Monday, November 26, 2018</t>
  </si>
  <si>
    <t>Tuesday, November 27, 2018</t>
  </si>
  <si>
    <t>Wednesday, November 28, 2018</t>
  </si>
  <si>
    <t>Thursday, November 29, 2018</t>
  </si>
  <si>
    <t>Friday, November 30, 2018</t>
  </si>
  <si>
    <t>Monday, December 3, 2018</t>
  </si>
  <si>
    <t>Tuesday, December 4, 2018</t>
  </si>
  <si>
    <t>Thursday, December 6, 2018</t>
  </si>
  <si>
    <t>Friday, December 7, 2018</t>
  </si>
  <si>
    <t>Monday, December 10, 2018</t>
  </si>
  <si>
    <t>Tuesday, December 11, 2018</t>
  </si>
  <si>
    <t>Wednesday, December 12, 2018</t>
  </si>
  <si>
    <t>Thursday, December 13, 2018</t>
  </si>
  <si>
    <t>Friday, December 14, 2018</t>
  </si>
  <si>
    <t>Monday, December 17, 2018</t>
  </si>
  <si>
    <t>Tuesday, December 18, 2018</t>
  </si>
  <si>
    <t>Wednesday, December 19, 2018</t>
  </si>
  <si>
    <t>Thursday, December 20, 2018</t>
  </si>
  <si>
    <t>Friday, December 21, 2018</t>
  </si>
  <si>
    <t>Monday, December 24, 2018</t>
  </si>
  <si>
    <t>Wednesday, December 26, 2018</t>
  </si>
  <si>
    <t>Thursday, December 27, 2018</t>
  </si>
  <si>
    <t>Friday, December 28, 2018</t>
  </si>
  <si>
    <t>Monday, December 31, 2018</t>
  </si>
  <si>
    <t>Wednesday, January 2, 2019</t>
  </si>
  <si>
    <t>Thursday, January 3, 2019</t>
  </si>
  <si>
    <t>Friday, January 4, 2019</t>
  </si>
  <si>
    <t>Monday, January 7, 2019</t>
  </si>
  <si>
    <t>Tuesday, January 8, 2019</t>
  </si>
  <si>
    <t>Wednesday, January 9, 2019</t>
  </si>
  <si>
    <t>Thursday, January 10, 2019</t>
  </si>
  <si>
    <t>Friday, January 11, 2019</t>
  </si>
  <si>
    <t>Monday, January 14, 2019</t>
  </si>
  <si>
    <t>Tuesday, January 15, 2019</t>
  </si>
  <si>
    <t>Wednesday, January 16, 2019</t>
  </si>
  <si>
    <t>Thursday, January 17, 2019</t>
  </si>
  <si>
    <t>Friday, January 18, 2019</t>
  </si>
  <si>
    <t>Tuesday, January 22, 2019</t>
  </si>
  <si>
    <t>Wednesday, January 23, 2019</t>
  </si>
  <si>
    <t>Thursday, January 24, 2019</t>
  </si>
  <si>
    <t>Friday, January 25, 2019</t>
  </si>
  <si>
    <t>Monday, January 28, 2019</t>
  </si>
  <si>
    <t>Tuesday, January 29, 2019</t>
  </si>
  <si>
    <t>Wednesday, January 30, 2019</t>
  </si>
  <si>
    <t>Thursday, January 31, 2019</t>
  </si>
  <si>
    <t>Friday, February 1, 2019</t>
  </si>
  <si>
    <t>Monday, February 4, 2019</t>
  </si>
  <si>
    <t>Tuesday, February 5, 2019</t>
  </si>
  <si>
    <t>Wednesday, February 6, 2019</t>
  </si>
  <si>
    <t>Thursday, February 7, 2019</t>
  </si>
  <si>
    <t>Friday, February 8, 2019</t>
  </si>
  <si>
    <t>Monday, February 11, 2019</t>
  </si>
  <si>
    <t>Tuesday, February 12, 2019</t>
  </si>
  <si>
    <t>Wednesday, February 13, 2019</t>
  </si>
  <si>
    <t>Thursday, February 14, 2019</t>
  </si>
  <si>
    <t>Friday, February 15, 2019</t>
  </si>
  <si>
    <t>Tuesday, February 19, 2019</t>
  </si>
  <si>
    <t>Wednesday, February 20, 2019</t>
  </si>
  <si>
    <t>Thursday, February 21, 2019</t>
  </si>
  <si>
    <t>Friday, February 22, 2019</t>
  </si>
  <si>
    <t>Monday, February 25, 2019</t>
  </si>
  <si>
    <t>Tuesday, February 26, 2019</t>
  </si>
  <si>
    <t>Wednesday, February 27, 2019</t>
  </si>
  <si>
    <t>Thursday, February 28, 2019</t>
  </si>
  <si>
    <t>Friday, March 1, 2019</t>
  </si>
  <si>
    <t>Monday, March 4, 2019</t>
  </si>
  <si>
    <t>Tuesday, March 5, 2019</t>
  </si>
  <si>
    <t>Wednesday, March 6, 2019</t>
  </si>
  <si>
    <t>Thursday, March 7, 2019</t>
  </si>
  <si>
    <t>Friday, March 8, 2019</t>
  </si>
  <si>
    <t>Monday, March 11, 2019</t>
  </si>
  <si>
    <t>Tuesday, March 12, 2019</t>
  </si>
  <si>
    <t>Wednesday, March 13, 2019</t>
  </si>
  <si>
    <t>Thursday, March 14, 2019</t>
  </si>
  <si>
    <t>Friday, March 15, 2019</t>
  </si>
  <si>
    <t>Monday, March 18, 2019</t>
  </si>
  <si>
    <t>Tuesday, March 19, 2019</t>
  </si>
  <si>
    <t>Wednesday, March 20, 2019</t>
  </si>
  <si>
    <t>Thursday, March 21, 2019</t>
  </si>
  <si>
    <t>Friday, March 22, 2019</t>
  </si>
  <si>
    <t>Monday, March 25, 2019</t>
  </si>
  <si>
    <t>Tuesday, March 26, 2019</t>
  </si>
  <si>
    <t>Wednesday, March 27, 2019</t>
  </si>
  <si>
    <t>Thursday, March 28, 2019</t>
  </si>
  <si>
    <t>Friday, March 29, 2019</t>
  </si>
  <si>
    <t>Monday, April 1, 2019</t>
  </si>
  <si>
    <t>Tuesday, April 2, 2019</t>
  </si>
  <si>
    <t>Wednesday, April 3, 2019</t>
  </si>
  <si>
    <t>Thursday, April 4, 2019</t>
  </si>
  <si>
    <t>Friday, April 5, 2019</t>
  </si>
  <si>
    <t>Monday, April 8, 2019</t>
  </si>
  <si>
    <t>Tuesday, April 9, 2019</t>
  </si>
  <si>
    <t>Wednesday, April 10, 2019</t>
  </si>
  <si>
    <t>Thursday, April 11, 2019</t>
  </si>
  <si>
    <t>Friday, April 12, 2019</t>
  </si>
  <si>
    <t>Monday, April 15, 2019</t>
  </si>
  <si>
    <t>Tuesday, April 16, 2019</t>
  </si>
  <si>
    <t>Wednesday, April 17, 2019</t>
  </si>
  <si>
    <t>Thursday, April 18, 2019</t>
  </si>
  <si>
    <t>Monday, April 22, 2019</t>
  </si>
  <si>
    <t>Tuesday, April 23, 2019</t>
  </si>
  <si>
    <t>Wednesday, April 24, 2019</t>
  </si>
  <si>
    <t>Thursday, April 25, 2019</t>
  </si>
  <si>
    <t>Friday, April 26, 2019</t>
  </si>
  <si>
    <t>Monday, April 29, 2019</t>
  </si>
  <si>
    <t>Tuesday, April 30, 2019</t>
  </si>
  <si>
    <t>Wednesday, May 1, 2019</t>
  </si>
  <si>
    <t>Thursday, May 2, 2019</t>
  </si>
  <si>
    <t>Friday, May 3, 2019</t>
  </si>
  <si>
    <t>Monday, May 6, 2019</t>
  </si>
  <si>
    <t>Tuesday, May 7, 2019</t>
  </si>
  <si>
    <t>Wednesday, May 8, 2019</t>
  </si>
  <si>
    <t>Thursday, May 9, 2019</t>
  </si>
  <si>
    <t>Friday, May 10, 2019</t>
  </si>
  <si>
    <t>Monday, May 13, 2019</t>
  </si>
  <si>
    <t>Tuesday, May 14, 2019</t>
  </si>
  <si>
    <t>Wednesday, May 15, 2019</t>
  </si>
  <si>
    <t>Thursday, May 16, 2019</t>
  </si>
  <si>
    <t>Friday, May 17, 2019</t>
  </si>
  <si>
    <t>Monday, May 20, 2019</t>
  </si>
  <si>
    <t>Tuesday, May 21, 2019</t>
  </si>
  <si>
    <t>Wednesday, May 22, 2019</t>
  </si>
  <si>
    <t>Thursday, May 23, 2019</t>
  </si>
  <si>
    <t>Friday, May 24, 2019</t>
  </si>
  <si>
    <t>Tuesday, May 28, 2019</t>
  </si>
  <si>
    <t>Wednesday, May 29, 2019</t>
  </si>
  <si>
    <t>Thursday, May 30, 2019</t>
  </si>
  <si>
    <t>Friday, May 31, 2019</t>
  </si>
  <si>
    <t>Monday, June 3, 2019</t>
  </si>
  <si>
    <t>Tuesday, June 4, 2019</t>
  </si>
  <si>
    <t>Wednesday, June 5, 2019</t>
  </si>
  <si>
    <t>Thursday, June 6, 2019</t>
  </si>
  <si>
    <t>Friday, June 7, 2019</t>
  </si>
  <si>
    <t>Monday, June 10, 2019</t>
  </si>
  <si>
    <t>Tuesday, June 11, 2019</t>
  </si>
  <si>
    <t>Wednesday, June 12, 2019</t>
  </si>
  <si>
    <t>Thursday, June 13, 2019</t>
  </si>
  <si>
    <t>Friday, June 14, 2019</t>
  </si>
  <si>
    <t>Monday, June 17, 2019</t>
  </si>
  <si>
    <t>Tuesday, June 18, 2019</t>
  </si>
  <si>
    <t>Wednesday, June 19, 2019</t>
  </si>
  <si>
    <t>Thursday, June 20, 2019</t>
  </si>
  <si>
    <t>Friday, June 21, 2019</t>
  </si>
  <si>
    <t>Monday, June 24, 2019</t>
  </si>
  <si>
    <t>Tuesday, June 25, 2019</t>
  </si>
  <si>
    <t>Wednesday, June 26, 2019</t>
  </si>
  <si>
    <t>Thursday, June 27, 2019</t>
  </si>
  <si>
    <t>Friday, June 28, 2019</t>
  </si>
  <si>
    <t>Monday, July 1, 2019</t>
  </si>
  <si>
    <t>Tuesday, July 2, 2019</t>
  </si>
  <si>
    <t>Wednesday, July 3, 2019</t>
  </si>
  <si>
    <t>Friday, July 5, 2019</t>
  </si>
  <si>
    <t>Monday, July 8, 2019</t>
  </si>
  <si>
    <t>Tuesday, July 9, 2019</t>
  </si>
  <si>
    <t>Wednesday, July 10, 2019</t>
  </si>
  <si>
    <t>Thursday, July 11, 2019</t>
  </si>
  <si>
    <t>Friday, July 12, 2019</t>
  </si>
  <si>
    <t>Monday, July 15, 2019</t>
  </si>
  <si>
    <t>Tuesday, July 16, 2019</t>
  </si>
  <si>
    <t>Wednesday, July 17, 2019</t>
  </si>
  <si>
    <t>Thursday, July 18, 2019</t>
  </si>
  <si>
    <t>Friday, July 19, 2019</t>
  </si>
  <si>
    <t>Monday, July 22, 2019</t>
  </si>
  <si>
    <t>Tuesday, July 23, 2019</t>
  </si>
  <si>
    <t>Wednesday, July 24, 2019</t>
  </si>
  <si>
    <t>Thursday, July 25, 2019</t>
  </si>
  <si>
    <t>Friday, July 26, 2019</t>
  </si>
  <si>
    <t>Monday, July 29, 2019</t>
  </si>
  <si>
    <t>Tuesday, July 30, 2019</t>
  </si>
  <si>
    <t>Wednesday, July 31, 2019</t>
  </si>
  <si>
    <t>Thursday, August 1, 2019</t>
  </si>
  <si>
    <t>Friday, August 2, 2019</t>
  </si>
  <si>
    <t>Monday, August 5, 2019</t>
  </si>
  <si>
    <t>Tuesday, August 6, 2019</t>
  </si>
  <si>
    <t>Wednesday, August 7, 2019</t>
  </si>
  <si>
    <t>Thursday, August 8, 2019</t>
  </si>
  <si>
    <t>Friday, August 9, 2019</t>
  </si>
  <si>
    <t>Monday, August 12, 2019</t>
  </si>
  <si>
    <t>Tuesday, August 13, 2019</t>
  </si>
  <si>
    <t>Wednesday, August 14, 2019</t>
  </si>
  <si>
    <t>Thursday, August 15, 2019</t>
  </si>
  <si>
    <t>Friday, August 16, 2019</t>
  </si>
  <si>
    <t>Monday, August 19, 2019</t>
  </si>
  <si>
    <t>Tuesday, August 20, 2019</t>
  </si>
  <si>
    <t>Wednesday, August 21, 2019</t>
  </si>
  <si>
    <t>Thursday, August 22, 2019</t>
  </si>
  <si>
    <t>Friday, August 23, 2019</t>
  </si>
  <si>
    <t>Monday, August 26, 2019</t>
  </si>
  <si>
    <t>Tuesday, August 27, 2019</t>
  </si>
  <si>
    <t>Wednesday, August 28, 2019</t>
  </si>
  <si>
    <t>Thursday, August 29, 2019</t>
  </si>
  <si>
    <t>Friday, August 30, 2019</t>
  </si>
  <si>
    <t>Tuesday, September 3, 2019</t>
  </si>
  <si>
    <t>Wednesday, September 4, 2019</t>
  </si>
  <si>
    <t>Thursday, September 5, 2019</t>
  </si>
  <si>
    <t>Friday, September 6, 2019</t>
  </si>
  <si>
    <t>Monday, September 9, 2019</t>
  </si>
  <si>
    <t>Tuesday, September 10, 2019</t>
  </si>
  <si>
    <t>Wednesday, September 11, 2019</t>
  </si>
  <si>
    <t>Thursday, September 12, 2019</t>
  </si>
  <si>
    <t>Friday, September 13, 2019</t>
  </si>
  <si>
    <t>Monday, September 16, 2019</t>
  </si>
  <si>
    <t>Tuesday, September 17, 2019</t>
  </si>
  <si>
    <t>Wednesday, September 18, 2019</t>
  </si>
  <si>
    <t>Thursday, September 19, 2019</t>
  </si>
  <si>
    <t>Friday, September 20, 2019</t>
  </si>
  <si>
    <t>Monday, September 23, 2019</t>
  </si>
  <si>
    <t>Tuesday, September 24, 2019</t>
  </si>
  <si>
    <t>Wednesday, September 25, 2019</t>
  </si>
  <si>
    <t>Thursday, September 26, 2019</t>
  </si>
  <si>
    <t>Friday, September 27, 2019</t>
  </si>
  <si>
    <t>Monday, September 30, 2019</t>
  </si>
  <si>
    <t>Tuesday, October 1, 2019</t>
  </si>
  <si>
    <t>Wednesday, October 2, 2019</t>
  </si>
  <si>
    <t>Thursday, October 3, 2019</t>
  </si>
  <si>
    <t>Friday, October 4, 2019</t>
  </si>
  <si>
    <t>Monday, October 7, 2019</t>
  </si>
  <si>
    <t>Tuesday, October 8, 2019</t>
  </si>
  <si>
    <t>Wednesday, October 9, 2019</t>
  </si>
  <si>
    <t>Thursday, October 10, 2019</t>
  </si>
  <si>
    <t>Friday, October 11, 2019</t>
  </si>
  <si>
    <t>Monday, October 14, 2019</t>
  </si>
  <si>
    <t>Tuesday, October 15, 2019</t>
  </si>
  <si>
    <t>Wednesday, October 16, 2019</t>
  </si>
  <si>
    <t>Thursday, October 17, 2019</t>
  </si>
  <si>
    <t>Friday, October 18, 2019</t>
  </si>
  <si>
    <t>Monday, October 21, 2019</t>
  </si>
  <si>
    <t>Tuesday, October 22, 2019</t>
  </si>
  <si>
    <t>Wednesday, October 23, 2019</t>
  </si>
  <si>
    <t>Thursday, October 24, 2019</t>
  </si>
  <si>
    <t>Friday, October 25, 2019</t>
  </si>
  <si>
    <t>Monday, October 28, 2019</t>
  </si>
  <si>
    <t>Tuesday, October 29, 2019</t>
  </si>
  <si>
    <t>Wednesday, October 30, 2019</t>
  </si>
  <si>
    <t>Thursday, October 31, 2019</t>
  </si>
  <si>
    <t>Friday, November 1, 2019</t>
  </si>
  <si>
    <t>Monday, November 4, 2019</t>
  </si>
  <si>
    <t>Tuesday, November 5, 2019</t>
  </si>
  <si>
    <t>Wednesday, November 6, 2019</t>
  </si>
  <si>
    <t>Thursday, November 7, 2019</t>
  </si>
  <si>
    <t>Friday, November 8, 2019</t>
  </si>
  <si>
    <t>Monday, November 11, 2019</t>
  </si>
  <si>
    <t>Tuesday, November 12, 2019</t>
  </si>
  <si>
    <t>Wednesday, November 13, 2019</t>
  </si>
  <si>
    <t>Thursday, November 14, 2019</t>
  </si>
  <si>
    <t>Friday, November 15, 2019</t>
  </si>
  <si>
    <t>Monday, November 18, 2019</t>
  </si>
  <si>
    <t>Tuesday, November 19, 2019</t>
  </si>
  <si>
    <t>Wednesday, November 20, 2019</t>
  </si>
  <si>
    <t>Thursday, November 21, 2019</t>
  </si>
  <si>
    <t>Friday, November 22, 2019</t>
  </si>
  <si>
    <t>Monday, November 25, 2019</t>
  </si>
  <si>
    <t>Tuesday, November 26, 2019</t>
  </si>
  <si>
    <t>Wednesday, November 27, 2019</t>
  </si>
  <si>
    <t>Friday, November 29, 2019</t>
  </si>
  <si>
    <t>Monday, December 2, 2019</t>
  </si>
  <si>
    <t>Tuesday, December 3, 2019</t>
  </si>
  <si>
    <t>Wednesday, December 4, 2019</t>
  </si>
  <si>
    <t>Thursday, December 5, 2019</t>
  </si>
  <si>
    <t>Friday, December 6, 2019</t>
  </si>
  <si>
    <t>Monday, December 9, 2019</t>
  </si>
  <si>
    <t>Tuesday, December 10, 2019</t>
  </si>
  <si>
    <t>Wednesday, December 11, 2019</t>
  </si>
  <si>
    <t>Thursday, December 12, 2019</t>
  </si>
  <si>
    <t>Friday, December 13, 2019</t>
  </si>
  <si>
    <t>Monday, December 16, 2019</t>
  </si>
  <si>
    <t>Tuesday, December 17, 2019</t>
  </si>
  <si>
    <t>Wednesday, December 18, 2019</t>
  </si>
  <si>
    <t>Thursday, December 19, 2019</t>
  </si>
  <si>
    <t>Friday, December 20, 2019</t>
  </si>
  <si>
    <t>Monday, December 23, 2019</t>
  </si>
  <si>
    <t>Tuesday, December 24, 2019</t>
  </si>
  <si>
    <t>Thursday, December 26, 2019</t>
  </si>
  <si>
    <t>Friday, December 27, 2019</t>
  </si>
  <si>
    <t>Monday, December 30, 2019</t>
  </si>
  <si>
    <t>Tuesday, December 31, 2019</t>
  </si>
  <si>
    <t>Thursday, January 2, 2020</t>
  </si>
  <si>
    <t>Friday, January 3, 2020</t>
  </si>
  <si>
    <t>Monday, January 6, 2020</t>
  </si>
  <si>
    <t>Tuesday, January 7, 2020</t>
  </si>
  <si>
    <t>Wednesday, January 8, 2020</t>
  </si>
  <si>
    <t>Thursday, January 9, 2020</t>
  </si>
  <si>
    <t>Friday, January 10, 2020</t>
  </si>
  <si>
    <t>Monday, January 13, 2020</t>
  </si>
  <si>
    <t>Tuesday, January 14, 2020</t>
  </si>
  <si>
    <t>Wednesday, January 15, 2020</t>
  </si>
  <si>
    <t>Thursday, January 16, 2020</t>
  </si>
  <si>
    <t>Friday, January 17, 2020</t>
  </si>
  <si>
    <t>Tuesday, January 21, 2020</t>
  </si>
  <si>
    <t>Wednesday, January 22, 2020</t>
  </si>
  <si>
    <t>Thursday, January 23, 2020</t>
  </si>
  <si>
    <t>Friday, January 24, 2020</t>
  </si>
  <si>
    <t>Monday, January 27, 2020</t>
  </si>
  <si>
    <t>Tuesday, January 28, 2020</t>
  </si>
  <si>
    <t>Wednesday, January 29, 2020</t>
  </si>
  <si>
    <t>Thursday, January 30, 2020</t>
  </si>
  <si>
    <t>Friday, January 31, 2020</t>
  </si>
  <si>
    <t>Monday, February 3, 2020</t>
  </si>
  <si>
    <t>Tuesday, February 4, 2020</t>
  </si>
  <si>
    <t>Wednesday, February 5, 2020</t>
  </si>
  <si>
    <t>Thursday, February 6, 2020</t>
  </si>
  <si>
    <t>Friday, February 7, 2020</t>
  </si>
  <si>
    <t>Monday, February 10, 2020</t>
  </si>
  <si>
    <t>Tuesday, February 11, 2020</t>
  </si>
  <si>
    <t>Wednesday, February 12, 2020</t>
  </si>
  <si>
    <t>Thursday, February 13, 2020</t>
  </si>
  <si>
    <t>Friday, February 14, 2020</t>
  </si>
  <si>
    <t>Tuesday, February 18, 2020</t>
  </si>
  <si>
    <t>Wednesday, February 19, 2020</t>
  </si>
  <si>
    <t>Thursday, February 20, 2020</t>
  </si>
  <si>
    <t>Friday, February 21, 2020</t>
  </si>
  <si>
    <t>Monday, February 24, 2020</t>
  </si>
  <si>
    <t>Tuesday, February 25, 2020</t>
  </si>
  <si>
    <t>Wednesday, February 26, 2020</t>
  </si>
  <si>
    <t>Thursday, February 27, 2020</t>
  </si>
  <si>
    <t>Friday, February 28, 2020</t>
  </si>
  <si>
    <t>Monday, March 2, 2020</t>
  </si>
  <si>
    <t>Tuesday, March 3, 2020</t>
  </si>
  <si>
    <t>Wednesday, March 4, 2020</t>
  </si>
  <si>
    <t>Thursday, March 5, 2020</t>
  </si>
  <si>
    <t>Friday, March 6, 2020</t>
  </si>
  <si>
    <t>Monday, March 9, 2020</t>
  </si>
  <si>
    <t>Tuesday, March 10, 2020</t>
  </si>
  <si>
    <t>Wednesday, March 11, 2020</t>
  </si>
  <si>
    <t>Thursday, March 12, 2020</t>
  </si>
  <si>
    <t>Friday, March 13, 2020</t>
  </si>
  <si>
    <t>Monday, March 16, 2020</t>
  </si>
  <si>
    <t>Tuesday, March 17, 2020</t>
  </si>
  <si>
    <t>Wednesday, March 18, 2020</t>
  </si>
  <si>
    <t>Thursday, March 19, 2020</t>
  </si>
  <si>
    <t>Friday, March 20, 2020</t>
  </si>
  <si>
    <t>Monday, March 23, 2020</t>
  </si>
  <si>
    <t>Tuesday, March 24, 2020</t>
  </si>
  <si>
    <t>Wednesday, March 25, 2020</t>
  </si>
  <si>
    <t>Thursday, March 26, 2020</t>
  </si>
  <si>
    <t>Friday, March 27, 2020</t>
  </si>
  <si>
    <t>Monday, March 30, 2020</t>
  </si>
  <si>
    <t>Tuesday, March 31, 2020</t>
  </si>
  <si>
    <t>Wednesday, April 1, 2020</t>
  </si>
  <si>
    <t>Thursday, April 2, 2020</t>
  </si>
  <si>
    <t>Friday, April 3, 2020</t>
  </si>
  <si>
    <t>Monday, April 6, 2020</t>
  </si>
  <si>
    <t>Tuesday, April 7, 2020</t>
  </si>
  <si>
    <t>Wednesday, April 8, 2020</t>
  </si>
  <si>
    <t>Thursday, April 9, 2020</t>
  </si>
  <si>
    <t>Monday, April 13, 2020</t>
  </si>
  <si>
    <t>ABC</t>
  </si>
  <si>
    <t>Tuesday, April 14, 2020</t>
  </si>
  <si>
    <t>Wednesday, April 15, 2020</t>
  </si>
  <si>
    <t>Thursday, April 16, 2020</t>
  </si>
  <si>
    <t>Friday, April 17, 2020</t>
  </si>
  <si>
    <t>Monday, April 20, 2020</t>
  </si>
  <si>
    <t>Tuesday, April 21, 2020</t>
  </si>
  <si>
    <t>Wednesday, April 22, 2020</t>
  </si>
  <si>
    <t>Thursday, April 23, 2020</t>
  </si>
  <si>
    <t>Friday, April 24, 2020</t>
  </si>
  <si>
    <t>Monday, April 27, 2020</t>
  </si>
  <si>
    <t>Tuesday, April 28, 2020</t>
  </si>
  <si>
    <t>Wednesday, April 29, 2020</t>
  </si>
  <si>
    <t>Thursday, April 30, 2020</t>
  </si>
  <si>
    <t>Friday, May 1, 2020</t>
  </si>
  <si>
    <t>Monday, May 4, 2020</t>
  </si>
  <si>
    <t>Tuesday, May 5, 2020</t>
  </si>
  <si>
    <t>Wednesday, May 6, 2020</t>
  </si>
  <si>
    <t>Thursday, May 7, 2020</t>
  </si>
  <si>
    <t>Friday, May 8, 2020</t>
  </si>
  <si>
    <t>Monday, May 11, 2020</t>
  </si>
  <si>
    <t>Tuesday, May 12, 2020</t>
  </si>
  <si>
    <t>Wednesday, May 13, 2020</t>
  </si>
  <si>
    <t>Thursday, May 14, 2020</t>
  </si>
  <si>
    <t>Friday, May 15, 2020</t>
  </si>
  <si>
    <t>Monday, May 18, 2020</t>
  </si>
  <si>
    <t>Tuesday, May 19, 2020</t>
  </si>
  <si>
    <t>Wednesday, May 20, 2020</t>
  </si>
  <si>
    <t>Thursday, May 21, 2020</t>
  </si>
  <si>
    <t>Friday, May 22, 2020</t>
  </si>
  <si>
    <t>Tuesday, May 26, 2020</t>
  </si>
  <si>
    <t>Wednesday, May 27, 2020</t>
  </si>
  <si>
    <t>Thursday, May 28, 2020</t>
  </si>
  <si>
    <t>Friday, May 29, 2020</t>
  </si>
  <si>
    <t>Monday, June 1, 2020</t>
  </si>
  <si>
    <t>Tuesday, June 2, 2020</t>
  </si>
  <si>
    <t>Wednesday, June 3, 2020</t>
  </si>
  <si>
    <t>Thursday, June 4, 2020</t>
  </si>
  <si>
    <t>Friday, June 5, 2020</t>
  </si>
  <si>
    <t>Monday, June 8, 2020</t>
  </si>
  <si>
    <t>Tuesday, June 9, 2020</t>
  </si>
  <si>
    <t>Wednesday, June 10, 2020</t>
  </si>
  <si>
    <t>Thursday, June 11, 2020</t>
  </si>
  <si>
    <t>Friday, June 12, 2020</t>
  </si>
  <si>
    <t>Monday, June 15, 2020</t>
  </si>
  <si>
    <t>Tuesday, June 16, 2020</t>
  </si>
  <si>
    <t>Wednesday, June 17, 2020</t>
  </si>
  <si>
    <t>Thursday, June 18, 2020</t>
  </si>
  <si>
    <t>Friday, June 19, 2020</t>
  </si>
  <si>
    <t>Monday, June 22, 2020</t>
  </si>
  <si>
    <t>Tuesday, June 23, 2020</t>
  </si>
  <si>
    <t>Wednesday, June 24, 2020</t>
  </si>
  <si>
    <t>Thursday, June 25, 2020</t>
  </si>
  <si>
    <t>Friday, June 26, 2020</t>
  </si>
  <si>
    <t>Monday, June 29, 2020</t>
  </si>
  <si>
    <t>Tuesday, June 30, 2020</t>
  </si>
  <si>
    <t>Wednesday, July 1, 2020</t>
  </si>
  <si>
    <t>Thursday, July 2, 2020</t>
  </si>
  <si>
    <t>Monday, July 6, 2020</t>
  </si>
  <si>
    <t>Tuesday, July 7, 2020</t>
  </si>
  <si>
    <t>Wednesday, July 8, 2020</t>
  </si>
  <si>
    <t>Thursday, July 9, 2020</t>
  </si>
  <si>
    <t>Friday, July 10, 2020</t>
  </si>
  <si>
    <t>Monday, July 13, 2020</t>
  </si>
  <si>
    <t>Tuesday, July 14, 2020</t>
  </si>
  <si>
    <t>Wednesday, July 15, 2020</t>
  </si>
  <si>
    <t>Thursday, July 16, 2020</t>
  </si>
  <si>
    <t>Friday, July 17, 2020</t>
  </si>
  <si>
    <t>Monday, July 20, 2020</t>
  </si>
  <si>
    <t>Tuesday, July 21, 2020</t>
  </si>
  <si>
    <t>Wednesday, July 22, 2020</t>
  </si>
  <si>
    <t>Thursday, July 23, 2020</t>
  </si>
  <si>
    <t>Friday, July 24, 2020</t>
  </si>
  <si>
    <t>Monday, July 27, 2020</t>
  </si>
  <si>
    <t>Tuesday, July 28, 2020</t>
  </si>
  <si>
    <t>Wednesday, July 29, 2020</t>
  </si>
  <si>
    <t>Thursday, July 30, 2020</t>
  </si>
  <si>
    <t>Friday, July 31, 2020</t>
  </si>
  <si>
    <t>Monday, August 3, 2020</t>
  </si>
  <si>
    <t>Tuesday, August 4, 2020</t>
  </si>
  <si>
    <t>Wednesday, August 5, 2020</t>
  </si>
  <si>
    <t>Thursday, August 6, 2020</t>
  </si>
  <si>
    <t>Friday, August 7, 2020</t>
  </si>
  <si>
    <t>Monday, August 10, 2020</t>
  </si>
  <si>
    <t>Tuesday, August 11, 2020</t>
  </si>
  <si>
    <t>Wednesday, August 12, 2020</t>
  </si>
  <si>
    <t>Thursday, August 13, 2020</t>
  </si>
  <si>
    <t>Friday, August 14, 2020</t>
  </si>
  <si>
    <t>Monday, August 17, 2020</t>
  </si>
  <si>
    <t>Tuesday, August 18, 2020</t>
  </si>
  <si>
    <t>Wednesday, August 19, 2020</t>
  </si>
  <si>
    <t>Thursday, August 20, 2020</t>
  </si>
  <si>
    <t>Friday, August 21, 2020</t>
  </si>
  <si>
    <t>Monday, August 24, 2020</t>
  </si>
  <si>
    <t>Tuesday, August 25, 2020</t>
  </si>
  <si>
    <t>Wednesday, August 26, 2020</t>
  </si>
  <si>
    <t>Thursday, August 27, 2020</t>
  </si>
  <si>
    <t>Friday, August 28, 2020</t>
  </si>
  <si>
    <t>Monday, August 31, 2020</t>
  </si>
  <si>
    <t>Tuesday, September 1, 2020</t>
  </si>
  <si>
    <t>Wednesday, September 2, 2020</t>
  </si>
  <si>
    <t>Thursday, September 3, 2020</t>
  </si>
  <si>
    <t>Friday, September 4, 2020</t>
  </si>
  <si>
    <t>Tuesday, September 8, 2020</t>
  </si>
  <si>
    <t>Wednesday, September 9, 2020</t>
  </si>
  <si>
    <t>Thursday, September 10, 2020</t>
  </si>
  <si>
    <t>Friday, September 11, 2020</t>
  </si>
  <si>
    <t>Monday, September 14, 2020</t>
  </si>
  <si>
    <t>Tuesday, September 15, 2020</t>
  </si>
  <si>
    <t>Wednesday, September 16, 2020</t>
  </si>
  <si>
    <t>Thursday, September 17, 2020</t>
  </si>
  <si>
    <t>Friday, September 18, 2020</t>
  </si>
  <si>
    <t>Monday, September 21, 2020</t>
  </si>
  <si>
    <t>Tuesday, September 22, 2020</t>
  </si>
  <si>
    <t>Wednesday, September 23, 2020</t>
  </si>
  <si>
    <t>Thursday, September 24, 2020</t>
  </si>
  <si>
    <t>Friday, September 25, 2020</t>
  </si>
  <si>
    <t>Monday, September 28, 2020</t>
  </si>
  <si>
    <t>Tuesday, September 29, 2020</t>
  </si>
  <si>
    <t>Wednesday, September 30, 2020</t>
  </si>
  <si>
    <t>Thursday, October 1, 2020</t>
  </si>
  <si>
    <t>Friday, October 2, 2020</t>
  </si>
  <si>
    <t>Monday, October 5, 2020</t>
  </si>
  <si>
    <t>Tuesday, October 6, 2020</t>
  </si>
  <si>
    <t>Wednesday, October 7, 2020</t>
  </si>
  <si>
    <t>Thursday, October 8, 2020</t>
  </si>
  <si>
    <t>Friday, October 9, 2020</t>
  </si>
  <si>
    <t>Monday, October 12, 2020</t>
  </si>
  <si>
    <t>Tuesday, October 13, 2020</t>
  </si>
  <si>
    <t>Wednesday, October 14, 2020</t>
  </si>
  <si>
    <t>Thursday, October 15, 2020</t>
  </si>
  <si>
    <t>Friday, October 16, 2020</t>
  </si>
  <si>
    <t>Monday, October 19, 2020</t>
  </si>
  <si>
    <t>Tuesday, October 20, 2020</t>
  </si>
  <si>
    <t>Wednesday, October 21, 2020</t>
  </si>
  <si>
    <t>Thursday, October 22, 2020</t>
  </si>
  <si>
    <t>Friday, October 23, 2020</t>
  </si>
  <si>
    <t>Monday, October 26, 2020</t>
  </si>
  <si>
    <t>Tuesday, October 27, 2020</t>
  </si>
  <si>
    <t>Wednesday, October 28, 2020</t>
  </si>
  <si>
    <t>Thursday, October 29, 2020</t>
  </si>
  <si>
    <t>Friday, October 30, 2020</t>
  </si>
  <si>
    <t>Monday, November 2, 2020</t>
  </si>
  <si>
    <t>Tuesday, November 3, 2020</t>
  </si>
  <si>
    <t>Wednesday, November 4, 2020</t>
  </si>
  <si>
    <t>Thursday, November 5, 2020</t>
  </si>
  <si>
    <t>Friday, November 6, 2020</t>
  </si>
  <si>
    <t>Monday, November 9, 2020</t>
  </si>
  <si>
    <t>Tuesday, November 10, 2020</t>
  </si>
  <si>
    <t>Wednesday, November 11, 2020</t>
  </si>
  <si>
    <t>Thursday, November 12, 2020</t>
  </si>
  <si>
    <t>Friday, November 13, 2020</t>
  </si>
  <si>
    <t>Monday, November 16, 2020</t>
  </si>
  <si>
    <t>Tuesday, November 17, 2020</t>
  </si>
  <si>
    <t>Wednesday, November 18, 2020</t>
  </si>
  <si>
    <t>Thursday, November 19, 2020</t>
  </si>
  <si>
    <t>Friday, November 20, 2020</t>
  </si>
  <si>
    <t>Monday, November 23, 2020</t>
  </si>
  <si>
    <t>Tuesday, November 24, 2020</t>
  </si>
  <si>
    <t>Wednesday, November 25, 2020</t>
  </si>
  <si>
    <t>Friday, November 27, 2020</t>
  </si>
  <si>
    <t>Monday, November 30, 2020</t>
  </si>
  <si>
    <t>Tuesday, December 1, 2020</t>
  </si>
  <si>
    <t>Wednesday, December 2, 2020</t>
  </si>
  <si>
    <t>Thursday, December 3, 2020</t>
  </si>
  <si>
    <t>Friday, December 4, 2020</t>
  </si>
  <si>
    <t>Monday, December 7, 2020</t>
  </si>
  <si>
    <t>Tuesday, December 8, 2020</t>
  </si>
  <si>
    <t>Wednesday, December 9, 2020</t>
  </si>
  <si>
    <t>Thursday, December 10, 2020</t>
  </si>
  <si>
    <t>Friday, December 11, 2020</t>
  </si>
  <si>
    <t>Monday, December 14, 2020</t>
  </si>
  <si>
    <t>Tuesday, December 15, 2020</t>
  </si>
  <si>
    <t>Wednesday, December 16, 2020</t>
  </si>
  <si>
    <t>Thursday, December 17, 2020</t>
  </si>
  <si>
    <t>Friday, December 18, 2020</t>
  </si>
  <si>
    <t>Monday, December 21, 2020</t>
  </si>
  <si>
    <t>Tuesday, December 22, 2020</t>
  </si>
  <si>
    <t>Wednesday, December 23, 2020</t>
  </si>
  <si>
    <t>Thursday, December 24, 2020</t>
  </si>
  <si>
    <t>Monday, December 28, 2020</t>
  </si>
  <si>
    <t>Tuesday, December 29, 2020</t>
  </si>
  <si>
    <t>Wednesday, December 30, 2020</t>
  </si>
  <si>
    <t>Thursday, December 31, 2020</t>
  </si>
  <si>
    <t>Monday, January 4, 2021</t>
  </si>
  <si>
    <t>Tuesday, January 5, 2021</t>
  </si>
  <si>
    <t>Wednesday, January 6, 2021</t>
  </si>
  <si>
    <t>Thursday, January 7, 2021</t>
  </si>
  <si>
    <t>Friday, January 8, 2021</t>
  </si>
  <si>
    <t>Monday, January 11, 2021</t>
  </si>
  <si>
    <t>Tuesday, January 12, 2021</t>
  </si>
  <si>
    <t>Wednesday, January 13, 2021</t>
  </si>
  <si>
    <t>Thursday, January 14, 2021</t>
  </si>
  <si>
    <t>Friday, January 15, 2021</t>
  </si>
  <si>
    <t>Tuesday, January 19, 2021</t>
  </si>
  <si>
    <t>Wednesday, January 20, 2021</t>
  </si>
  <si>
    <t>Thursday, January 21, 2021</t>
  </si>
  <si>
    <t>Friday, January 22, 2021</t>
  </si>
  <si>
    <t>Monday, January 25, 2021</t>
  </si>
  <si>
    <t>Tuesday, January 26, 2021</t>
  </si>
  <si>
    <t>Wednesday, January 27, 2021</t>
  </si>
  <si>
    <t>Thursday, January 28, 2021</t>
  </si>
  <si>
    <t>Friday, January 29, 2021</t>
  </si>
  <si>
    <t>Monday, February 1, 2021</t>
  </si>
  <si>
    <t>Tuesday, February 2, 2021</t>
  </si>
  <si>
    <t>Wednesday, February 3, 2021</t>
  </si>
  <si>
    <t>Thursday, February 4, 2021</t>
  </si>
  <si>
    <t>Friday, February 5, 2021</t>
  </si>
  <si>
    <t>Monday, February 8, 2021</t>
  </si>
  <si>
    <t>Tuesday, February 9, 2021</t>
  </si>
  <si>
    <t>Wednesday, February 10, 2021</t>
  </si>
  <si>
    <t>Thursday, February 11, 2021</t>
  </si>
  <si>
    <t>Friday, February 12, 2021</t>
  </si>
  <si>
    <t>Tuesday, February 16, 2021</t>
  </si>
  <si>
    <t>Wednesday, February 17, 2021</t>
  </si>
  <si>
    <t>Thursday, February 18, 2021</t>
  </si>
  <si>
    <t>Friday, February 19, 2021</t>
  </si>
  <si>
    <t>Monday, February 22, 2021</t>
  </si>
  <si>
    <t>Tuesday, February 23, 2021</t>
  </si>
  <si>
    <t>Wednesday, February 24, 2021</t>
  </si>
  <si>
    <t>Thursday, February 25, 2021</t>
  </si>
  <si>
    <t>Friday, February 26, 2021</t>
  </si>
  <si>
    <t>Monday, March 1, 2021</t>
  </si>
  <si>
    <t>Tuesday, March 2, 2021</t>
  </si>
  <si>
    <t>Wednesday, March 3, 2021</t>
  </si>
  <si>
    <t>Thursday, March 4, 2021</t>
  </si>
  <si>
    <t>Friday, March 5, 2021</t>
  </si>
  <si>
    <t>Monday, March 8, 2021</t>
  </si>
  <si>
    <t>Tuesday, March 9, 2021</t>
  </si>
  <si>
    <t>Wednesday, March 10, 2021</t>
  </si>
  <si>
    <t>Thursday, March 11, 2021</t>
  </si>
  <si>
    <t>Friday, March 12, 2021</t>
  </si>
  <si>
    <t>Monday, March 15, 2021</t>
  </si>
  <si>
    <t>Tuesday, March 16, 2021</t>
  </si>
  <si>
    <t>Wednesday, March 17, 2021</t>
  </si>
  <si>
    <t>Thursday, March 18, 2021</t>
  </si>
  <si>
    <t>Friday, March 19, 2021</t>
  </si>
  <si>
    <t>Monday, March 22, 2021</t>
  </si>
  <si>
    <t>Tuesday, March 23, 2021</t>
  </si>
  <si>
    <t>Wednesday, March 24, 2021</t>
  </si>
  <si>
    <t>Thursday, March 25, 2021</t>
  </si>
  <si>
    <t>Friday, March 26, 2021</t>
  </si>
  <si>
    <t>Monday, March 29, 2021</t>
  </si>
  <si>
    <t>Tuesday, March 30, 2021</t>
  </si>
  <si>
    <t>Wednesday, March 31, 2021</t>
  </si>
  <si>
    <t>Thursday, April 1, 2021</t>
  </si>
  <si>
    <t>Monday, April 5, 2021</t>
  </si>
  <si>
    <t>Tuesday, April 6, 2021</t>
  </si>
  <si>
    <t>Wednesday, April 7, 2021</t>
  </si>
  <si>
    <t>Thursday, April 8, 2021</t>
  </si>
  <si>
    <t>Friday, April 9, 2021</t>
  </si>
  <si>
    <t>Monday, April 12, 2021</t>
  </si>
  <si>
    <t>Tuesday, April 13, 2021</t>
  </si>
  <si>
    <t>Wednesday, April 14, 2021</t>
  </si>
  <si>
    <t>Thursday, April 15, 2021</t>
  </si>
  <si>
    <t>Friday, April 16, 2021</t>
  </si>
  <si>
    <t>Monday, April 19, 2021</t>
  </si>
  <si>
    <t>Tuesday, April 20, 2021</t>
  </si>
  <si>
    <t>Wednesday, April 21, 2021</t>
  </si>
  <si>
    <t>Thursday, April 22, 2021</t>
  </si>
  <si>
    <t>Friday, April 23, 2021</t>
  </si>
  <si>
    <t>Monday, April 26, 2021</t>
  </si>
  <si>
    <t>Tuesday, April 27, 2021</t>
  </si>
  <si>
    <t>Wednesday, April 28, 2021</t>
  </si>
  <si>
    <t>Thursday, April 29, 2021</t>
  </si>
  <si>
    <t>Friday, April 30, 2021</t>
  </si>
  <si>
    <t>Monday, May 3, 2021</t>
  </si>
  <si>
    <t>Tuesday, May 4, 2021</t>
  </si>
  <si>
    <t>Wednesday, May 5, 2021</t>
  </si>
  <si>
    <t>Thursday, May 6, 2021</t>
  </si>
  <si>
    <t>Friday, May 7, 2021</t>
  </si>
  <si>
    <t>Monday, May 10, 2021</t>
  </si>
  <si>
    <t>Tuesday, May 11, 2021</t>
  </si>
  <si>
    <t>Wednesday, May 12, 2021</t>
  </si>
  <si>
    <t>Thursday, May 13, 2021</t>
  </si>
  <si>
    <t>Friday, May 14, 2021</t>
  </si>
  <si>
    <t>Monday, May 17, 2021</t>
  </si>
  <si>
    <t>Tuesday, May 18, 2021</t>
  </si>
  <si>
    <t>Wednesday, May 19, 2021</t>
  </si>
  <si>
    <t>Thursday, May 20, 2021</t>
  </si>
  <si>
    <t>Friday, May 21, 2021</t>
  </si>
  <si>
    <t>Monday, May 24, 2021</t>
  </si>
  <si>
    <t>Tuesday, May 25, 2021</t>
  </si>
  <si>
    <t>Wednesday, May 26, 2021</t>
  </si>
  <si>
    <t>Thursday, May 27, 2021</t>
  </si>
  <si>
    <t>Friday, May 28, 2021</t>
  </si>
  <si>
    <t>Tuesday, June 1, 2021</t>
  </si>
  <si>
    <t>Wednesday, June 2, 2021</t>
  </si>
  <si>
    <t>Thursday, June 3, 2021</t>
  </si>
  <si>
    <t>Friday, June 4, 2021</t>
  </si>
  <si>
    <t>Monday, June 7, 2021</t>
  </si>
  <si>
    <t>Tuesday, June 8, 2021</t>
  </si>
  <si>
    <t>Wednesday, June 9, 2021</t>
  </si>
  <si>
    <t>Thursday, June 10, 2021</t>
  </si>
  <si>
    <t>Friday, June 11, 2021</t>
  </si>
  <si>
    <t>Monday, June 14, 2021</t>
  </si>
  <si>
    <t>Tuesday, June 15, 2021</t>
  </si>
  <si>
    <t>Wednesday, June 16, 2021</t>
  </si>
  <si>
    <t>Thursday, June 17, 2021</t>
  </si>
  <si>
    <t>Friday, June 18, 2021</t>
  </si>
  <si>
    <t>Monday, June 21, 2021</t>
  </si>
  <si>
    <t>Tuesday, June 22, 2021</t>
  </si>
  <si>
    <t>Wednesday, June 23, 2021</t>
  </si>
  <si>
    <t>Thursday, June 24, 2021</t>
  </si>
  <si>
    <t>Friday, June 25, 2021</t>
  </si>
  <si>
    <t>Monday, June 28, 2021</t>
  </si>
  <si>
    <t>Tuesday, June 29, 2021</t>
  </si>
  <si>
    <t>Wednesday, June 30, 2021</t>
  </si>
  <si>
    <t>Thursday, July 1, 2021</t>
  </si>
  <si>
    <t>Friday, July 2, 2021</t>
  </si>
  <si>
    <t>Tuesday, July 6, 2021</t>
  </si>
  <si>
    <t>Wednesday, July 7, 2021</t>
  </si>
  <si>
    <t>Thursday, July 8, 2021</t>
  </si>
  <si>
    <t>Friday, July 9, 2021</t>
  </si>
  <si>
    <t>Monday, July 12, 2021</t>
  </si>
  <si>
    <t>Tuesday, July 13, 2021</t>
  </si>
  <si>
    <t>Wednesday, July 14, 2021</t>
  </si>
  <si>
    <t>Thursday, July 15, 2021</t>
  </si>
  <si>
    <t>Friday, July 16, 2021</t>
  </si>
  <si>
    <t>Monday, July 19, 2021</t>
  </si>
  <si>
    <t>Tuesday, July 20, 2021</t>
  </si>
  <si>
    <t>Wednesday, July 21, 2021</t>
  </si>
  <si>
    <t>Thursday, July 22, 2021</t>
  </si>
  <si>
    <t>Friday, July 23, 2021</t>
  </si>
  <si>
    <t>Monday, July 26, 2021</t>
  </si>
  <si>
    <t>Tuesday, July 27, 2021</t>
  </si>
  <si>
    <t>Wednesday, July 28, 2021</t>
  </si>
  <si>
    <t>Thursday, July 29, 2021</t>
  </si>
  <si>
    <t>Friday, July 30, 2021</t>
  </si>
  <si>
    <t>Monday, August 2, 2021</t>
  </si>
  <si>
    <t>Tuesday, August 3, 2021</t>
  </si>
  <si>
    <t>Wednesday, August 4, 2021</t>
  </si>
  <si>
    <t>Thursday, August 5, 2021</t>
  </si>
  <si>
    <t>Friday, August 6, 2021</t>
  </si>
  <si>
    <t>Monday, August 9, 2021</t>
  </si>
  <si>
    <t>Tuesday, August 10, 2021</t>
  </si>
  <si>
    <t>Wednesday, August 11, 2021</t>
  </si>
  <si>
    <t>Thursday, August 12, 2021</t>
  </si>
  <si>
    <t>Friday, August 13, 2021</t>
  </si>
  <si>
    <t>Monday, August 16, 2021</t>
  </si>
  <si>
    <t>Tuesday, August 17, 2021</t>
  </si>
  <si>
    <t>Wednesday, August 18, 2021</t>
  </si>
  <si>
    <t>Thursday, August 19, 2021</t>
  </si>
  <si>
    <t>Friday, August 20, 2021</t>
  </si>
  <si>
    <t>Monday, August 23, 2021</t>
  </si>
  <si>
    <t>Tuesday, August 24, 2021</t>
  </si>
  <si>
    <t>Wednesday, August 25, 2021</t>
  </si>
  <si>
    <t>Thursday, August 26, 2021</t>
  </si>
  <si>
    <t>Friday, August 27, 2021</t>
  </si>
  <si>
    <t>Monday, August 30, 2021</t>
  </si>
  <si>
    <t>Tuesday, August 31, 2021</t>
  </si>
  <si>
    <t>Wednesday, September 1, 2021</t>
  </si>
  <si>
    <t>Thursday, September 2, 2021</t>
  </si>
  <si>
    <t>Friday, September 3, 2021</t>
  </si>
  <si>
    <t>Tuesday, September 7, 2021</t>
  </si>
  <si>
    <t>Wednesday, September 8, 2021</t>
  </si>
  <si>
    <t>Thursday, September 9, 2021</t>
  </si>
  <si>
    <t>Friday, September 10, 2021</t>
  </si>
  <si>
    <t>Monday, September 13, 2021</t>
  </si>
  <si>
    <t>Tuesday, September 14, 2021</t>
  </si>
  <si>
    <t>Wednesday, September 15, 2021</t>
  </si>
  <si>
    <t>Thursday, September 16, 2021</t>
  </si>
  <si>
    <t>Friday, September 17, 2021</t>
  </si>
  <si>
    <t>Monday, September 20, 2021</t>
  </si>
  <si>
    <t>Tuesday, September 21, 2021</t>
  </si>
  <si>
    <t>Wednesday, September 22, 2021</t>
  </si>
  <si>
    <t>Thursday, September 23, 2021</t>
  </si>
  <si>
    <t>Friday, September 24, 2021</t>
  </si>
  <si>
    <t>Monday, September 27, 2021</t>
  </si>
  <si>
    <t>Tuesday, September 28, 2021</t>
  </si>
  <si>
    <t>Wednesday, September 29, 2021</t>
  </si>
  <si>
    <t>Thursday, September 30, 2021</t>
  </si>
  <si>
    <t>Friday, October 1, 2021</t>
  </si>
  <si>
    <t>Monday, October 4, 2021</t>
  </si>
  <si>
    <t>Tuesday, October 5, 2021</t>
  </si>
  <si>
    <t>Wednesday, October 6, 2021</t>
  </si>
  <si>
    <t>Thursday, October 7, 2021</t>
  </si>
  <si>
    <t>Friday, October 8, 2021</t>
  </si>
  <si>
    <t>Monday, October 11, 2021</t>
  </si>
  <si>
    <t>Tuesday, October 12, 2021</t>
  </si>
  <si>
    <t>Wednesday, October 13, 2021</t>
  </si>
  <si>
    <t>Thursday, October 14, 2021</t>
  </si>
  <si>
    <t>Friday, October 15, 2021</t>
  </si>
  <si>
    <t>Monday, October 18, 2021</t>
  </si>
  <si>
    <t>Tuesday, October 19, 2021</t>
  </si>
  <si>
    <t>Wednesday, October 20, 2021</t>
  </si>
  <si>
    <t>Thursday, October 21, 2021</t>
  </si>
  <si>
    <t>Friday, October 22, 2021</t>
  </si>
  <si>
    <t>Monday, October 25, 2021</t>
  </si>
  <si>
    <t>Tuesday, October 26, 2021</t>
  </si>
  <si>
    <t>Wednesday, October 27, 2021</t>
  </si>
  <si>
    <t>Thursday, October 28, 2021</t>
  </si>
  <si>
    <t>Friday, October 29, 2021</t>
  </si>
  <si>
    <t>Monday, November 1, 2021</t>
  </si>
  <si>
    <t>Tuesday, November 2, 2021</t>
  </si>
  <si>
    <t>Wednesday, November 3, 2021</t>
  </si>
  <si>
    <t>Thursday, November 4, 2021</t>
  </si>
  <si>
    <t>Friday, November 5, 2021</t>
  </si>
  <si>
    <t>Monday, November 8, 2021</t>
  </si>
  <si>
    <t>Tuesday, November 9, 2021</t>
  </si>
  <si>
    <t>Wednesday, November 10, 2021</t>
  </si>
  <si>
    <t>Thursday, November 11, 2021</t>
  </si>
  <si>
    <t>Friday, November 12, 2021</t>
  </si>
  <si>
    <t>Monday, November 15, 2021</t>
  </si>
  <si>
    <t>Tuesday, November 16, 2021</t>
  </si>
  <si>
    <t>Wednesday, November 17, 2021</t>
  </si>
  <si>
    <t>Thursday, November 18, 2021</t>
  </si>
  <si>
    <t>Friday, November 19, 2021</t>
  </si>
  <si>
    <t>Monday, November 22, 2021</t>
  </si>
  <si>
    <t>Tuesday, November 23, 2021</t>
  </si>
  <si>
    <t>Wednesday, November 24, 2021</t>
  </si>
  <si>
    <t>Friday, November 26, 2021</t>
  </si>
  <si>
    <t>Monday, November 29, 2021</t>
  </si>
  <si>
    <t>Tuesday, November 30, 2021</t>
  </si>
  <si>
    <t>Wednesday, December 1, 2021</t>
  </si>
  <si>
    <t>Thursday, December 2, 2021</t>
  </si>
  <si>
    <t>Friday, December 3, 2021</t>
  </si>
  <si>
    <t>Monday, December 6, 2021</t>
  </si>
  <si>
    <t>Tuesday, December 7, 2021</t>
  </si>
  <si>
    <t>Wednesday, December 8, 2021</t>
  </si>
  <si>
    <t>Thursday, December 9, 2021</t>
  </si>
  <si>
    <t>Friday, December 10, 2021</t>
  </si>
  <si>
    <t>Monday, December 13, 2021</t>
  </si>
  <si>
    <t>Tuesday, December 14, 2021</t>
  </si>
  <si>
    <t>Wednesday, December 15, 2021</t>
  </si>
  <si>
    <t>Thursday, December 16, 2021</t>
  </si>
  <si>
    <t>Friday, December 17, 2021</t>
  </si>
  <si>
    <t>Monday, December 20, 2021</t>
  </si>
  <si>
    <t>Tuesday, December 21, 2021</t>
  </si>
  <si>
    <t>Wednesday, December 22, 2021</t>
  </si>
  <si>
    <t>Thursday, December 23, 2021</t>
  </si>
  <si>
    <t>Monday, December 27, 2021</t>
  </si>
  <si>
    <t>Tuesday, December 28, 2021</t>
  </si>
  <si>
    <t>Wednesday, December 29, 2021</t>
  </si>
  <si>
    <t>Thursday, December 30, 2021</t>
  </si>
  <si>
    <t>Friday, December 31, 2021</t>
  </si>
  <si>
    <t>Monday, January 3, 2022</t>
  </si>
  <si>
    <t>Tuesday, January 4, 2022</t>
  </si>
  <si>
    <t>Wednesday, January 5, 2022</t>
  </si>
  <si>
    <t>Thursday, January 6, 2022</t>
  </si>
  <si>
    <t>Friday, January 7, 2022</t>
  </si>
  <si>
    <t>Monday, January 10, 2022</t>
  </si>
  <si>
    <t>Tuesday, January 11, 2022</t>
  </si>
  <si>
    <t>Wednesday, January 12, 2022</t>
  </si>
  <si>
    <t>Thursday, January 13, 2022</t>
  </si>
  <si>
    <t>Friday, January 14, 2022</t>
  </si>
  <si>
    <t>Tuesday, January 18, 2022</t>
  </si>
  <si>
    <t>Wednesday, January 19, 2022</t>
  </si>
  <si>
    <t>Thursday, January 20, 2022</t>
  </si>
  <si>
    <t>Friday, January 21, 2022</t>
  </si>
  <si>
    <t>Monday, January 24, 2022</t>
  </si>
  <si>
    <t>Tuesday, January 25, 2022</t>
  </si>
  <si>
    <t>Wednesday, January 26, 2022</t>
  </si>
  <si>
    <t>Thursday, January 27, 2022</t>
  </si>
  <si>
    <t>Friday, January 28, 2022</t>
  </si>
  <si>
    <t>Monday, January 31, 2022</t>
  </si>
  <si>
    <t>Tuesday, February 1, 2022</t>
  </si>
  <si>
    <t>Wednesday, February 2, 2022</t>
  </si>
  <si>
    <t>Thursday, February 3, 2022</t>
  </si>
  <si>
    <t>Friday, February 4, 2022</t>
  </si>
  <si>
    <t>Monday, February 7, 2022</t>
  </si>
  <si>
    <t>Tuesday, February 8, 2022</t>
  </si>
  <si>
    <t>Wednesday, February 9, 2022</t>
  </si>
  <si>
    <t>Thursday, February 10, 2022</t>
  </si>
  <si>
    <t>Friday, February 11, 2022</t>
  </si>
  <si>
    <t>Monday, February 14, 2022</t>
  </si>
  <si>
    <t>Tuesday, February 15, 2022</t>
  </si>
  <si>
    <t>Wednesday, February 16, 2022</t>
  </si>
  <si>
    <t>Thursday, February 17, 2022</t>
  </si>
  <si>
    <t>Friday, February 18, 2022</t>
  </si>
  <si>
    <t>Tuesday, February 22, 2022</t>
  </si>
  <si>
    <t>Wednesday, February 23, 2022</t>
  </si>
  <si>
    <t>Thursday, February 24, 2022</t>
  </si>
  <si>
    <t>Friday, February 25, 2022</t>
  </si>
  <si>
    <t>Monday, February 28, 2022</t>
  </si>
  <si>
    <t>Tuesday, March 1, 2022</t>
  </si>
  <si>
    <t>Wednesday, March 2, 2022</t>
  </si>
  <si>
    <t>Thursday, March 3, 2022</t>
  </si>
  <si>
    <t>Friday, March 4, 2022</t>
  </si>
  <si>
    <t>Monday, March 7, 2022</t>
  </si>
  <si>
    <t>Tuesday, March 8, 2022</t>
  </si>
  <si>
    <t>Wednesday, March 9, 2022</t>
  </si>
  <si>
    <t>Thursday, March 10, 2022</t>
  </si>
  <si>
    <t>Friday, March 11, 2022</t>
  </si>
  <si>
    <t>Monday, March 14, 2022</t>
  </si>
  <si>
    <t>Tuesday, March 15, 2022</t>
  </si>
  <si>
    <t>Wednesday, March 16, 2022</t>
  </si>
  <si>
    <t>Thursday, March 17, 2022</t>
  </si>
  <si>
    <t>Friday, March 18, 2022</t>
  </si>
  <si>
    <t>Monday, March 21, 2022</t>
  </si>
  <si>
    <t>Tuesday, March 22, 2022</t>
  </si>
  <si>
    <t>Wednesday, March 23, 2022</t>
  </si>
  <si>
    <t>Thursday, March 24, 2022</t>
  </si>
  <si>
    <t>Friday, March 25, 2022</t>
  </si>
  <si>
    <t>Monday, March 28, 2022</t>
  </si>
  <si>
    <t>Tuesday, March 29, 2022</t>
  </si>
  <si>
    <t>Wednesday, March 30, 2022</t>
  </si>
  <si>
    <t>Thursday, March 31, 2022</t>
  </si>
  <si>
    <t>Friday, April 1, 2022</t>
  </si>
  <si>
    <t>Monday, April 4, 2022</t>
  </si>
  <si>
    <t>Tuesday, April 5, 2022</t>
  </si>
  <si>
    <t>Wednesday, April 6, 2022</t>
  </si>
  <si>
    <t>Thursday, April 7, 2022</t>
  </si>
  <si>
    <t>Friday, April 8, 2022</t>
  </si>
  <si>
    <t>Monday, April 11, 2022</t>
  </si>
  <si>
    <t>Tuesday, April 12, 2022</t>
  </si>
  <si>
    <t>Wednesday, April 13, 2022</t>
  </si>
  <si>
    <t>Thursday, April 14, 2022</t>
  </si>
  <si>
    <t>Monday, April 18, 2022</t>
  </si>
  <si>
    <t>Tuesday, April 19, 2022</t>
  </si>
  <si>
    <t>Wednesday, April 20, 2022</t>
  </si>
  <si>
    <t>Thursday, April 21, 2022</t>
  </si>
  <si>
    <t>Friday, April 22, 2022</t>
  </si>
  <si>
    <t>Monday, April 25, 2022</t>
  </si>
  <si>
    <t>Tuesday, April 26, 2022</t>
  </si>
  <si>
    <t>Wednesday, April 27, 2022</t>
  </si>
  <si>
    <t>Thursday, April 28, 2022</t>
  </si>
  <si>
    <t>Friday, April 29, 2022</t>
  </si>
  <si>
    <t>Monday, May 2, 2022</t>
  </si>
  <si>
    <t>Tuesday, May 3, 2022</t>
  </si>
  <si>
    <t>Wednesday, May 4, 2022</t>
  </si>
  <si>
    <t>Thursday, May 5, 2022</t>
  </si>
  <si>
    <t>Friday, May 6, 2022</t>
  </si>
  <si>
    <t>Monday, May 9, 2022</t>
  </si>
  <si>
    <t>Tuesday, May 10, 2022</t>
  </si>
  <si>
    <t>Wednesday, May 11, 2022</t>
  </si>
  <si>
    <t>Thursday, May 12, 2022</t>
  </si>
  <si>
    <t>Friday, May 13, 2022</t>
  </si>
  <si>
    <t>Monday, May 16, 2022</t>
  </si>
  <si>
    <t>Tuesday, May 17, 2022</t>
  </si>
  <si>
    <t>Wednesday, May 18, 2022</t>
  </si>
  <si>
    <t>Thursday, May 19, 2022</t>
  </si>
  <si>
    <t>Friday, May 20, 2022</t>
  </si>
  <si>
    <t>Monday, May 23, 2022</t>
  </si>
  <si>
    <t>Tuesday, May 24, 2022</t>
  </si>
  <si>
    <t>Wednesday, May 25, 2022</t>
  </si>
  <si>
    <t>Thursday, May 26, 2022</t>
  </si>
  <si>
    <t>Friday, May 27, 2022</t>
  </si>
  <si>
    <t>Tuesday, May 31, 2022</t>
  </si>
  <si>
    <t>Wednesday, June 1, 2022</t>
  </si>
  <si>
    <t>Thursday, June 2, 2022</t>
  </si>
  <si>
    <t>Friday, June 3, 2022</t>
  </si>
  <si>
    <t>Monday, June 6, 2022</t>
  </si>
  <si>
    <t>Tuesday, June 7, 2022</t>
  </si>
  <si>
    <t>Wednesday, June 8, 2022</t>
  </si>
  <si>
    <t>Thursday, June 9, 2022</t>
  </si>
  <si>
    <t>Friday, June 10, 2022</t>
  </si>
  <si>
    <t>Monday, June 13, 2022</t>
  </si>
  <si>
    <t>Tuesday, June 14, 2022</t>
  </si>
  <si>
    <t>Wednesday, June 15, 2022</t>
  </si>
  <si>
    <t>Thursday, June 16, 2022</t>
  </si>
  <si>
    <t>Friday, June 17, 2022</t>
  </si>
  <si>
    <t>Tuesday, June 21, 2022</t>
  </si>
  <si>
    <t>Wednesday, June 22, 2022</t>
  </si>
  <si>
    <t>Thursday, June 23, 2022</t>
  </si>
  <si>
    <t>Friday, June 24, 2022</t>
  </si>
  <si>
    <t>Monday, June 27, 2022</t>
  </si>
  <si>
    <t>Tuesday, June 28, 2022</t>
  </si>
  <si>
    <t>Wednesday, June 29, 2022</t>
  </si>
  <si>
    <t>Thursday, June 30, 2022</t>
  </si>
  <si>
    <t>Friday, July 1, 2022</t>
  </si>
  <si>
    <t>Tuesday, July 5, 2022</t>
  </si>
  <si>
    <t>Wednesday, July 6, 2022</t>
  </si>
  <si>
    <t>Thursday, July 7, 2022</t>
  </si>
  <si>
    <t>Friday, July 8, 2022</t>
  </si>
  <si>
    <t>Monday, July 11, 2022</t>
  </si>
  <si>
    <t>Tuesday, July 12, 2022</t>
  </si>
  <si>
    <t>Wednesday, July 13, 2022</t>
  </si>
  <si>
    <t>Thursday, July 14, 2022</t>
  </si>
  <si>
    <t>Friday, July 15, 2022</t>
  </si>
  <si>
    <t>Monday, July 18, 2022</t>
  </si>
  <si>
    <t>Tuesday, July 19, 2022</t>
  </si>
  <si>
    <t>Wednesday, July 20, 2022</t>
  </si>
  <si>
    <t>Thursday, July 21, 2022</t>
  </si>
  <si>
    <t>Friday, July 22, 2022</t>
  </si>
  <si>
    <t>Monday, July 25, 2022</t>
  </si>
  <si>
    <t>Tuesday, July 26, 2022</t>
  </si>
  <si>
    <t>Wednesday, July 27, 2022</t>
  </si>
  <si>
    <t>Thursday, July 28, 2022</t>
  </si>
  <si>
    <t>Friday, July 29, 2022</t>
  </si>
  <si>
    <t>Monday, August 1, 2022</t>
  </si>
  <si>
    <t>Tuesday, August 2, 2022</t>
  </si>
  <si>
    <t>Wednesday, August 3, 2022</t>
  </si>
  <si>
    <t>Thursday, August 4, 2022</t>
  </si>
  <si>
    <t>Friday, August 5, 2022</t>
  </si>
  <si>
    <t>Monday, August 8, 2022</t>
  </si>
  <si>
    <t>Tuesday, August 9, 2022</t>
  </si>
  <si>
    <t>Wednesday, August 10, 2022</t>
  </si>
  <si>
    <t>Thursday, August 11, 2022</t>
  </si>
  <si>
    <t>Friday, August 12, 2022</t>
  </si>
  <si>
    <t>Monday, August 15, 2022</t>
  </si>
  <si>
    <t>Tuesday, August 16, 2022</t>
  </si>
  <si>
    <t>Wednesday, August 17, 2022</t>
  </si>
  <si>
    <t>Thursday, August 18, 2022</t>
  </si>
  <si>
    <t>Friday, August 19, 2022</t>
  </si>
  <si>
    <t>Monday, August 22, 2022</t>
  </si>
  <si>
    <t>Tuesday, August 23, 2022</t>
  </si>
  <si>
    <t>Wednesday, August 24, 2022</t>
  </si>
  <si>
    <t>Thursday, August 25, 2022</t>
  </si>
  <si>
    <t>Friday, August 26, 2022</t>
  </si>
  <si>
    <t>Monday, August 29, 2022</t>
  </si>
  <si>
    <t>Tuesday, August 30, 2022</t>
  </si>
  <si>
    <t>Wednesday, August 31, 2022</t>
  </si>
  <si>
    <t>Thursday, September 1, 2022</t>
  </si>
  <si>
    <t>Friday, September 2, 2022</t>
  </si>
  <si>
    <t>Tuesday, September 6, 2022</t>
  </si>
  <si>
    <t>Wednesday, September 7, 2022</t>
  </si>
  <si>
    <t>Thursday, September 8, 2022</t>
  </si>
  <si>
    <t>Friday, September 9, 2022</t>
  </si>
  <si>
    <t>Monday, September 12, 2022</t>
  </si>
  <si>
    <t>Tuesday, September 13, 2022</t>
  </si>
  <si>
    <t>Wednesday, September 14, 2022</t>
  </si>
  <si>
    <t>Thursday, September 15, 2022</t>
  </si>
  <si>
    <t>Friday, September 16, 2022</t>
  </si>
  <si>
    <t>Monday, September 19, 2022</t>
  </si>
  <si>
    <t>Tuesday, September 20, 2022</t>
  </si>
  <si>
    <t>Wednesday, September 21, 2022</t>
  </si>
  <si>
    <t>Thursday, September 22, 2022</t>
  </si>
  <si>
    <t>Friday, September 23, 2022</t>
  </si>
  <si>
    <t>Monday, September 26, 2022</t>
  </si>
  <si>
    <t>Tuesday, September 27, 2022</t>
  </si>
  <si>
    <t>Wednesday, September 28, 2022</t>
  </si>
  <si>
    <t>Thursday, September 29, 2022</t>
  </si>
  <si>
    <t>Friday, September 30, 2022</t>
  </si>
  <si>
    <t>Monday, October 3, 2022</t>
  </si>
  <si>
    <t>Tuesday, October 4, 2022</t>
  </si>
  <si>
    <t>Wednesday, October 5, 2022</t>
  </si>
  <si>
    <t>Thursday, October 6, 2022</t>
  </si>
  <si>
    <t>Friday, October 7, 2022</t>
  </si>
  <si>
    <t>Monday, October 10, 2022</t>
  </si>
  <si>
    <t>Tuesday, October 11, 2022</t>
  </si>
  <si>
    <t>Wednesday, October 12, 2022</t>
  </si>
  <si>
    <t>Thursday, October 13, 2022</t>
  </si>
  <si>
    <t>Friday, October 14, 2022</t>
  </si>
  <si>
    <t>Monday, October 17, 2022</t>
  </si>
  <si>
    <t>Tuesday, October 18, 2022</t>
  </si>
  <si>
    <t>Wednesday, October 19, 2022</t>
  </si>
  <si>
    <t>Thursday, October 20, 2022</t>
  </si>
  <si>
    <t>Friday, October 21, 2022</t>
  </si>
  <si>
    <t>Monday, October 24, 2022</t>
  </si>
  <si>
    <t>Tuesday, October 25, 2022</t>
  </si>
  <si>
    <t>Wednesday, October 26, 2022</t>
  </si>
  <si>
    <t>Thursday, October 27, 2022</t>
  </si>
  <si>
    <t>Friday, October 28, 2022</t>
  </si>
  <si>
    <t>Monday, October 31, 2022</t>
  </si>
  <si>
    <t>Tuesday, November 1, 2022</t>
  </si>
  <si>
    <t>Wednesday, November 2, 2022</t>
  </si>
  <si>
    <t>Thursday, November 3, 2022</t>
  </si>
  <si>
    <t>Friday, November 4, 2022</t>
  </si>
  <si>
    <t>Monday, November 7, 2022</t>
  </si>
  <si>
    <t>Tuesday, November 8, 2022</t>
  </si>
  <si>
    <t>Wednesday, November 9, 2022</t>
  </si>
  <si>
    <t>Thursday, November 10, 2022</t>
  </si>
  <si>
    <t>Friday, November 11, 2022</t>
  </si>
  <si>
    <t>Monday, November 14, 2022</t>
  </si>
  <si>
    <t>Tuesday, November 15, 2022</t>
  </si>
  <si>
    <t>Wednesday, November 16, 2022</t>
  </si>
  <si>
    <t>Thursday, November 17, 2022</t>
  </si>
  <si>
    <t>Friday, November 18, 2022</t>
  </si>
  <si>
    <t>Monday, November 21, 2022</t>
  </si>
  <si>
    <t>Tuesday, November 22, 2022</t>
  </si>
  <si>
    <t>Wednesday, November 23, 2022</t>
  </si>
  <si>
    <t>Friday, November 25, 2022</t>
  </si>
  <si>
    <t>Monday, November 28, 2022</t>
  </si>
  <si>
    <t>Tuesday, November 29, 2022</t>
  </si>
  <si>
    <t>Wednesday, November 30, 2022</t>
  </si>
  <si>
    <t>Thursday, December 1, 2022</t>
  </si>
  <si>
    <t>Friday, December 2, 2022</t>
  </si>
  <si>
    <t>Monday, December 5, 2022</t>
  </si>
  <si>
    <t>Tuesday, December 6, 2022</t>
  </si>
  <si>
    <t>Wednesday, December 7, 2022</t>
  </si>
  <si>
    <t>Thursday, December 8, 2022</t>
  </si>
  <si>
    <t>Friday, December 9, 2022</t>
  </si>
  <si>
    <t>Monday, December 12, 2022</t>
  </si>
  <si>
    <t>Tuesday, December 13, 2022</t>
  </si>
  <si>
    <t>Wednesday, December 14, 2022</t>
  </si>
  <si>
    <t>Thursday, December 15, 2022</t>
  </si>
  <si>
    <t>Friday, December 16, 2022</t>
  </si>
  <si>
    <t>Monday, December 19, 2022</t>
  </si>
  <si>
    <t>Tuesday, December 20, 2022</t>
  </si>
  <si>
    <t>Wednesday, December 21, 2022</t>
  </si>
  <si>
    <t>Thursday, December 22, 2022</t>
  </si>
  <si>
    <t>Friday, December 23, 2022</t>
  </si>
  <si>
    <t>Tuesday, December 27, 2022</t>
  </si>
  <si>
    <t>Wednesday, December 28, 2022</t>
  </si>
  <si>
    <t>Thursday, December 29, 2022</t>
  </si>
  <si>
    <t>Friday, December 30, 2022</t>
  </si>
  <si>
    <t>Tuesday, January 3, 2023</t>
  </si>
  <si>
    <t>Wednesday, January 4, 2023</t>
  </si>
  <si>
    <t>Thursday, January 5, 2023</t>
  </si>
  <si>
    <t>Friday, January 6, 2023</t>
  </si>
  <si>
    <t>Monday, January 9, 2023</t>
  </si>
  <si>
    <t>Tuesday, January 10, 2023</t>
  </si>
  <si>
    <t>Wednesday, January 11, 2023</t>
  </si>
  <si>
    <t>Thursday, January 12, 2023</t>
  </si>
  <si>
    <t>Friday, January 13, 2023</t>
  </si>
  <si>
    <t>Tuesday, January 17, 2023</t>
  </si>
  <si>
    <t>Wednesday, January 18, 2023</t>
  </si>
  <si>
    <t>Thursday, January 19, 2023</t>
  </si>
  <si>
    <t>Friday, January 20, 2023</t>
  </si>
  <si>
    <t>Monday, January 23, 2023</t>
  </si>
  <si>
    <t>Tuesday, January 24, 2023</t>
  </si>
  <si>
    <t>Wednesday, January 25, 2023</t>
  </si>
  <si>
    <t>Thursday, January 26, 2023</t>
  </si>
  <si>
    <t>Friday, January 27, 2023</t>
  </si>
  <si>
    <t>Monday, January 30, 2023</t>
  </si>
  <si>
    <t>Tuesday, January 31, 2023</t>
  </si>
  <si>
    <t>Wednesday, February 1, 2023</t>
  </si>
  <si>
    <t>Thursday, February 2, 2023</t>
  </si>
  <si>
    <t>Friday, February 3, 2023</t>
  </si>
  <si>
    <t>Monday, February 6, 2023</t>
  </si>
  <si>
    <t>Tuesday, February 7, 2023</t>
  </si>
  <si>
    <t>Wednesday, February 8, 2023</t>
  </si>
  <si>
    <t>Thursday, February 9, 2023</t>
  </si>
  <si>
    <t>Friday, February 10, 2023</t>
  </si>
  <si>
    <t>Monday, February 13, 2023</t>
  </si>
  <si>
    <t>Tuesday, February 14, 2023</t>
  </si>
  <si>
    <t>Wednesday, February 15, 2023</t>
  </si>
  <si>
    <t>Thursday, February 16, 2023</t>
  </si>
  <si>
    <t>Friday, February 17, 2023</t>
  </si>
  <si>
    <t>Tuesday, February 21, 2023</t>
  </si>
  <si>
    <t>Wednesday, February 22, 2023</t>
  </si>
  <si>
    <t>Thursday, February 23, 2023</t>
  </si>
  <si>
    <t>Friday, February 24, 2023</t>
  </si>
  <si>
    <t>Monday, February 27, 2023</t>
  </si>
  <si>
    <t>Tuesday, February 28, 2023</t>
  </si>
  <si>
    <t>Wednesday, March 1, 2023</t>
  </si>
  <si>
    <t>Thursday, March 2, 2023</t>
  </si>
  <si>
    <t>Friday, March 3, 2023</t>
  </si>
  <si>
    <t>Monday, March 6, 2023</t>
  </si>
  <si>
    <t>Tuesday, March 7, 2023</t>
  </si>
  <si>
    <t>Wednesday, March 8, 2023</t>
  </si>
  <si>
    <t>Thursday, March 9, 2023</t>
  </si>
  <si>
    <t>Friday, March 10, 2023</t>
  </si>
  <si>
    <t>Monday, March 13, 2023</t>
  </si>
  <si>
    <t>Tuesday, March 14, 2023</t>
  </si>
  <si>
    <t>Wednesday, March 15, 2023</t>
  </si>
  <si>
    <t>Thursday, March 16, 2023</t>
  </si>
  <si>
    <t>Friday, March 17, 2023</t>
  </si>
  <si>
    <t>Monday, March 20, 2023</t>
  </si>
  <si>
    <t>Tuesday, March 21, 2023</t>
  </si>
  <si>
    <t>Wednesday, March 22, 2023</t>
  </si>
  <si>
    <t>Thursday, March 23, 2023</t>
  </si>
  <si>
    <t>Friday, March 24, 2023</t>
  </si>
  <si>
    <t>Monday, March 27, 2023</t>
  </si>
  <si>
    <t>Tuesday, March 28, 2023</t>
  </si>
  <si>
    <t>Wednesday, March 29, 2023</t>
  </si>
  <si>
    <t>Thursday, March 30, 2023</t>
  </si>
  <si>
    <t>Friday, March 31, 2023</t>
  </si>
  <si>
    <t>Monday, April 3, 2023</t>
  </si>
  <si>
    <t>Tuesday, April 4, 2023</t>
  </si>
  <si>
    <t>Wednesday, April 5, 2023</t>
  </si>
  <si>
    <t>Thursday, April 6, 2023</t>
  </si>
  <si>
    <t>Monday, April 10, 2023</t>
  </si>
  <si>
    <t>Tuesday, April 11, 2023</t>
  </si>
  <si>
    <t>Wednesday, April 12, 2023</t>
  </si>
  <si>
    <t>Thursday, April 13, 2023</t>
  </si>
  <si>
    <t>Friday, April 14, 2023</t>
  </si>
  <si>
    <t>Monday, April 17, 2023</t>
  </si>
  <si>
    <t>Tuesday, April 18, 2023</t>
  </si>
  <si>
    <t>Wednesday, April 19, 2023</t>
  </si>
  <si>
    <t>Thursday, April 20, 2023</t>
  </si>
  <si>
    <t>Friday, April 21, 2023</t>
  </si>
  <si>
    <t>Monday, April 24, 2023</t>
  </si>
  <si>
    <t>Tuesday, April 25, 2023</t>
  </si>
  <si>
    <t>Wednesday, April 26, 2023</t>
  </si>
  <si>
    <t>Thursday, April 27, 2023</t>
  </si>
  <si>
    <t>Friday, April 28, 2023</t>
  </si>
  <si>
    <t>Monday, May 1, 2023</t>
  </si>
  <si>
    <t>Tuesday, May 2, 2023</t>
  </si>
  <si>
    <t>Wednesday, May 3, 2023</t>
  </si>
  <si>
    <t>Thursday, May 4, 2023</t>
  </si>
  <si>
    <t>Friday, May 5, 2023</t>
  </si>
  <si>
    <t>Monday, May 8, 2023</t>
  </si>
  <si>
    <t>Tuesday, May 9, 2023</t>
  </si>
  <si>
    <t>Wednesday, May 10, 2023</t>
  </si>
  <si>
    <t>Thursday, May 11, 2023</t>
  </si>
  <si>
    <t>Friday, May 12, 2023</t>
  </si>
  <si>
    <t>Monday, May 15, 2023</t>
  </si>
  <si>
    <t>Tuesday, May 16, 2023</t>
  </si>
  <si>
    <t>Wednesday, May 17, 2023</t>
  </si>
  <si>
    <t>Thursday, May 18, 2023</t>
  </si>
  <si>
    <t>Friday, May 19, 2023</t>
  </si>
  <si>
    <t>Monday, May 22, 2023</t>
  </si>
  <si>
    <t>Tuesday, May 23, 2023</t>
  </si>
  <si>
    <t>Wednesday, May 24, 2023</t>
  </si>
  <si>
    <t>Thursday, May 25, 2023</t>
  </si>
  <si>
    <t>Friday, May 26, 2023</t>
  </si>
  <si>
    <t>Tuesday, May 30, 2023</t>
  </si>
  <si>
    <t>Wednesday, May 31, 2023</t>
  </si>
  <si>
    <t>Thursday, June 1, 2023</t>
  </si>
  <si>
    <t>Friday, June 2, 2023</t>
  </si>
  <si>
    <t>Monday, June 5, 2023</t>
  </si>
  <si>
    <t>Tuesday, June 6, 2023</t>
  </si>
  <si>
    <t>Wednesday, June 7, 2023</t>
  </si>
  <si>
    <t>Thursday, June 8, 2023</t>
  </si>
  <si>
    <t>Friday, June 9, 2023</t>
  </si>
  <si>
    <t>Monday, June 12, 2023</t>
  </si>
  <si>
    <t>Tuesday, June 13, 2023</t>
  </si>
  <si>
    <t>Wednesday, June 14, 2023</t>
  </si>
  <si>
    <t>Thursday, June 15, 2023</t>
  </si>
  <si>
    <t>Friday, June 16, 2023</t>
  </si>
  <si>
    <t>Tuesday, June 20, 2023</t>
  </si>
  <si>
    <t>Wednesday, June 21, 2023</t>
  </si>
  <si>
    <t>Thursday, June 22, 2023</t>
  </si>
  <si>
    <t>Friday, June 23, 2023</t>
  </si>
  <si>
    <t>Monday, June 26, 2023</t>
  </si>
  <si>
    <t>Tuesday, June 27, 2023</t>
  </si>
  <si>
    <t>Wednesday, June 28, 2023</t>
  </si>
  <si>
    <t>Thursday, June 29, 2023</t>
  </si>
  <si>
    <t>Friday, June 30, 2023</t>
  </si>
  <si>
    <t>Monday, July 3, 2023</t>
  </si>
  <si>
    <t>Wednesday, July 5, 2023</t>
  </si>
  <si>
    <t>Thursday, July 6, 2023</t>
  </si>
  <si>
    <t>Friday, July 7, 2023</t>
  </si>
  <si>
    <t>Monday, July 10, 2023</t>
  </si>
  <si>
    <t>Tuesday, July 11, 2023</t>
  </si>
  <si>
    <t>Wednesday, July 12, 2023</t>
  </si>
  <si>
    <t>Thursday, July 13, 2023</t>
  </si>
  <si>
    <t>Friday, July 14, 2023</t>
  </si>
  <si>
    <t>Monday, July 17, 2023</t>
  </si>
  <si>
    <t>Tuesday, July 18, 2023</t>
  </si>
  <si>
    <t>Wednesday, July 19, 2023</t>
  </si>
  <si>
    <t>Thursday, July 20, 2023</t>
  </si>
  <si>
    <t>Friday, July 21, 2023</t>
  </si>
  <si>
    <t>Monday, July 24, 2023</t>
  </si>
  <si>
    <t>Tuesday, July 25, 2023</t>
  </si>
  <si>
    <t>Wednesday, July 26, 2023</t>
  </si>
  <si>
    <t>Thursday, July 27, 2023</t>
  </si>
  <si>
    <t>Friday, July 28, 2023</t>
  </si>
  <si>
    <t>Monday, July 31, 2023</t>
  </si>
  <si>
    <t>Tuesday, August 1, 2023</t>
  </si>
  <si>
    <t>Wednesday, August 2, 2023</t>
  </si>
  <si>
    <t>Thursday, August 3, 2023</t>
  </si>
  <si>
    <t>Friday, August 4, 2023</t>
  </si>
  <si>
    <t>Monday, August 7, 2023</t>
  </si>
  <si>
    <t>Tuesday, August 8, 2023</t>
  </si>
  <si>
    <t>Wednesday, August 9, 2023</t>
  </si>
  <si>
    <t>Thursday, August 10, 2023</t>
  </si>
  <si>
    <t>Friday, August 11, 2023</t>
  </si>
  <si>
    <t>Monday, August 14, 2023</t>
  </si>
  <si>
    <t>Tuesday, August 15, 2023</t>
  </si>
  <si>
    <t>Wednesday, August 16, 2023</t>
  </si>
  <si>
    <t>Thursday, August 17, 2023</t>
  </si>
  <si>
    <t>Friday, August 18, 2023</t>
  </si>
  <si>
    <t>Monday, August 21, 2023</t>
  </si>
  <si>
    <t>Tuesday, August 22, 2023</t>
  </si>
  <si>
    <t>Wednesday, August 23, 2023</t>
  </si>
  <si>
    <t>Thursday, August 24, 2023</t>
  </si>
  <si>
    <t>Friday, August 25, 2023</t>
  </si>
  <si>
    <t>Monday, August 28, 2023</t>
  </si>
  <si>
    <t>Tuesday, August 29, 2023</t>
  </si>
  <si>
    <t>Wednesday, August 30, 2023</t>
  </si>
  <si>
    <t>Thursday, August 31, 2023</t>
  </si>
  <si>
    <t>Friday, September 1, 2023</t>
  </si>
  <si>
    <t>Delta</t>
  </si>
  <si>
    <t>Percentage Upside</t>
  </si>
  <si>
    <t>Years</t>
  </si>
  <si>
    <t>2022</t>
  </si>
  <si>
    <t>Count of Day</t>
  </si>
  <si>
    <t>Column Labels</t>
  </si>
  <si>
    <t>Row Labels</t>
  </si>
  <si>
    <t>Negative</t>
  </si>
  <si>
    <t>Positive</t>
  </si>
  <si>
    <t>Grand Total</t>
  </si>
  <si>
    <t>Qtr1</t>
  </si>
  <si>
    <t>Qtr2</t>
  </si>
  <si>
    <t>Qtr3</t>
  </si>
  <si>
    <t>Qtr4</t>
  </si>
  <si>
    <t>Wednesday</t>
  </si>
  <si>
    <t>Thursday</t>
  </si>
  <si>
    <t>Friday</t>
  </si>
  <si>
    <t>Tuesday</t>
  </si>
  <si>
    <t>Monday</t>
  </si>
  <si>
    <t>Stats for Price Change in Stocks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</si>
  <si>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</si>
  <si>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</si>
  <si>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</si>
  <si>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</si>
  <si>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</si>
  <si>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</si>
  <si>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</si>
  <si>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</si>
  <si>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</si>
  <si>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</si>
  <si>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</si>
  <si>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</si>
  <si>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</si>
  <si>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count</t>
  </si>
  <si>
    <t>mean</t>
  </si>
  <si>
    <t>std</t>
  </si>
  <si>
    <t>min</t>
  </si>
  <si>
    <t>max</t>
  </si>
  <si>
    <t>Dataframe Describe</t>
  </si>
  <si>
    <t>Dataframe Head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</si>
</sst>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2" borderId="1" xfId="0" applyFont="1" applyFill="1" applyBorder="1"/>
    <xf numFmtId="164" fontId="4" fillId="2" borderId="1" xfId="0" applyNumberFormat="1" applyFont="1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wrapText="1"/>
    </xf>
    <xf numFmtId="0" fontId="1" fillId="3" borderId="0" xfId="0" applyFont="1" applyFill="1" applyAlignment="1">
      <alignment wrapText="1"/>
    </xf>
    <xf numFmtId="0" fontId="3" fillId="4" borderId="0" xfId="0" applyFont="1" applyFill="1"/>
    <xf numFmtId="164" fontId="0" fillId="0" borderId="0" xfId="0" applyNumberFormat="1"/>
    <xf numFmtId="10" fontId="0" fillId="0" borderId="0" xfId="1" applyNumberFormat="1" applyFont="1"/>
    <xf numFmtId="0" fontId="1" fillId="2" borderId="0" xfId="0" applyFont="1" applyFill="1"/>
    <xf numFmtId="0" fontId="1" fillId="3" borderId="0" xfId="0" applyFont="1" applyFill="1"/>
    <xf numFmtId="0" fontId="0" fillId="0" borderId="0" xfId="0" applyAlignment="1">
      <alignment horizontal="left"/>
    </xf>
    <xf numFmtId="0" fontId="0" fillId="6" borderId="1" xfId="0" applyFill="1" applyBorder="1"/>
    <xf numFmtId="0" fontId="0" fillId="0" borderId="1" xfId="0" applyBorder="1"/>
    <xf numFmtId="14" fontId="4" fillId="2" borderId="1" xfId="0" applyNumberFormat="1" applyFont="1" applyFill="1" applyBorder="1"/>
    <xf numFmtId="14" fontId="0" fillId="0" borderId="0" xfId="0" applyNumberFormat="1"/>
    <xf numFmtId="9" fontId="0" fillId="0" borderId="0" xfId="0" applyNumberFormat="1"/>
    <xf numFmtId="0" fontId="1" fillId="7" borderId="0" xfId="0" applyFont="1" applyFill="1"/>
    <xf numFmtId="164" fontId="4" fillId="2" borderId="6" xfId="0" applyNumberFormat="1" applyFont="1" applyFill="1" applyBorder="1"/>
    <xf numFmtId="0" fontId="0" fillId="8" borderId="7" xfId="0" applyFill="1" applyBorder="1"/>
    <xf numFmtId="0" fontId="0" fillId="8" borderId="5" xfId="0" applyFill="1" applyBorder="1"/>
    <xf numFmtId="164" fontId="0" fillId="0" borderId="8" xfId="0" applyNumberFormat="1" applyBorder="1"/>
    <xf numFmtId="0" fontId="0" fillId="0" borderId="8" xfId="0" applyBorder="1"/>
    <xf numFmtId="10" fontId="0" fillId="0" borderId="8" xfId="1" applyNumberFormat="1" applyFont="1" applyBorder="1"/>
    <xf numFmtId="0" fontId="5" fillId="5" borderId="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</cellXfs>
  <cellStyles count="2">
    <cellStyle name="Normal" xfId="0" builtinId="0"/>
    <cellStyle name="Percent 2" xfId="1" xr:uid="{2F5BBED4-3B07-C941-B5EB-4A9742868E77}"/>
  </cellStyles>
  <dxfs count="3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b="1"/>
              <a:t>Day-wise</a:t>
            </a:r>
            <a:r>
              <a:rPr lang="en-US" b="1" baseline="0"/>
              <a:t> Stock Opening price for last one year</a:t>
            </a:r>
            <a:endParaRPr lang="en-US" b="1"/>
          </a:p>
        </c:rich>
      </c:tx>
      <c:layout>
        <c:manualLayout>
          <c:xMode val="edge"/>
          <c:yMode val="edge"/>
          <c:x val="0.31545216838607837"/>
          <c:y val="2.76509292164970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769260680021834E-2"/>
          <c:y val="1.1587594272234958E-2"/>
          <c:w val="0.95278379732447971"/>
          <c:h val="0.89339662447257384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Alphabet!$C$1008:$C$1259</c:f>
              <c:numCache>
                <c:formatCode>m/d/yyyy;@</c:formatCode>
                <c:ptCount val="252"/>
                <c:pt idx="0">
                  <c:v>44805</c:v>
                </c:pt>
                <c:pt idx="1">
                  <c:v>44806</c:v>
                </c:pt>
                <c:pt idx="2">
                  <c:v>44810</c:v>
                </c:pt>
                <c:pt idx="3">
                  <c:v>44811</c:v>
                </c:pt>
                <c:pt idx="4">
                  <c:v>44812</c:v>
                </c:pt>
                <c:pt idx="5">
                  <c:v>44813</c:v>
                </c:pt>
                <c:pt idx="6">
                  <c:v>44816</c:v>
                </c:pt>
                <c:pt idx="7">
                  <c:v>44817</c:v>
                </c:pt>
                <c:pt idx="8">
                  <c:v>44818</c:v>
                </c:pt>
                <c:pt idx="9">
                  <c:v>44819</c:v>
                </c:pt>
                <c:pt idx="10">
                  <c:v>44820</c:v>
                </c:pt>
                <c:pt idx="11">
                  <c:v>44823</c:v>
                </c:pt>
                <c:pt idx="12">
                  <c:v>44824</c:v>
                </c:pt>
                <c:pt idx="13">
                  <c:v>44825</c:v>
                </c:pt>
                <c:pt idx="14">
                  <c:v>44826</c:v>
                </c:pt>
                <c:pt idx="15">
                  <c:v>44827</c:v>
                </c:pt>
                <c:pt idx="16">
                  <c:v>44830</c:v>
                </c:pt>
                <c:pt idx="17">
                  <c:v>44831</c:v>
                </c:pt>
                <c:pt idx="18">
                  <c:v>44832</c:v>
                </c:pt>
                <c:pt idx="19">
                  <c:v>44833</c:v>
                </c:pt>
                <c:pt idx="20">
                  <c:v>44834</c:v>
                </c:pt>
                <c:pt idx="21">
                  <c:v>44837</c:v>
                </c:pt>
                <c:pt idx="22">
                  <c:v>44838</c:v>
                </c:pt>
                <c:pt idx="23">
                  <c:v>44839</c:v>
                </c:pt>
                <c:pt idx="24">
                  <c:v>44840</c:v>
                </c:pt>
                <c:pt idx="25">
                  <c:v>44841</c:v>
                </c:pt>
                <c:pt idx="26">
                  <c:v>44844</c:v>
                </c:pt>
                <c:pt idx="27">
                  <c:v>44845</c:v>
                </c:pt>
                <c:pt idx="28">
                  <c:v>44846</c:v>
                </c:pt>
                <c:pt idx="29">
                  <c:v>44847</c:v>
                </c:pt>
                <c:pt idx="30">
                  <c:v>44848</c:v>
                </c:pt>
                <c:pt idx="31">
                  <c:v>44851</c:v>
                </c:pt>
                <c:pt idx="32">
                  <c:v>44852</c:v>
                </c:pt>
                <c:pt idx="33">
                  <c:v>44853</c:v>
                </c:pt>
                <c:pt idx="34">
                  <c:v>44854</c:v>
                </c:pt>
                <c:pt idx="35">
                  <c:v>44855</c:v>
                </c:pt>
                <c:pt idx="36">
                  <c:v>44858</c:v>
                </c:pt>
                <c:pt idx="37">
                  <c:v>44859</c:v>
                </c:pt>
                <c:pt idx="38">
                  <c:v>44860</c:v>
                </c:pt>
                <c:pt idx="39">
                  <c:v>44861</c:v>
                </c:pt>
                <c:pt idx="40">
                  <c:v>44862</c:v>
                </c:pt>
                <c:pt idx="41">
                  <c:v>44865</c:v>
                </c:pt>
                <c:pt idx="42">
                  <c:v>44866</c:v>
                </c:pt>
                <c:pt idx="43">
                  <c:v>44867</c:v>
                </c:pt>
                <c:pt idx="44">
                  <c:v>44868</c:v>
                </c:pt>
                <c:pt idx="45">
                  <c:v>44869</c:v>
                </c:pt>
                <c:pt idx="46">
                  <c:v>44872</c:v>
                </c:pt>
                <c:pt idx="47">
                  <c:v>44873</c:v>
                </c:pt>
                <c:pt idx="48">
                  <c:v>44874</c:v>
                </c:pt>
                <c:pt idx="49">
                  <c:v>44875</c:v>
                </c:pt>
                <c:pt idx="50">
                  <c:v>44876</c:v>
                </c:pt>
                <c:pt idx="51">
                  <c:v>44879</c:v>
                </c:pt>
                <c:pt idx="52">
                  <c:v>44880</c:v>
                </c:pt>
                <c:pt idx="53">
                  <c:v>44881</c:v>
                </c:pt>
                <c:pt idx="54">
                  <c:v>44882</c:v>
                </c:pt>
                <c:pt idx="55">
                  <c:v>44883</c:v>
                </c:pt>
                <c:pt idx="56">
                  <c:v>44886</c:v>
                </c:pt>
                <c:pt idx="57">
                  <c:v>44887</c:v>
                </c:pt>
                <c:pt idx="58">
                  <c:v>44888</c:v>
                </c:pt>
                <c:pt idx="59">
                  <c:v>44890</c:v>
                </c:pt>
                <c:pt idx="60">
                  <c:v>44893</c:v>
                </c:pt>
                <c:pt idx="61">
                  <c:v>44894</c:v>
                </c:pt>
                <c:pt idx="62">
                  <c:v>44895</c:v>
                </c:pt>
                <c:pt idx="63">
                  <c:v>44896</c:v>
                </c:pt>
                <c:pt idx="64">
                  <c:v>44897</c:v>
                </c:pt>
                <c:pt idx="65">
                  <c:v>44900</c:v>
                </c:pt>
                <c:pt idx="66">
                  <c:v>44901</c:v>
                </c:pt>
                <c:pt idx="67">
                  <c:v>44902</c:v>
                </c:pt>
                <c:pt idx="68">
                  <c:v>44903</c:v>
                </c:pt>
                <c:pt idx="69">
                  <c:v>44904</c:v>
                </c:pt>
                <c:pt idx="70">
                  <c:v>44907</c:v>
                </c:pt>
                <c:pt idx="71">
                  <c:v>44908</c:v>
                </c:pt>
                <c:pt idx="72">
                  <c:v>44909</c:v>
                </c:pt>
                <c:pt idx="73">
                  <c:v>44910</c:v>
                </c:pt>
                <c:pt idx="74">
                  <c:v>44911</c:v>
                </c:pt>
                <c:pt idx="75">
                  <c:v>44914</c:v>
                </c:pt>
                <c:pt idx="76">
                  <c:v>44915</c:v>
                </c:pt>
                <c:pt idx="77">
                  <c:v>44916</c:v>
                </c:pt>
                <c:pt idx="78">
                  <c:v>44917</c:v>
                </c:pt>
                <c:pt idx="79">
                  <c:v>44918</c:v>
                </c:pt>
                <c:pt idx="80">
                  <c:v>44922</c:v>
                </c:pt>
                <c:pt idx="81">
                  <c:v>44923</c:v>
                </c:pt>
                <c:pt idx="82">
                  <c:v>44924</c:v>
                </c:pt>
                <c:pt idx="83">
                  <c:v>44925</c:v>
                </c:pt>
                <c:pt idx="84">
                  <c:v>44929</c:v>
                </c:pt>
                <c:pt idx="85">
                  <c:v>44930</c:v>
                </c:pt>
                <c:pt idx="86">
                  <c:v>44931</c:v>
                </c:pt>
                <c:pt idx="87">
                  <c:v>44932</c:v>
                </c:pt>
                <c:pt idx="88">
                  <c:v>44935</c:v>
                </c:pt>
                <c:pt idx="89">
                  <c:v>44936</c:v>
                </c:pt>
                <c:pt idx="90">
                  <c:v>44937</c:v>
                </c:pt>
                <c:pt idx="91">
                  <c:v>44938</c:v>
                </c:pt>
                <c:pt idx="92">
                  <c:v>44939</c:v>
                </c:pt>
                <c:pt idx="93">
                  <c:v>44943</c:v>
                </c:pt>
                <c:pt idx="94">
                  <c:v>44944</c:v>
                </c:pt>
                <c:pt idx="95">
                  <c:v>44945</c:v>
                </c:pt>
                <c:pt idx="96">
                  <c:v>44946</c:v>
                </c:pt>
                <c:pt idx="97">
                  <c:v>44949</c:v>
                </c:pt>
                <c:pt idx="98">
                  <c:v>44950</c:v>
                </c:pt>
                <c:pt idx="99">
                  <c:v>44951</c:v>
                </c:pt>
                <c:pt idx="100">
                  <c:v>44952</c:v>
                </c:pt>
                <c:pt idx="101">
                  <c:v>44953</c:v>
                </c:pt>
                <c:pt idx="102">
                  <c:v>44956</c:v>
                </c:pt>
                <c:pt idx="103">
                  <c:v>44957</c:v>
                </c:pt>
                <c:pt idx="104">
                  <c:v>44958</c:v>
                </c:pt>
                <c:pt idx="105">
                  <c:v>44959</c:v>
                </c:pt>
                <c:pt idx="106">
                  <c:v>44960</c:v>
                </c:pt>
                <c:pt idx="107">
                  <c:v>44963</c:v>
                </c:pt>
                <c:pt idx="108">
                  <c:v>44964</c:v>
                </c:pt>
                <c:pt idx="109">
                  <c:v>44965</c:v>
                </c:pt>
                <c:pt idx="110">
                  <c:v>44966</c:v>
                </c:pt>
                <c:pt idx="111">
                  <c:v>44967</c:v>
                </c:pt>
                <c:pt idx="112">
                  <c:v>44970</c:v>
                </c:pt>
                <c:pt idx="113">
                  <c:v>44971</c:v>
                </c:pt>
                <c:pt idx="114">
                  <c:v>44972</c:v>
                </c:pt>
                <c:pt idx="115">
                  <c:v>44973</c:v>
                </c:pt>
                <c:pt idx="116">
                  <c:v>44974</c:v>
                </c:pt>
                <c:pt idx="117">
                  <c:v>44978</c:v>
                </c:pt>
                <c:pt idx="118">
                  <c:v>44979</c:v>
                </c:pt>
                <c:pt idx="119">
                  <c:v>44980</c:v>
                </c:pt>
                <c:pt idx="120">
                  <c:v>44981</c:v>
                </c:pt>
                <c:pt idx="121">
                  <c:v>44984</c:v>
                </c:pt>
                <c:pt idx="122">
                  <c:v>44985</c:v>
                </c:pt>
                <c:pt idx="123">
                  <c:v>44986</c:v>
                </c:pt>
                <c:pt idx="124">
                  <c:v>44987</c:v>
                </c:pt>
                <c:pt idx="125">
                  <c:v>44988</c:v>
                </c:pt>
                <c:pt idx="126">
                  <c:v>44991</c:v>
                </c:pt>
                <c:pt idx="127">
                  <c:v>44992</c:v>
                </c:pt>
                <c:pt idx="128">
                  <c:v>44993</c:v>
                </c:pt>
                <c:pt idx="129">
                  <c:v>44994</c:v>
                </c:pt>
                <c:pt idx="130">
                  <c:v>44995</c:v>
                </c:pt>
                <c:pt idx="131">
                  <c:v>44998</c:v>
                </c:pt>
                <c:pt idx="132">
                  <c:v>44999</c:v>
                </c:pt>
                <c:pt idx="133">
                  <c:v>45000</c:v>
                </c:pt>
                <c:pt idx="134">
                  <c:v>45001</c:v>
                </c:pt>
                <c:pt idx="135">
                  <c:v>45002</c:v>
                </c:pt>
                <c:pt idx="136">
                  <c:v>45005</c:v>
                </c:pt>
                <c:pt idx="137">
                  <c:v>45006</c:v>
                </c:pt>
                <c:pt idx="138">
                  <c:v>45007</c:v>
                </c:pt>
                <c:pt idx="139">
                  <c:v>45008</c:v>
                </c:pt>
                <c:pt idx="140">
                  <c:v>45009</c:v>
                </c:pt>
                <c:pt idx="141">
                  <c:v>45012</c:v>
                </c:pt>
                <c:pt idx="142">
                  <c:v>45013</c:v>
                </c:pt>
                <c:pt idx="143">
                  <c:v>45014</c:v>
                </c:pt>
                <c:pt idx="144">
                  <c:v>45015</c:v>
                </c:pt>
                <c:pt idx="145">
                  <c:v>45016</c:v>
                </c:pt>
                <c:pt idx="146">
                  <c:v>45019</c:v>
                </c:pt>
                <c:pt idx="147">
                  <c:v>45020</c:v>
                </c:pt>
                <c:pt idx="148">
                  <c:v>45021</c:v>
                </c:pt>
                <c:pt idx="149">
                  <c:v>45022</c:v>
                </c:pt>
                <c:pt idx="150">
                  <c:v>45026</c:v>
                </c:pt>
                <c:pt idx="151">
                  <c:v>45027</c:v>
                </c:pt>
                <c:pt idx="152">
                  <c:v>45028</c:v>
                </c:pt>
                <c:pt idx="153">
                  <c:v>45029</c:v>
                </c:pt>
                <c:pt idx="154">
                  <c:v>45030</c:v>
                </c:pt>
                <c:pt idx="155">
                  <c:v>45033</c:v>
                </c:pt>
                <c:pt idx="156">
                  <c:v>45034</c:v>
                </c:pt>
                <c:pt idx="157">
                  <c:v>45035</c:v>
                </c:pt>
                <c:pt idx="158">
                  <c:v>45036</c:v>
                </c:pt>
                <c:pt idx="159">
                  <c:v>45037</c:v>
                </c:pt>
                <c:pt idx="160">
                  <c:v>45040</c:v>
                </c:pt>
                <c:pt idx="161">
                  <c:v>45041</c:v>
                </c:pt>
                <c:pt idx="162">
                  <c:v>45042</c:v>
                </c:pt>
                <c:pt idx="163">
                  <c:v>45043</c:v>
                </c:pt>
                <c:pt idx="164">
                  <c:v>45044</c:v>
                </c:pt>
                <c:pt idx="165">
                  <c:v>45047</c:v>
                </c:pt>
                <c:pt idx="166">
                  <c:v>45048</c:v>
                </c:pt>
                <c:pt idx="167">
                  <c:v>45049</c:v>
                </c:pt>
                <c:pt idx="168">
                  <c:v>45050</c:v>
                </c:pt>
                <c:pt idx="169">
                  <c:v>45051</c:v>
                </c:pt>
                <c:pt idx="170">
                  <c:v>45054</c:v>
                </c:pt>
                <c:pt idx="171">
                  <c:v>45055</c:v>
                </c:pt>
                <c:pt idx="172">
                  <c:v>45056</c:v>
                </c:pt>
                <c:pt idx="173">
                  <c:v>45057</c:v>
                </c:pt>
                <c:pt idx="174">
                  <c:v>45058</c:v>
                </c:pt>
                <c:pt idx="175">
                  <c:v>45061</c:v>
                </c:pt>
                <c:pt idx="176">
                  <c:v>45062</c:v>
                </c:pt>
                <c:pt idx="177">
                  <c:v>45063</c:v>
                </c:pt>
                <c:pt idx="178">
                  <c:v>45064</c:v>
                </c:pt>
                <c:pt idx="179">
                  <c:v>45065</c:v>
                </c:pt>
                <c:pt idx="180">
                  <c:v>45068</c:v>
                </c:pt>
                <c:pt idx="181">
                  <c:v>45069</c:v>
                </c:pt>
                <c:pt idx="182">
                  <c:v>45070</c:v>
                </c:pt>
                <c:pt idx="183">
                  <c:v>45071</c:v>
                </c:pt>
                <c:pt idx="184">
                  <c:v>45072</c:v>
                </c:pt>
                <c:pt idx="185">
                  <c:v>45076</c:v>
                </c:pt>
                <c:pt idx="186">
                  <c:v>45077</c:v>
                </c:pt>
                <c:pt idx="187">
                  <c:v>45078</c:v>
                </c:pt>
                <c:pt idx="188">
                  <c:v>45079</c:v>
                </c:pt>
                <c:pt idx="189">
                  <c:v>45082</c:v>
                </c:pt>
                <c:pt idx="190">
                  <c:v>45083</c:v>
                </c:pt>
                <c:pt idx="191">
                  <c:v>45084</c:v>
                </c:pt>
                <c:pt idx="192">
                  <c:v>45085</c:v>
                </c:pt>
                <c:pt idx="193">
                  <c:v>45086</c:v>
                </c:pt>
                <c:pt idx="194">
                  <c:v>45089</c:v>
                </c:pt>
                <c:pt idx="195">
                  <c:v>45090</c:v>
                </c:pt>
                <c:pt idx="196">
                  <c:v>45091</c:v>
                </c:pt>
                <c:pt idx="197">
                  <c:v>45092</c:v>
                </c:pt>
                <c:pt idx="198">
                  <c:v>45093</c:v>
                </c:pt>
                <c:pt idx="199">
                  <c:v>45097</c:v>
                </c:pt>
                <c:pt idx="200">
                  <c:v>45098</c:v>
                </c:pt>
                <c:pt idx="201">
                  <c:v>45099</c:v>
                </c:pt>
                <c:pt idx="202">
                  <c:v>45100</c:v>
                </c:pt>
                <c:pt idx="203">
                  <c:v>45103</c:v>
                </c:pt>
                <c:pt idx="204">
                  <c:v>45104</c:v>
                </c:pt>
                <c:pt idx="205">
                  <c:v>45105</c:v>
                </c:pt>
                <c:pt idx="206">
                  <c:v>45106</c:v>
                </c:pt>
                <c:pt idx="207">
                  <c:v>45107</c:v>
                </c:pt>
                <c:pt idx="208">
                  <c:v>45110</c:v>
                </c:pt>
                <c:pt idx="209">
                  <c:v>45112</c:v>
                </c:pt>
                <c:pt idx="210">
                  <c:v>45113</c:v>
                </c:pt>
                <c:pt idx="211">
                  <c:v>45114</c:v>
                </c:pt>
                <c:pt idx="212">
                  <c:v>45117</c:v>
                </c:pt>
                <c:pt idx="213">
                  <c:v>45118</c:v>
                </c:pt>
                <c:pt idx="214">
                  <c:v>45119</c:v>
                </c:pt>
                <c:pt idx="215">
                  <c:v>45120</c:v>
                </c:pt>
                <c:pt idx="216">
                  <c:v>45121</c:v>
                </c:pt>
                <c:pt idx="217">
                  <c:v>45124</c:v>
                </c:pt>
                <c:pt idx="218">
                  <c:v>45125</c:v>
                </c:pt>
                <c:pt idx="219">
                  <c:v>45126</c:v>
                </c:pt>
                <c:pt idx="220">
                  <c:v>45127</c:v>
                </c:pt>
                <c:pt idx="221">
                  <c:v>45128</c:v>
                </c:pt>
                <c:pt idx="222">
                  <c:v>45131</c:v>
                </c:pt>
                <c:pt idx="223">
                  <c:v>45132</c:v>
                </c:pt>
                <c:pt idx="224">
                  <c:v>45133</c:v>
                </c:pt>
                <c:pt idx="225">
                  <c:v>45134</c:v>
                </c:pt>
                <c:pt idx="226">
                  <c:v>45135</c:v>
                </c:pt>
                <c:pt idx="227">
                  <c:v>45138</c:v>
                </c:pt>
                <c:pt idx="228">
                  <c:v>45139</c:v>
                </c:pt>
                <c:pt idx="229">
                  <c:v>45140</c:v>
                </c:pt>
                <c:pt idx="230">
                  <c:v>45141</c:v>
                </c:pt>
                <c:pt idx="231">
                  <c:v>45142</c:v>
                </c:pt>
                <c:pt idx="232">
                  <c:v>45145</c:v>
                </c:pt>
                <c:pt idx="233">
                  <c:v>45146</c:v>
                </c:pt>
                <c:pt idx="234">
                  <c:v>45147</c:v>
                </c:pt>
                <c:pt idx="235">
                  <c:v>45148</c:v>
                </c:pt>
                <c:pt idx="236">
                  <c:v>45149</c:v>
                </c:pt>
                <c:pt idx="237">
                  <c:v>45152</c:v>
                </c:pt>
                <c:pt idx="238">
                  <c:v>45153</c:v>
                </c:pt>
                <c:pt idx="239">
                  <c:v>45154</c:v>
                </c:pt>
                <c:pt idx="240">
                  <c:v>45155</c:v>
                </c:pt>
                <c:pt idx="241">
                  <c:v>45156</c:v>
                </c:pt>
                <c:pt idx="242">
                  <c:v>45159</c:v>
                </c:pt>
                <c:pt idx="243">
                  <c:v>45160</c:v>
                </c:pt>
                <c:pt idx="244">
                  <c:v>45161</c:v>
                </c:pt>
                <c:pt idx="245">
                  <c:v>45162</c:v>
                </c:pt>
                <c:pt idx="246">
                  <c:v>45163</c:v>
                </c:pt>
                <c:pt idx="247">
                  <c:v>45166</c:v>
                </c:pt>
                <c:pt idx="248">
                  <c:v>45167</c:v>
                </c:pt>
                <c:pt idx="249">
                  <c:v>45168</c:v>
                </c:pt>
                <c:pt idx="250">
                  <c:v>45169</c:v>
                </c:pt>
                <c:pt idx="251">
                  <c:v>45170</c:v>
                </c:pt>
              </c:numCache>
            </c:numRef>
          </c:cat>
          <c:val>
            <c:numRef>
              <c:f>Alphabet!$D$1008:$D$1259</c:f>
              <c:numCache>
                <c:formatCode>General</c:formatCode>
                <c:ptCount val="252"/>
                <c:pt idx="0">
                  <c:v>109.199997</c:v>
                </c:pt>
                <c:pt idx="1">
                  <c:v>111.339996</c:v>
                </c:pt>
                <c:pt idx="2">
                  <c:v>108.135002</c:v>
                </c:pt>
                <c:pt idx="3">
                  <c:v>107.760002</c:v>
                </c:pt>
                <c:pt idx="4">
                  <c:v>109.18</c:v>
                </c:pt>
                <c:pt idx="5">
                  <c:v>110.050003</c:v>
                </c:pt>
                <c:pt idx="6">
                  <c:v>111.989998</c:v>
                </c:pt>
                <c:pt idx="7">
                  <c:v>108.889999</c:v>
                </c:pt>
                <c:pt idx="8">
                  <c:v>105.44000200000001</c:v>
                </c:pt>
                <c:pt idx="9">
                  <c:v>105.010002</c:v>
                </c:pt>
                <c:pt idx="10">
                  <c:v>102.970001</c:v>
                </c:pt>
                <c:pt idx="11">
                  <c:v>102.540001</c:v>
                </c:pt>
                <c:pt idx="12">
                  <c:v>102.879997</c:v>
                </c:pt>
                <c:pt idx="13">
                  <c:v>102.239998</c:v>
                </c:pt>
                <c:pt idx="14">
                  <c:v>99.449996999999996</c:v>
                </c:pt>
                <c:pt idx="15">
                  <c:v>100.05999799999999</c:v>
                </c:pt>
                <c:pt idx="16">
                  <c:v>98.610000999999997</c:v>
                </c:pt>
                <c:pt idx="17">
                  <c:v>99.910004000000001</c:v>
                </c:pt>
                <c:pt idx="18">
                  <c:v>98.019997000000004</c:v>
                </c:pt>
                <c:pt idx="19">
                  <c:v>99.300003000000004</c:v>
                </c:pt>
                <c:pt idx="20">
                  <c:v>97.730002999999996</c:v>
                </c:pt>
                <c:pt idx="21">
                  <c:v>97.220000999999996</c:v>
                </c:pt>
                <c:pt idx="22">
                  <c:v>101.040001</c:v>
                </c:pt>
                <c:pt idx="23">
                  <c:v>100.69000200000001</c:v>
                </c:pt>
                <c:pt idx="24">
                  <c:v>101.5</c:v>
                </c:pt>
                <c:pt idx="25">
                  <c:v>100.650002</c:v>
                </c:pt>
                <c:pt idx="26">
                  <c:v>99.849997999999999</c:v>
                </c:pt>
                <c:pt idx="27">
                  <c:v>98.25</c:v>
                </c:pt>
                <c:pt idx="28">
                  <c:v>98.269997000000004</c:v>
                </c:pt>
                <c:pt idx="29">
                  <c:v>95.93</c:v>
                </c:pt>
                <c:pt idx="30">
                  <c:v>100.625</c:v>
                </c:pt>
                <c:pt idx="31">
                  <c:v>99.519997000000004</c:v>
                </c:pt>
                <c:pt idx="32">
                  <c:v>103.94000200000001</c:v>
                </c:pt>
                <c:pt idx="33">
                  <c:v>100.699997</c:v>
                </c:pt>
                <c:pt idx="34">
                  <c:v>100.82</c:v>
                </c:pt>
                <c:pt idx="35">
                  <c:v>98.459998999999996</c:v>
                </c:pt>
                <c:pt idx="36">
                  <c:v>102.089996</c:v>
                </c:pt>
                <c:pt idx="37">
                  <c:v>103.300003</c:v>
                </c:pt>
                <c:pt idx="38">
                  <c:v>96.760002</c:v>
                </c:pt>
                <c:pt idx="39">
                  <c:v>94.309997999999993</c:v>
                </c:pt>
                <c:pt idx="40">
                  <c:v>92.529999000000004</c:v>
                </c:pt>
                <c:pt idx="41">
                  <c:v>95.779999000000004</c:v>
                </c:pt>
                <c:pt idx="42">
                  <c:v>95.589995999999999</c:v>
                </c:pt>
                <c:pt idx="43">
                  <c:v>90.910004000000001</c:v>
                </c:pt>
                <c:pt idx="44">
                  <c:v>86.345000999999996</c:v>
                </c:pt>
                <c:pt idx="45">
                  <c:v>85.510002</c:v>
                </c:pt>
                <c:pt idx="46">
                  <c:v>87.339995999999999</c:v>
                </c:pt>
                <c:pt idx="47">
                  <c:v>89.160004000000001</c:v>
                </c:pt>
                <c:pt idx="48">
                  <c:v>88.544998000000007</c:v>
                </c:pt>
                <c:pt idx="49">
                  <c:v>92.339995999999999</c:v>
                </c:pt>
                <c:pt idx="50">
                  <c:v>94.709998999999996</c:v>
                </c:pt>
                <c:pt idx="51">
                  <c:v>95.5</c:v>
                </c:pt>
                <c:pt idx="52">
                  <c:v>98.669998000000007</c:v>
                </c:pt>
                <c:pt idx="53">
                  <c:v>98.019997000000004</c:v>
                </c:pt>
                <c:pt idx="54">
                  <c:v>97.18</c:v>
                </c:pt>
                <c:pt idx="55">
                  <c:v>99.010002</c:v>
                </c:pt>
                <c:pt idx="56">
                  <c:v>97.559997999999993</c:v>
                </c:pt>
                <c:pt idx="57">
                  <c:v>96.160004000000001</c:v>
                </c:pt>
                <c:pt idx="58">
                  <c:v>97.339995999999999</c:v>
                </c:pt>
                <c:pt idx="59">
                  <c:v>98.464995999999999</c:v>
                </c:pt>
                <c:pt idx="60">
                  <c:v>97.199996999999996</c:v>
                </c:pt>
                <c:pt idx="61">
                  <c:v>96</c:v>
                </c:pt>
                <c:pt idx="62">
                  <c:v>95.120002999999997</c:v>
                </c:pt>
                <c:pt idx="63">
                  <c:v>101.400002</c:v>
                </c:pt>
                <c:pt idx="64">
                  <c:v>99.370002999999997</c:v>
                </c:pt>
                <c:pt idx="65">
                  <c:v>99.815002000000007</c:v>
                </c:pt>
                <c:pt idx="66">
                  <c:v>99.669998000000007</c:v>
                </c:pt>
                <c:pt idx="67">
                  <c:v>96.769997000000004</c:v>
                </c:pt>
                <c:pt idx="68">
                  <c:v>95.690002000000007</c:v>
                </c:pt>
                <c:pt idx="69">
                  <c:v>93.900002000000001</c:v>
                </c:pt>
                <c:pt idx="70">
                  <c:v>93.089995999999999</c:v>
                </c:pt>
                <c:pt idx="71">
                  <c:v>98.07</c:v>
                </c:pt>
                <c:pt idx="72">
                  <c:v>95.540001000000004</c:v>
                </c:pt>
                <c:pt idx="73">
                  <c:v>93.540001000000004</c:v>
                </c:pt>
                <c:pt idx="74">
                  <c:v>91.199996999999996</c:v>
                </c:pt>
                <c:pt idx="75">
                  <c:v>90.879997000000003</c:v>
                </c:pt>
                <c:pt idx="76">
                  <c:v>88.730002999999996</c:v>
                </c:pt>
                <c:pt idx="77">
                  <c:v>89.730002999999996</c:v>
                </c:pt>
                <c:pt idx="78">
                  <c:v>88.93</c:v>
                </c:pt>
                <c:pt idx="79">
                  <c:v>87.620002999999997</c:v>
                </c:pt>
                <c:pt idx="80">
                  <c:v>89.309997999999993</c:v>
                </c:pt>
                <c:pt idx="81">
                  <c:v>87.5</c:v>
                </c:pt>
                <c:pt idx="82">
                  <c:v>87.029999000000004</c:v>
                </c:pt>
                <c:pt idx="83">
                  <c:v>87.364998</c:v>
                </c:pt>
                <c:pt idx="84">
                  <c:v>89.830001999999993</c:v>
                </c:pt>
                <c:pt idx="85">
                  <c:v>91.010002</c:v>
                </c:pt>
                <c:pt idx="86">
                  <c:v>88.07</c:v>
                </c:pt>
                <c:pt idx="87">
                  <c:v>87.360000999999997</c:v>
                </c:pt>
                <c:pt idx="88">
                  <c:v>89.194999999999993</c:v>
                </c:pt>
                <c:pt idx="89">
                  <c:v>86.720000999999996</c:v>
                </c:pt>
                <c:pt idx="90">
                  <c:v>90.059997999999993</c:v>
                </c:pt>
                <c:pt idx="91">
                  <c:v>92.400002000000001</c:v>
                </c:pt>
                <c:pt idx="92">
                  <c:v>91.528000000000006</c:v>
                </c:pt>
                <c:pt idx="93">
                  <c:v>92.779999000000004</c:v>
                </c:pt>
                <c:pt idx="94">
                  <c:v>92.940002000000007</c:v>
                </c:pt>
                <c:pt idx="95">
                  <c:v>91.389999000000003</c:v>
                </c:pt>
                <c:pt idx="96">
                  <c:v>95.949996999999996</c:v>
                </c:pt>
                <c:pt idx="97">
                  <c:v>99.129997000000003</c:v>
                </c:pt>
                <c:pt idx="98">
                  <c:v>99.550003000000004</c:v>
                </c:pt>
                <c:pt idx="99">
                  <c:v>97.199996999999996</c:v>
                </c:pt>
                <c:pt idx="100">
                  <c:v>98.279999000000004</c:v>
                </c:pt>
                <c:pt idx="101">
                  <c:v>99.050003000000004</c:v>
                </c:pt>
                <c:pt idx="102">
                  <c:v>98.745002999999997</c:v>
                </c:pt>
                <c:pt idx="103">
                  <c:v>97.860000999999997</c:v>
                </c:pt>
                <c:pt idx="104">
                  <c:v>99.739998</c:v>
                </c:pt>
                <c:pt idx="105">
                  <c:v>106.790001</c:v>
                </c:pt>
                <c:pt idx="106">
                  <c:v>103.510002</c:v>
                </c:pt>
                <c:pt idx="107">
                  <c:v>102.68499799999999</c:v>
                </c:pt>
                <c:pt idx="108">
                  <c:v>103.629997</c:v>
                </c:pt>
                <c:pt idx="109">
                  <c:v>102.69000200000001</c:v>
                </c:pt>
                <c:pt idx="110">
                  <c:v>100.540001</c:v>
                </c:pt>
                <c:pt idx="111">
                  <c:v>95.739998</c:v>
                </c:pt>
                <c:pt idx="112">
                  <c:v>95.010002</c:v>
                </c:pt>
                <c:pt idx="113">
                  <c:v>94.660004000000001</c:v>
                </c:pt>
                <c:pt idx="114">
                  <c:v>94.739998</c:v>
                </c:pt>
                <c:pt idx="115">
                  <c:v>95.540001000000004</c:v>
                </c:pt>
                <c:pt idx="116">
                  <c:v>95.07</c:v>
                </c:pt>
                <c:pt idx="117">
                  <c:v>93.239998</c:v>
                </c:pt>
                <c:pt idx="118">
                  <c:v>91.933998000000003</c:v>
                </c:pt>
                <c:pt idx="119">
                  <c:v>92.129997000000003</c:v>
                </c:pt>
                <c:pt idx="120">
                  <c:v>89.629997000000003</c:v>
                </c:pt>
                <c:pt idx="121">
                  <c:v>90.089995999999999</c:v>
                </c:pt>
                <c:pt idx="122">
                  <c:v>89.540001000000004</c:v>
                </c:pt>
                <c:pt idx="123">
                  <c:v>90.160004000000001</c:v>
                </c:pt>
                <c:pt idx="124">
                  <c:v>89.860000999999997</c:v>
                </c:pt>
                <c:pt idx="125">
                  <c:v>92.739998</c:v>
                </c:pt>
                <c:pt idx="126">
                  <c:v>94.360000999999997</c:v>
                </c:pt>
                <c:pt idx="127">
                  <c:v>95.419998000000007</c:v>
                </c:pt>
                <c:pt idx="128">
                  <c:v>94.404999000000004</c:v>
                </c:pt>
                <c:pt idx="129">
                  <c:v>94.489998</c:v>
                </c:pt>
                <c:pt idx="130">
                  <c:v>92.5</c:v>
                </c:pt>
                <c:pt idx="131">
                  <c:v>90.565002000000007</c:v>
                </c:pt>
                <c:pt idx="132">
                  <c:v>93.07</c:v>
                </c:pt>
                <c:pt idx="133">
                  <c:v>93.540001000000004</c:v>
                </c:pt>
                <c:pt idx="134">
                  <c:v>96.57</c:v>
                </c:pt>
                <c:pt idx="135">
                  <c:v>100.839996</c:v>
                </c:pt>
                <c:pt idx="136">
                  <c:v>101.05999799999999</c:v>
                </c:pt>
                <c:pt idx="137">
                  <c:v>101.980003</c:v>
                </c:pt>
                <c:pt idx="138">
                  <c:v>105.139999</c:v>
                </c:pt>
                <c:pt idx="139">
                  <c:v>105.889999</c:v>
                </c:pt>
                <c:pt idx="140">
                  <c:v>105.739998</c:v>
                </c:pt>
                <c:pt idx="141">
                  <c:v>105.32</c:v>
                </c:pt>
                <c:pt idx="142">
                  <c:v>103</c:v>
                </c:pt>
                <c:pt idx="143">
                  <c:v>102.720001</c:v>
                </c:pt>
                <c:pt idx="144">
                  <c:v>101.44000200000001</c:v>
                </c:pt>
                <c:pt idx="145">
                  <c:v>101.709999</c:v>
                </c:pt>
                <c:pt idx="146">
                  <c:v>102.66999800000001</c:v>
                </c:pt>
                <c:pt idx="147">
                  <c:v>104.839996</c:v>
                </c:pt>
                <c:pt idx="148">
                  <c:v>106.120003</c:v>
                </c:pt>
                <c:pt idx="149">
                  <c:v>105.769997</c:v>
                </c:pt>
                <c:pt idx="150">
                  <c:v>107.389999</c:v>
                </c:pt>
                <c:pt idx="151">
                  <c:v>106.91999800000001</c:v>
                </c:pt>
                <c:pt idx="152">
                  <c:v>107.389999</c:v>
                </c:pt>
                <c:pt idx="153">
                  <c:v>106.470001</c:v>
                </c:pt>
                <c:pt idx="154">
                  <c:v>107.69000200000001</c:v>
                </c:pt>
                <c:pt idx="155">
                  <c:v>105.43</c:v>
                </c:pt>
                <c:pt idx="156">
                  <c:v>107</c:v>
                </c:pt>
                <c:pt idx="157">
                  <c:v>104.214996</c:v>
                </c:pt>
                <c:pt idx="158">
                  <c:v>104.650002</c:v>
                </c:pt>
                <c:pt idx="159">
                  <c:v>106.089996</c:v>
                </c:pt>
                <c:pt idx="160">
                  <c:v>106.050003</c:v>
                </c:pt>
                <c:pt idx="161">
                  <c:v>106.610001</c:v>
                </c:pt>
                <c:pt idx="162">
                  <c:v>105.55999799999999</c:v>
                </c:pt>
                <c:pt idx="163">
                  <c:v>105.230003</c:v>
                </c:pt>
                <c:pt idx="164">
                  <c:v>107.800003</c:v>
                </c:pt>
                <c:pt idx="165">
                  <c:v>107.720001</c:v>
                </c:pt>
                <c:pt idx="166">
                  <c:v>107.660004</c:v>
                </c:pt>
                <c:pt idx="167">
                  <c:v>106.220001</c:v>
                </c:pt>
                <c:pt idx="168">
                  <c:v>106.160004</c:v>
                </c:pt>
                <c:pt idx="169">
                  <c:v>105.32</c:v>
                </c:pt>
                <c:pt idx="170">
                  <c:v>105.79499800000001</c:v>
                </c:pt>
                <c:pt idx="171">
                  <c:v>108.779999</c:v>
                </c:pt>
                <c:pt idx="172">
                  <c:v>108.550003</c:v>
                </c:pt>
                <c:pt idx="173">
                  <c:v>115.860001</c:v>
                </c:pt>
                <c:pt idx="174">
                  <c:v>117</c:v>
                </c:pt>
                <c:pt idx="175">
                  <c:v>116.489998</c:v>
                </c:pt>
                <c:pt idx="176">
                  <c:v>116.83000199999999</c:v>
                </c:pt>
                <c:pt idx="177">
                  <c:v>120.18</c:v>
                </c:pt>
                <c:pt idx="178">
                  <c:v>121.55999799999999</c:v>
                </c:pt>
                <c:pt idx="179">
                  <c:v>124.199997</c:v>
                </c:pt>
                <c:pt idx="180">
                  <c:v>123.510002</c:v>
                </c:pt>
                <c:pt idx="181">
                  <c:v>124.93</c:v>
                </c:pt>
                <c:pt idx="182">
                  <c:v>121.879997</c:v>
                </c:pt>
                <c:pt idx="183">
                  <c:v>125.209999</c:v>
                </c:pt>
                <c:pt idx="184">
                  <c:v>124.06500200000001</c:v>
                </c:pt>
                <c:pt idx="185">
                  <c:v>126.290001</c:v>
                </c:pt>
                <c:pt idx="186">
                  <c:v>123.699997</c:v>
                </c:pt>
                <c:pt idx="187">
                  <c:v>123.5</c:v>
                </c:pt>
                <c:pt idx="188">
                  <c:v>124.489998</c:v>
                </c:pt>
                <c:pt idx="189">
                  <c:v>124.610001</c:v>
                </c:pt>
                <c:pt idx="190">
                  <c:v>126.599998</c:v>
                </c:pt>
                <c:pt idx="191">
                  <c:v>127.574997</c:v>
                </c:pt>
                <c:pt idx="192">
                  <c:v>122.584999</c:v>
                </c:pt>
                <c:pt idx="193">
                  <c:v>122.55999799999999</c:v>
                </c:pt>
                <c:pt idx="194">
                  <c:v>123.394997</c:v>
                </c:pt>
                <c:pt idx="195">
                  <c:v>125.650002</c:v>
                </c:pt>
                <c:pt idx="196">
                  <c:v>123.800003</c:v>
                </c:pt>
                <c:pt idx="197">
                  <c:v>123.879997</c:v>
                </c:pt>
                <c:pt idx="198">
                  <c:v>126.699997</c:v>
                </c:pt>
                <c:pt idx="199">
                  <c:v>123.535004</c:v>
                </c:pt>
                <c:pt idx="200">
                  <c:v>123.235001</c:v>
                </c:pt>
                <c:pt idx="201">
                  <c:v>120.660004</c:v>
                </c:pt>
                <c:pt idx="202">
                  <c:v>122.040001</c:v>
                </c:pt>
                <c:pt idx="203">
                  <c:v>121.466003</c:v>
                </c:pt>
                <c:pt idx="204">
                  <c:v>117.839996</c:v>
                </c:pt>
                <c:pt idx="205">
                  <c:v>117.959999</c:v>
                </c:pt>
                <c:pt idx="206">
                  <c:v>120.089996</c:v>
                </c:pt>
                <c:pt idx="207">
                  <c:v>121.099998</c:v>
                </c:pt>
                <c:pt idx="208">
                  <c:v>120.32</c:v>
                </c:pt>
                <c:pt idx="209">
                  <c:v>120.05999799999999</c:v>
                </c:pt>
                <c:pt idx="210">
                  <c:v>120.639999</c:v>
                </c:pt>
                <c:pt idx="211">
                  <c:v>120.889999</c:v>
                </c:pt>
                <c:pt idx="212">
                  <c:v>119.07</c:v>
                </c:pt>
                <c:pt idx="213">
                  <c:v>116.760002</c:v>
                </c:pt>
                <c:pt idx="214">
                  <c:v>119.300003</c:v>
                </c:pt>
                <c:pt idx="215">
                  <c:v>121.540001</c:v>
                </c:pt>
                <c:pt idx="216">
                  <c:v>125.129997</c:v>
                </c:pt>
                <c:pt idx="217">
                  <c:v>126.05999799999999</c:v>
                </c:pt>
                <c:pt idx="218">
                  <c:v>124.904999</c:v>
                </c:pt>
                <c:pt idx="219">
                  <c:v>124.790001</c:v>
                </c:pt>
                <c:pt idx="220">
                  <c:v>122.120003</c:v>
                </c:pt>
                <c:pt idx="221">
                  <c:v>120.870003</c:v>
                </c:pt>
                <c:pt idx="222">
                  <c:v>121.92600299999999</c:v>
                </c:pt>
                <c:pt idx="223">
                  <c:v>121.879997</c:v>
                </c:pt>
                <c:pt idx="224">
                  <c:v>130.36000100000001</c:v>
                </c:pt>
                <c:pt idx="225">
                  <c:v>131.800003</c:v>
                </c:pt>
                <c:pt idx="226">
                  <c:v>130.970001</c:v>
                </c:pt>
                <c:pt idx="227">
                  <c:v>133.009995</c:v>
                </c:pt>
                <c:pt idx="228">
                  <c:v>130.854996</c:v>
                </c:pt>
                <c:pt idx="229">
                  <c:v>129.83999600000001</c:v>
                </c:pt>
                <c:pt idx="230">
                  <c:v>128.36999499999999</c:v>
                </c:pt>
                <c:pt idx="231">
                  <c:v>129.60000600000001</c:v>
                </c:pt>
                <c:pt idx="232">
                  <c:v>129.509995</c:v>
                </c:pt>
                <c:pt idx="233">
                  <c:v>130.979996</c:v>
                </c:pt>
                <c:pt idx="234">
                  <c:v>132.19000199999999</c:v>
                </c:pt>
                <c:pt idx="235">
                  <c:v>131.970001</c:v>
                </c:pt>
                <c:pt idx="236">
                  <c:v>129.20199600000001</c:v>
                </c:pt>
                <c:pt idx="237">
                  <c:v>129.85000600000001</c:v>
                </c:pt>
                <c:pt idx="238">
                  <c:v>131.58999600000001</c:v>
                </c:pt>
                <c:pt idx="239">
                  <c:v>129.279999</c:v>
                </c:pt>
                <c:pt idx="240">
                  <c:v>130.449997</c:v>
                </c:pt>
                <c:pt idx="241">
                  <c:v>129.05999800000001</c:v>
                </c:pt>
                <c:pt idx="242">
                  <c:v>127.849998</c:v>
                </c:pt>
                <c:pt idx="243">
                  <c:v>129.13000500000001</c:v>
                </c:pt>
                <c:pt idx="244">
                  <c:v>130.85000600000001</c:v>
                </c:pt>
                <c:pt idx="245">
                  <c:v>134.72700499999999</c:v>
                </c:pt>
                <c:pt idx="246">
                  <c:v>130.13999899999999</c:v>
                </c:pt>
                <c:pt idx="247">
                  <c:v>132.08000200000001</c:v>
                </c:pt>
                <c:pt idx="248">
                  <c:v>132.99800099999999</c:v>
                </c:pt>
                <c:pt idx="249">
                  <c:v>135.570007</c:v>
                </c:pt>
                <c:pt idx="250">
                  <c:v>137.050003</c:v>
                </c:pt>
                <c:pt idx="251">
                  <c:v>138.429993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AD-2B4D-A45B-586DA0075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5312447"/>
        <c:axId val="1608735935"/>
      </c:lineChart>
      <c:dateAx>
        <c:axId val="1665312447"/>
        <c:scaling>
          <c:orientation val="minMax"/>
        </c:scaling>
        <c:delete val="0"/>
        <c:axPos val="b"/>
        <c:numFmt formatCode="m/d/yy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1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8735935"/>
        <c:crossesAt val="-10"/>
        <c:auto val="1"/>
        <c:lblOffset val="100"/>
        <c:baseTimeUnit val="days"/>
      </c:dateAx>
      <c:valAx>
        <c:axId val="1608735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312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800100</xdr:colOff>
      <xdr:row>2</xdr:row>
      <xdr:rowOff>0</xdr:rowOff>
    </xdr:from>
    <xdr:to>
      <xdr:col>14</xdr:col>
      <xdr:colOff>50800</xdr:colOff>
      <xdr:row>27</xdr:row>
      <xdr:rowOff>127001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25400</xdr:rowOff>
        </xdr:from>
        <xdr:to>
          <xdr:col>11</xdr:col>
          <xdr:colOff>685800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Execute Python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shitashitij/Desktop/MS%20Applications/SJSU/Data%20220/Lab1/Part%203/Alphabet_Eshita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219.534212962964" createdVersion="8" refreshedVersion="8" minRefreshableVersion="3" recordCount="1258" xr:uid="{A7CE0E42-302C-DE4A-A3DB-E0B9A81BD16E}">
  <cacheSource type="worksheet">
    <worksheetSource ref="A1:M1259" sheet="Alphabet" r:id="rId2"/>
  </cacheSource>
  <cacheFields count="15">
    <cacheField name="Date(combined)" numFmtId="0">
      <sharedItems/>
    </cacheField>
    <cacheField name="Day" numFmtId="0">
      <sharedItems count="5">
        <s v="Tuesday"/>
        <s v="Wednesday"/>
        <s v="Thursday"/>
        <s v="Friday"/>
        <s v="Monday"/>
      </sharedItems>
    </cacheField>
    <cacheField name="Date" numFmtId="164">
      <sharedItems containsSemiMixedTypes="0" containsNonDate="0" containsDate="1" containsString="0" minDate="2018-09-04T00:00:00" maxDate="2023-09-02T00:00:00" count="1258">
        <d v="2018-09-04T00:00:00"/>
        <d v="2018-09-05T00:00:00"/>
        <d v="2018-09-06T00:00:00"/>
        <d v="2018-09-07T00:00:00"/>
        <d v="2018-09-10T00:00:00"/>
        <d v="2018-09-11T00:00:00"/>
        <d v="2018-09-12T00:00:00"/>
        <d v="2018-09-13T00:00:00"/>
        <d v="2018-09-14T00:00:00"/>
        <d v="2018-09-17T00:00:00"/>
        <d v="2018-09-18T00:00:00"/>
        <d v="2018-09-19T00:00:00"/>
        <d v="2018-09-20T00:00:00"/>
        <d v="2018-09-21T00:00:00"/>
        <d v="2018-09-24T00:00:00"/>
        <d v="2018-09-25T00:00:00"/>
        <d v="2018-09-26T00:00:00"/>
        <d v="2018-09-27T00:00:00"/>
        <d v="2018-09-28T00:00:00"/>
        <d v="2018-10-01T00:00:00"/>
        <d v="2018-10-02T00:00:00"/>
        <d v="2018-10-03T00:00:00"/>
        <d v="2018-10-04T00:00:00"/>
        <d v="2018-10-05T00:00:00"/>
        <d v="2018-10-08T00:00:00"/>
        <d v="2018-10-09T00:00:00"/>
        <d v="2018-10-10T00:00:00"/>
        <d v="2018-10-11T00:00:00"/>
        <d v="2018-10-12T00:00:00"/>
        <d v="2018-10-15T00:00:00"/>
        <d v="2018-10-16T00:00:00"/>
        <d v="2018-10-17T00:00:00"/>
        <d v="2018-10-18T00:00:00"/>
        <d v="2018-10-19T00:00:00"/>
        <d v="2018-10-22T00:00:00"/>
        <d v="2018-10-23T00:00:00"/>
        <d v="2018-10-24T00:00:00"/>
        <d v="2018-10-25T00:00:00"/>
        <d v="2018-10-26T00:00:00"/>
        <d v="2018-10-29T00:00:00"/>
        <d v="2018-10-30T00:00:00"/>
        <d v="2018-10-31T00:00:00"/>
        <d v="2018-11-01T00:00:00"/>
        <d v="2018-11-02T00:00:00"/>
        <d v="2018-11-05T00:00:00"/>
        <d v="2018-11-06T00:00:00"/>
        <d v="2018-11-07T00:00:00"/>
        <d v="2018-11-08T00:00:00"/>
        <d v="2018-11-09T00:00:00"/>
        <d v="2018-11-12T00:00:00"/>
        <d v="2018-11-13T00:00:00"/>
        <d v="2018-11-14T00:00:00"/>
        <d v="2018-11-15T00:00:00"/>
        <d v="2018-11-16T00:00:00"/>
        <d v="2018-11-19T00:00:00"/>
        <d v="2018-11-20T00:00:00"/>
        <d v="2018-11-21T00:00:00"/>
        <d v="2018-11-23T00:00:00"/>
        <d v="2018-11-26T00:00:00"/>
        <d v="2018-11-27T00:00:00"/>
        <d v="2018-11-28T00:00:00"/>
        <d v="2018-11-29T00:00:00"/>
        <d v="2018-11-30T00:00:00"/>
        <d v="2018-12-03T00:00:00"/>
        <d v="2018-12-04T00:00:00"/>
        <d v="2018-12-06T00:00:00"/>
        <d v="2018-12-07T00:00:00"/>
        <d v="2018-12-10T00:00:00"/>
        <d v="2018-12-11T00:00:00"/>
        <d v="2018-12-12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4T00:00:00"/>
        <d v="2018-12-26T00:00:00"/>
        <d v="2018-12-27T00:00:00"/>
        <d v="2018-12-28T00:00:00"/>
        <d v="2018-12-31T00:00:00"/>
        <d v="2019-01-02T00:00:00"/>
        <d v="2019-01-03T00:00:00"/>
        <d v="2019-01-04T00:00:00"/>
        <d v="2019-01-07T00:00:00"/>
        <d v="2019-01-08T00:00:00"/>
        <d v="2019-01-09T00:00:00"/>
        <d v="2019-01-10T00:00:00"/>
        <d v="2019-01-11T00:00:00"/>
        <d v="2019-01-14T00:00:00"/>
        <d v="2019-01-15T00:00:00"/>
        <d v="2019-01-16T00:00:00"/>
        <d v="2019-01-17T00:00:00"/>
        <d v="2019-01-18T00:00:00"/>
        <d v="2019-01-22T00:00:00"/>
        <d v="2019-01-23T00:00:00"/>
        <d v="2019-01-24T00:00:00"/>
        <d v="2019-01-25T00:00:00"/>
        <d v="2019-01-28T00:00:00"/>
        <d v="2019-01-29T00:00:00"/>
        <d v="2019-01-30T00:00:00"/>
        <d v="2019-01-31T00:00:00"/>
        <d v="2019-02-01T00:00:00"/>
        <d v="2019-02-04T00:00:00"/>
        <d v="2019-02-05T00:00:00"/>
        <d v="2019-02-06T00:00:00"/>
        <d v="2019-02-07T00:00:00"/>
        <d v="2019-02-08T00:00:00"/>
        <d v="2019-02-11T00:00:00"/>
        <d v="2019-02-12T00:00:00"/>
        <d v="2019-02-13T00:00:00"/>
        <d v="2019-02-14T00:00:00"/>
        <d v="2019-02-15T00:00:00"/>
        <d v="2019-02-19T00:00:00"/>
        <d v="2019-02-20T00:00:00"/>
        <d v="2019-02-21T00:00:00"/>
        <d v="2019-02-22T00:00:00"/>
        <d v="2019-02-25T00:00:00"/>
        <d v="2019-02-26T00:00:00"/>
        <d v="2019-02-27T00:00:00"/>
        <d v="2019-02-28T00:00:00"/>
        <d v="2019-03-01T00:00:00"/>
        <d v="2019-03-04T00:00:00"/>
        <d v="2019-03-05T00:00:00"/>
        <d v="2019-03-06T00:00:00"/>
        <d v="2019-03-07T00:00:00"/>
        <d v="2019-03-08T00:00:00"/>
        <d v="2019-03-11T00:00:00"/>
        <d v="2019-03-12T00:00:00"/>
        <d v="2019-03-13T00:00:00"/>
        <d v="2019-03-14T00:00:00"/>
        <d v="2019-03-15T00:00:00"/>
        <d v="2019-03-18T00:00:00"/>
        <d v="2019-03-19T00:00:00"/>
        <d v="2019-03-20T00:00:00"/>
        <d v="2019-03-21T00:00:00"/>
        <d v="2019-03-22T00:00:00"/>
        <d v="2019-03-25T00:00:00"/>
        <d v="2019-03-26T00:00:00"/>
        <d v="2019-03-27T00:00:00"/>
        <d v="2019-03-28T00:00:00"/>
        <d v="2019-03-29T00:00:00"/>
        <d v="2019-04-01T00:00:00"/>
        <d v="2019-04-02T00:00:00"/>
        <d v="2019-04-03T00:00:00"/>
        <d v="2019-04-04T00:00:00"/>
        <d v="2019-04-05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17T00:00:00"/>
        <d v="2019-04-18T00:00:00"/>
        <d v="2019-04-22T00:00:00"/>
        <d v="2019-04-23T00:00:00"/>
        <d v="2019-04-24T00:00:00"/>
        <d v="2019-04-25T00:00:00"/>
        <d v="2019-04-26T00:00:00"/>
        <d v="2019-04-29T00:00:00"/>
        <d v="2019-04-30T00:00:00"/>
        <d v="2019-05-01T00:00:00"/>
        <d v="2019-05-02T00:00:00"/>
        <d v="2019-05-03T00:00:00"/>
        <d v="2019-05-06T00:00:00"/>
        <d v="2019-05-07T00:00:00"/>
        <d v="2019-05-08T00:00:00"/>
        <d v="2019-05-09T00:00:00"/>
        <d v="2019-05-10T00:00:00"/>
        <d v="2019-05-13T00:00:00"/>
        <d v="2019-05-14T00:00:00"/>
        <d v="2019-05-15T00:00:00"/>
        <d v="2019-05-16T00:00:00"/>
        <d v="2019-05-17T00:00:00"/>
        <d v="2019-05-20T00:00:00"/>
        <d v="2019-05-21T00:00:00"/>
        <d v="2019-05-22T00:00:00"/>
        <d v="2019-05-23T00:00:00"/>
        <d v="2019-05-24T00:00:00"/>
        <d v="2019-05-28T00:00:00"/>
        <d v="2019-05-29T00:00:00"/>
        <d v="2019-05-30T00:00:00"/>
        <d v="2019-05-31T00:00:00"/>
        <d v="2019-06-03T00:00:00"/>
        <d v="2019-06-04T00:00:00"/>
        <d v="2019-06-05T00:00:00"/>
        <d v="2019-06-06T00:00:00"/>
        <d v="2019-06-07T00:00:00"/>
        <d v="2019-06-10T00:00:00"/>
        <d v="2019-06-11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6-21T00:00:00"/>
        <d v="2019-06-24T00:00:00"/>
        <d v="2019-06-25T00:00:00"/>
        <d v="2019-06-26T00:00:00"/>
        <d v="2019-06-27T00:00:00"/>
        <d v="2019-06-28T00:00:00"/>
        <d v="2019-07-01T00:00:00"/>
        <d v="2019-07-02T00:00:00"/>
        <d v="2019-07-03T00:00:00"/>
        <d v="2019-07-05T00:00:00"/>
        <d v="2019-07-08T00:00:00"/>
        <d v="2019-07-09T00:00:00"/>
        <d v="2019-07-10T00:00:00"/>
        <d v="2019-07-11T00:00:00"/>
        <d v="2019-07-12T00:00:00"/>
        <d v="2019-07-15T00:00:00"/>
        <d v="2019-07-16T00:00:00"/>
        <d v="2019-07-17T00:00:00"/>
        <d v="2019-07-18T00:00:00"/>
        <d v="2019-07-19T00:00:00"/>
        <d v="2019-07-22T00:00:00"/>
        <d v="2019-07-23T00:00:00"/>
        <d v="2019-07-24T00:00:00"/>
        <d v="2019-07-25T00:00:00"/>
        <d v="2019-07-26T00:00:00"/>
        <d v="2019-07-29T00:00:00"/>
        <d v="2019-07-30T00:00:00"/>
        <d v="2019-07-31T00:00:00"/>
        <d v="2019-08-01T00:00:00"/>
        <d v="2019-08-02T00:00:00"/>
        <d v="2019-08-05T00:00:00"/>
        <d v="2019-08-06T00:00:00"/>
        <d v="2019-08-07T00:00:00"/>
        <d v="2019-08-08T00:00:00"/>
        <d v="2019-08-09T00:00:00"/>
        <d v="2019-08-12T00:00:00"/>
        <d v="2019-08-13T00:00:00"/>
        <d v="2019-08-14T00:00:00"/>
        <d v="2019-08-15T00:00:00"/>
        <d v="2019-08-16T00:00:00"/>
        <d v="2019-08-19T00:00:00"/>
        <d v="2019-08-20T00:00:00"/>
        <d v="2019-08-21T00:00:00"/>
        <d v="2019-08-22T00:00:00"/>
        <d v="2019-08-23T00:00:00"/>
        <d v="2019-08-26T00:00:00"/>
        <d v="2019-08-27T00:00:00"/>
        <d v="2019-08-28T00:00:00"/>
        <d v="2019-08-29T00:00:00"/>
        <d v="2019-08-30T00:00:00"/>
        <d v="2019-09-03T00:00:00"/>
        <d v="2019-09-04T00:00:00"/>
        <d v="2019-09-05T00:00:00"/>
        <d v="2019-09-06T00:00:00"/>
        <d v="2019-09-09T00:00:00"/>
        <d v="2019-09-10T00:00:00"/>
        <d v="2019-09-11T00:00:00"/>
        <d v="2019-09-12T00:00:00"/>
        <d v="2019-09-13T00:00:00"/>
        <d v="2019-09-16T00:00:00"/>
        <d v="2019-09-17T00:00:00"/>
        <d v="2019-09-18T00:00:00"/>
        <d v="2019-09-19T00:00:00"/>
        <d v="2019-09-20T00:00:00"/>
        <d v="2019-09-23T00:00:00"/>
        <d v="2019-09-24T00:00:00"/>
        <d v="2019-09-25T00:00:00"/>
        <d v="2019-09-26T00:00:00"/>
        <d v="2019-09-27T00:00:00"/>
        <d v="2019-09-30T00:00:00"/>
        <d v="2019-10-01T00:00:00"/>
        <d v="2019-10-02T00:00:00"/>
        <d v="2019-10-03T00:00:00"/>
        <d v="2019-10-04T00:00:00"/>
        <d v="2019-10-07T00:00:00"/>
        <d v="2019-10-08T00:00:00"/>
        <d v="2019-10-09T00:00:00"/>
        <d v="2019-10-10T00:00:00"/>
        <d v="2019-10-11T00:00:00"/>
        <d v="2019-10-14T00:00:00"/>
        <d v="2019-10-15T00:00:00"/>
        <d v="2019-10-16T00:00:00"/>
        <d v="2019-10-17T00:00:00"/>
        <d v="2019-10-18T00:00:00"/>
        <d v="2019-10-21T00:00:00"/>
        <d v="2019-10-22T00:00:00"/>
        <d v="2019-10-23T00:00:00"/>
        <d v="2019-10-24T00:00:00"/>
        <d v="2019-10-25T00:00:00"/>
        <d v="2019-10-28T00:00:00"/>
        <d v="2019-10-29T00:00:00"/>
        <d v="2019-10-30T00:00:00"/>
        <d v="2019-10-31T00:00:00"/>
        <d v="2019-11-01T00:00:00"/>
        <d v="2019-11-04T00:00:00"/>
        <d v="2019-11-05T00:00:00"/>
        <d v="2019-11-06T00:00:00"/>
        <d v="2019-11-07T00:00:00"/>
        <d v="2019-11-08T00:00:00"/>
        <d v="2019-11-11T00:00:00"/>
        <d v="2019-11-12T00:00:00"/>
        <d v="2019-11-13T00:00:00"/>
        <d v="2019-11-14T00:00:00"/>
        <d v="2019-11-15T00:00:00"/>
        <d v="2019-11-18T00:00:00"/>
        <d v="2019-11-19T00:00:00"/>
        <d v="2019-11-20T00:00:00"/>
        <d v="2019-11-21T00:00:00"/>
        <d v="2019-11-22T00:00:00"/>
        <d v="2019-11-25T00:00:00"/>
        <d v="2019-11-26T00:00:00"/>
        <d v="2019-11-27T00:00:00"/>
        <d v="2019-11-29T00:00:00"/>
        <d v="2019-12-02T00:00:00"/>
        <d v="2019-12-03T00:00:00"/>
        <d v="2019-12-04T00:00:00"/>
        <d v="2019-12-05T00:00:00"/>
        <d v="2019-12-06T00:00:00"/>
        <d v="2019-12-09T00:00:00"/>
        <d v="2019-12-10T00:00:00"/>
        <d v="2019-12-11T00:00:00"/>
        <d v="2019-12-12T00:00:00"/>
        <d v="2019-12-13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6T00:00:00"/>
        <d v="2019-12-27T00:00:00"/>
        <d v="2019-12-30T00:00:00"/>
        <d v="2019-12-31T00:00:00"/>
        <d v="2020-01-02T00:00:00"/>
        <d v="2020-01-03T00:00:00"/>
        <d v="2020-01-06T00:00:00"/>
        <d v="2020-01-07T00:00:00"/>
        <d v="2020-01-08T00:00:00"/>
        <d v="2020-01-09T00:00:00"/>
        <d v="2020-01-10T00:00:00"/>
        <d v="2020-01-13T00:00:00"/>
        <d v="2020-01-14T00:00:00"/>
        <d v="2020-01-15T00:00:00"/>
        <d v="2020-01-16T00:00:00"/>
        <d v="2020-01-17T00:00:00"/>
        <d v="2020-01-21T00:00:00"/>
        <d v="2020-01-22T00:00:00"/>
        <d v="2020-01-23T00:00:00"/>
        <d v="2020-01-24T00:00:00"/>
        <d v="2020-01-27T00:00:00"/>
        <d v="2020-01-28T00:00:00"/>
        <d v="2020-01-29T00:00:00"/>
        <d v="2020-01-30T00:00:00"/>
        <d v="2020-01-31T00:00:00"/>
        <d v="2020-02-03T00:00:00"/>
        <d v="2020-02-04T00:00:00"/>
        <d v="2020-02-05T00:00:00"/>
        <d v="2020-02-06T00:00:00"/>
        <d v="2020-02-07T00:00:00"/>
        <d v="2020-02-10T00:00:00"/>
        <d v="2020-02-11T00:00:00"/>
        <d v="2020-02-12T00:00:00"/>
        <d v="2020-02-13T00:00:00"/>
        <d v="2020-02-14T00:00:00"/>
        <d v="2020-02-18T00:00:00"/>
        <d v="2020-02-19T00:00:00"/>
        <d v="2020-02-20T00:00:00"/>
        <d v="2020-02-21T00:00:00"/>
        <d v="2020-02-24T00:00:00"/>
        <d v="2020-02-25T00:00:00"/>
        <d v="2020-02-26T00:00:00"/>
        <d v="2020-02-27T00:00:00"/>
        <d v="2020-02-28T00:00:00"/>
        <d v="2020-03-02T00:00:00"/>
        <d v="2020-03-03T00:00:00"/>
        <d v="2020-03-04T00:00:00"/>
        <d v="2020-03-05T00:00:00"/>
        <d v="2020-03-06T00:00:00"/>
        <d v="2020-03-09T00:00:00"/>
        <d v="2020-03-10T00:00:00"/>
        <d v="2020-03-11T00:00:00"/>
        <d v="2020-03-12T00:00:00"/>
        <d v="2020-03-13T00:00:00"/>
        <d v="2020-03-16T00:00:00"/>
        <d v="2020-03-17T00:00:00"/>
        <d v="2020-03-18T00:00:00"/>
        <d v="2020-03-19T00:00:00"/>
        <d v="2020-03-20T00:00:00"/>
        <d v="2020-03-23T00:00:00"/>
        <d v="2020-03-24T00:00:00"/>
        <d v="2020-03-25T00:00:00"/>
        <d v="2020-03-26T00:00:00"/>
        <d v="2020-03-27T00:00:00"/>
        <d v="2020-03-30T00:00:00"/>
        <d v="2020-03-31T00:00:00"/>
        <d v="2020-04-01T00:00:00"/>
        <d v="2020-04-02T00:00:00"/>
        <d v="2020-04-03T00:00:00"/>
        <d v="2020-04-06T00:00:00"/>
        <d v="2020-04-07T00:00:00"/>
        <d v="2020-04-08T00:00:00"/>
        <d v="2020-04-09T00:00:00"/>
        <d v="2020-04-13T00:00:00"/>
        <d v="2020-04-14T00:00:00"/>
        <d v="2020-04-15T00:00:00"/>
        <d v="2020-04-16T00:00:00"/>
        <d v="2020-04-17T00:00:00"/>
        <d v="2020-04-20T00:00:00"/>
        <d v="2020-04-21T00:00:00"/>
        <d v="2020-04-22T00:00:00"/>
        <d v="2020-04-23T00:00:00"/>
        <d v="2020-04-24T00:00:00"/>
        <d v="2020-04-27T00:00:00"/>
        <d v="2020-04-28T00:00:00"/>
        <d v="2020-04-29T00:00:00"/>
        <d v="2020-04-30T00:00:00"/>
        <d v="2020-05-01T00:00:00"/>
        <d v="2020-05-04T00:00:00"/>
        <d v="2020-05-05T00:00:00"/>
        <d v="2020-05-06T00:00:00"/>
        <d v="2020-05-07T00:00:00"/>
        <d v="2020-05-08T00:00:00"/>
        <d v="2020-05-11T00:00:00"/>
        <d v="2020-05-12T00:00:00"/>
        <d v="2020-05-13T00:00:00"/>
        <d v="2020-05-14T00:00:00"/>
        <d v="2020-05-15T00:00:00"/>
        <d v="2020-05-18T00:00:00"/>
        <d v="2020-05-19T00:00:00"/>
        <d v="2020-05-20T00:00:00"/>
        <d v="2020-05-21T00:00:00"/>
        <d v="2020-05-22T00:00:00"/>
        <d v="2020-05-26T00:00:00"/>
        <d v="2020-05-27T00:00:00"/>
        <d v="2020-05-28T00:00:00"/>
        <d v="2020-05-29T00:00:00"/>
        <d v="2020-06-01T00:00:00"/>
        <d v="2020-06-02T00:00:00"/>
        <d v="2020-06-03T00:00:00"/>
        <d v="2020-06-04T00:00:00"/>
        <d v="2020-06-05T00:00:00"/>
        <d v="2020-06-08T00:00:00"/>
        <d v="2020-06-09T00:00:00"/>
        <d v="2020-06-10T00:00:00"/>
        <d v="2020-06-11T00:00:00"/>
        <d v="2020-06-12T00:00:00"/>
        <d v="2020-06-15T00:00:00"/>
        <d v="2020-06-16T00:00:00"/>
        <d v="2020-06-17T00:00:00"/>
        <d v="2020-06-18T00:00:00"/>
        <d v="2020-06-19T00:00:00"/>
        <d v="2020-06-22T00:00:00"/>
        <d v="2020-06-23T00:00:00"/>
        <d v="2020-06-24T00:00:00"/>
        <d v="2020-06-25T00:00:00"/>
        <d v="2020-06-26T00:00:00"/>
        <d v="2020-06-29T00:00:00"/>
        <d v="2020-06-30T00:00:00"/>
        <d v="2020-07-01T00:00:00"/>
        <d v="2020-07-02T00:00:00"/>
        <d v="2020-07-06T00:00:00"/>
        <d v="2020-07-07T00:00:00"/>
        <d v="2020-07-08T00:00:00"/>
        <d v="2020-07-09T00:00:00"/>
        <d v="2020-07-10T00:00:00"/>
        <d v="2020-07-13T00:00:00"/>
        <d v="2020-07-14T00:00:00"/>
        <d v="2020-07-15T00:00:00"/>
        <d v="2020-07-16T00:00:00"/>
        <d v="2020-07-17T00:00:00"/>
        <d v="2020-07-20T00:00:00"/>
        <d v="2020-07-21T00:00:00"/>
        <d v="2020-07-22T00:00:00"/>
        <d v="2020-07-23T00:00:00"/>
        <d v="2020-07-24T00:00:00"/>
        <d v="2020-07-27T00:00:00"/>
        <d v="2020-07-28T00:00:00"/>
        <d v="2020-07-29T00:00:00"/>
        <d v="2020-07-30T00:00:00"/>
        <d v="2020-07-31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25T00:00:00"/>
        <d v="2020-08-26T00:00:00"/>
        <d v="2020-08-27T00:00:00"/>
        <d v="2020-08-28T00:00:00"/>
        <d v="2020-08-31T00:00:00"/>
        <d v="2020-09-01T00:00:00"/>
        <d v="2020-09-02T00:00:00"/>
        <d v="2020-09-03T00:00:00"/>
        <d v="2020-09-04T00:00:00"/>
        <d v="2020-09-08T00:00:00"/>
        <d v="2020-09-09T00:00:00"/>
        <d v="2020-09-10T00:00:00"/>
        <d v="2020-09-11T00:00:00"/>
        <d v="2020-09-14T00:00:00"/>
        <d v="2020-09-15T00:00:00"/>
        <d v="2020-09-16T00:00:00"/>
        <d v="2020-09-17T00:00:00"/>
        <d v="2020-09-18T00:00:00"/>
        <d v="2020-09-21T00:00:00"/>
        <d v="2020-09-22T00:00:00"/>
        <d v="2020-09-23T00:00:00"/>
        <d v="2020-09-24T00:00:00"/>
        <d v="2020-09-25T00:00:00"/>
        <d v="2020-09-28T00:00:00"/>
        <d v="2020-09-29T00:00:00"/>
        <d v="2020-09-30T00:00:00"/>
        <d v="2020-10-01T00:00:00"/>
        <d v="2020-10-02T00:00:00"/>
        <d v="2020-10-05T00:00:00"/>
        <d v="2020-10-06T00:00:00"/>
        <d v="2020-10-07T00:00:00"/>
        <d v="2020-10-08T00:00:00"/>
        <d v="2020-10-09T00:00:00"/>
        <d v="2020-10-12T00:00:00"/>
        <d v="2020-10-13T00:00:00"/>
        <d v="2020-10-14T00:00:00"/>
        <d v="2020-10-15T00:00:00"/>
        <d v="2020-10-16T00:00:00"/>
        <d v="2020-10-19T00:00:00"/>
        <d v="2020-10-20T00:00:00"/>
        <d v="2020-10-21T00:00:00"/>
        <d v="2020-10-22T00:00:00"/>
        <d v="2020-10-23T00:00:00"/>
        <d v="2020-10-26T00:00:00"/>
        <d v="2020-10-27T00:00:00"/>
        <d v="2020-10-28T00:00:00"/>
        <d v="2020-10-29T00:00:00"/>
        <d v="2020-10-30T00:00:00"/>
        <d v="2020-11-02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2T00:00:00"/>
        <d v="2020-11-13T00:00:00"/>
        <d v="2020-11-16T00:00:00"/>
        <d v="2020-11-17T00:00:00"/>
        <d v="2020-11-18T00:00:00"/>
        <d v="2020-11-19T00:00:00"/>
        <d v="2020-11-20T00:00:00"/>
        <d v="2020-11-23T00:00:00"/>
        <d v="2020-11-24T00:00:00"/>
        <d v="2020-11-25T00:00:00"/>
        <d v="2020-11-27T00:00:00"/>
        <d v="2020-11-30T00:00:00"/>
        <d v="2020-12-01T00:00:00"/>
        <d v="2020-12-02T00:00:00"/>
        <d v="2020-12-03T00:00:00"/>
        <d v="2020-12-04T00:00:00"/>
        <d v="2020-12-07T00:00:00"/>
        <d v="2020-12-08T00:00:00"/>
        <d v="2020-12-09T00:00:00"/>
        <d v="2020-12-10T00:00:00"/>
        <d v="2020-12-11T00:00:00"/>
        <d v="2020-12-14T00:00:00"/>
        <d v="2020-12-15T00:00:00"/>
        <d v="2020-12-16T00:00:00"/>
        <d v="2020-12-17T00:00:00"/>
        <d v="2020-12-18T00:00:00"/>
        <d v="2020-12-21T00:00:00"/>
        <d v="2020-12-22T00:00:00"/>
        <d v="2020-12-23T00:00:00"/>
        <d v="2020-12-24T00:00:00"/>
        <d v="2020-12-28T00:00:00"/>
        <d v="2020-12-29T00:00:00"/>
        <d v="2020-12-30T00:00:00"/>
        <d v="2020-12-31T00:00:00"/>
        <d v="2021-01-04T00:00:00"/>
        <d v="2021-01-05T00:00:00"/>
        <d v="2021-01-06T00:00:00"/>
        <d v="2021-01-07T00:00:00"/>
        <d v="2021-01-08T00:00:00"/>
        <d v="2021-01-11T00:00:00"/>
        <d v="2021-01-12T00:00:00"/>
        <d v="2021-01-13T00:00:00"/>
        <d v="2021-01-14T00:00:00"/>
        <d v="2021-01-15T00:00:00"/>
        <d v="2021-01-19T00:00:00"/>
        <d v="2021-01-20T00:00:00"/>
        <d v="2021-01-21T00:00:00"/>
        <d v="2021-01-22T00:00:00"/>
        <d v="2021-01-25T00:00:00"/>
        <d v="2021-01-26T00:00:00"/>
        <d v="2021-01-27T00:00:00"/>
        <d v="2021-01-28T00:00:00"/>
        <d v="2021-01-29T00:00:00"/>
        <d v="2021-02-01T00:00:00"/>
        <d v="2021-02-02T00:00:00"/>
        <d v="2021-02-03T00:00:00"/>
        <d v="2021-02-04T00:00:00"/>
        <d v="2021-02-05T00:00:00"/>
        <d v="2021-02-08T00:00:00"/>
        <d v="2021-02-09T00:00:00"/>
        <d v="2021-02-10T00:00:00"/>
        <d v="2021-02-11T00:00:00"/>
        <d v="2021-02-12T00:00:00"/>
        <d v="2021-02-16T00:00:00"/>
        <d v="2021-02-17T00:00:00"/>
        <d v="2021-02-18T00:00:00"/>
        <d v="2021-02-19T00:00:00"/>
        <d v="2021-02-22T00:00:00"/>
        <d v="2021-02-23T00:00:00"/>
        <d v="2021-02-24T00:00:00"/>
        <d v="2021-02-25T00:00:00"/>
        <d v="2021-02-26T00:00:00"/>
        <d v="2021-03-01T00:00:00"/>
        <d v="2021-03-02T00:00:00"/>
        <d v="2021-03-03T00:00:00"/>
        <d v="2021-03-04T00:00:00"/>
        <d v="2021-03-05T00:00:00"/>
        <d v="2021-03-08T00:00:00"/>
        <d v="2021-03-09T00:00:00"/>
        <d v="2021-03-10T00:00:00"/>
        <d v="2021-03-11T00:00:00"/>
        <d v="2021-03-12T00:00:00"/>
        <d v="2021-03-15T00:00:00"/>
        <d v="2021-03-16T00:00:00"/>
        <d v="2021-03-17T00:00:00"/>
        <d v="2021-03-18T00:00:00"/>
        <d v="2021-03-19T00:00:00"/>
        <d v="2021-03-22T00:00:00"/>
        <d v="2021-03-23T00:00:00"/>
        <d v="2021-03-24T00:00:00"/>
        <d v="2021-03-25T00:00:00"/>
        <d v="2021-03-26T00:00:00"/>
        <d v="2021-03-29T00:00:00"/>
        <d v="2021-03-30T00:00:00"/>
        <d v="2021-03-31T00:00:00"/>
        <d v="2021-04-01T00:00:00"/>
        <d v="2021-04-05T00:00:00"/>
        <d v="2021-04-06T00:00:00"/>
        <d v="2021-04-07T00:00:00"/>
        <d v="2021-04-08T00:00:00"/>
        <d v="2021-04-09T00:00:00"/>
        <d v="2021-04-12T00:00:00"/>
        <d v="2021-04-13T00:00:00"/>
        <d v="2021-04-14T00:00:00"/>
        <d v="2021-04-15T00:00:00"/>
        <d v="2021-04-16T00:00:00"/>
        <d v="2021-04-19T00:00:00"/>
        <d v="2021-04-20T00:00:00"/>
        <d v="2021-04-21T00:00:00"/>
        <d v="2021-04-22T00:00:00"/>
        <d v="2021-04-23T00:00:00"/>
        <d v="2021-04-26T00:00:00"/>
        <d v="2021-04-27T00:00:00"/>
        <d v="2021-04-28T00:00:00"/>
        <d v="2021-04-29T00:00:00"/>
        <d v="2021-04-30T00:00:00"/>
        <d v="2021-05-03T00:00:00"/>
        <d v="2021-05-04T00:00:00"/>
        <d v="2021-05-05T00:00:00"/>
        <d v="2021-05-06T00:00:00"/>
        <d v="2021-05-07T00:00:00"/>
        <d v="2021-05-10T00:00:00"/>
        <d v="2021-05-11T00:00:00"/>
        <d v="2021-05-12T00:00:00"/>
        <d v="2021-05-13T00:00:00"/>
        <d v="2021-05-14T00:00:00"/>
        <d v="2021-05-17T00:00:00"/>
        <d v="2021-05-18T00:00:00"/>
        <d v="2021-05-19T00:00:00"/>
        <d v="2021-05-20T00:00:00"/>
        <d v="2021-05-21T00:00:00"/>
        <d v="2021-05-24T00:00:00"/>
        <d v="2021-05-25T00:00:00"/>
        <d v="2021-05-26T00:00:00"/>
        <d v="2021-05-27T00:00:00"/>
        <d v="2021-05-28T00:00:00"/>
        <d v="2021-06-01T00:00:00"/>
        <d v="2021-06-02T00:00:00"/>
        <d v="2021-06-03T00:00:00"/>
        <d v="2021-06-04T00:00:00"/>
        <d v="2021-06-07T00:00:00"/>
        <d v="2021-06-08T00:00:00"/>
        <d v="2021-06-09T00:00:00"/>
        <d v="2021-06-10T00:00:00"/>
        <d v="2021-06-11T00:00:00"/>
        <d v="2021-06-14T00:00:00"/>
        <d v="2021-06-15T00:00:00"/>
        <d v="2021-06-16T00:00:00"/>
        <d v="2021-06-17T00:00:00"/>
        <d v="2021-06-18T00:00:00"/>
        <d v="2021-06-21T00:00:00"/>
        <d v="2021-06-22T00:00:00"/>
        <d v="2021-06-23T00:00:00"/>
        <d v="2021-06-24T00:00:00"/>
        <d v="2021-06-25T00:00:00"/>
        <d v="2021-06-28T00:00:00"/>
        <d v="2021-06-29T00:00:00"/>
        <d v="2021-06-30T00:00:00"/>
        <d v="2021-07-01T00:00:00"/>
        <d v="2021-07-02T00:00:00"/>
        <d v="2021-07-06T00:00:00"/>
        <d v="2021-07-07T00:00:00"/>
        <d v="2021-07-08T00:00:00"/>
        <d v="2021-07-09T00:00:00"/>
        <d v="2021-07-12T00:00:00"/>
        <d v="2021-07-13T00:00:00"/>
        <d v="2021-07-14T00:00:00"/>
        <d v="2021-07-15T00:00:00"/>
        <d v="2021-07-16T00:00:00"/>
        <d v="2021-07-19T00:00:00"/>
        <d v="2021-07-20T00:00:00"/>
        <d v="2021-07-21T00:00:00"/>
        <d v="2021-07-22T00:00:00"/>
        <d v="2021-07-23T00:00:00"/>
        <d v="2021-07-26T00:00:00"/>
        <d v="2021-07-27T00:00:00"/>
        <d v="2021-07-28T00:00:00"/>
        <d v="2021-07-29T00:00:00"/>
        <d v="2021-07-30T00:00:00"/>
        <d v="2021-08-02T00:00:00"/>
        <d v="2021-08-03T00:00:00"/>
        <d v="2021-08-04T00:00:00"/>
        <d v="2021-08-05T00:00:00"/>
        <d v="2021-08-06T00:00:00"/>
        <d v="2021-08-09T00:00:00"/>
        <d v="2021-08-10T00:00:00"/>
        <d v="2021-08-11T00:00:00"/>
        <d v="2021-08-12T00:00:00"/>
        <d v="2021-08-13T00:00:00"/>
        <d v="2021-08-16T00:00:00"/>
        <d v="2021-08-17T00:00:00"/>
        <d v="2021-08-18T00:00:00"/>
        <d v="2021-08-19T00:00:00"/>
        <d v="2021-08-20T00:00:00"/>
        <d v="2021-08-23T00:00:00"/>
        <d v="2021-08-24T00:00:00"/>
        <d v="2021-08-25T00:00:00"/>
        <d v="2021-08-26T00:00:00"/>
        <d v="2021-08-27T00:00:00"/>
        <d v="2021-08-30T00:00:00"/>
        <d v="2021-08-31T00:00:00"/>
        <d v="2021-09-01T00:00:00"/>
        <d v="2021-09-02T00:00:00"/>
        <d v="2021-09-03T00:00:00"/>
        <d v="2021-09-07T00:00:00"/>
        <d v="2021-09-08T00:00:00"/>
        <d v="2021-09-09T00:00:00"/>
        <d v="2021-09-10T00:00:00"/>
        <d v="2021-09-13T00:00:00"/>
        <d v="2021-09-14T00:00:00"/>
        <d v="2021-09-15T00:00:00"/>
        <d v="2021-09-16T00:00:00"/>
        <d v="2021-09-17T00:00:00"/>
        <d v="2021-09-20T00:00:00"/>
        <d v="2021-09-21T00:00:00"/>
        <d v="2021-09-22T00:00:00"/>
        <d v="2021-09-23T00:00:00"/>
        <d v="2021-09-24T00:00:00"/>
        <d v="2021-09-27T00:00:00"/>
        <d v="2021-09-28T00:00:00"/>
        <d v="2021-09-29T00:00:00"/>
        <d v="2021-09-30T00:00:00"/>
        <d v="2021-10-01T00:00:00"/>
        <d v="2021-10-04T00:00:00"/>
        <d v="2021-10-05T00:00:00"/>
        <d v="2021-10-06T00:00:00"/>
        <d v="2021-10-07T00:00:00"/>
        <d v="2021-10-08T00:00:00"/>
        <d v="2021-10-11T00:00:00"/>
        <d v="2021-10-12T00:00:00"/>
        <d v="2021-10-13T00:00:00"/>
        <d v="2021-10-14T00:00:00"/>
        <d v="2021-10-15T00:00:00"/>
        <d v="2021-10-18T00:00:00"/>
        <d v="2021-10-19T00:00:00"/>
        <d v="2021-10-20T00:00:00"/>
        <d v="2021-10-21T00:00:00"/>
        <d v="2021-10-22T00:00:00"/>
        <d v="2021-10-25T00:00:00"/>
        <d v="2021-10-26T00:00:00"/>
        <d v="2021-10-27T00:00:00"/>
        <d v="2021-10-28T00:00:00"/>
        <d v="2021-10-29T00:00:00"/>
        <d v="2021-11-01T00:00:00"/>
        <d v="2021-11-02T00:00:00"/>
        <d v="2021-11-03T00:00:00"/>
        <d v="2021-11-04T00:00:00"/>
        <d v="2021-11-05T00:00:00"/>
        <d v="2021-11-08T00:00:00"/>
        <d v="2021-11-09T00:00:00"/>
        <d v="2021-11-10T00:00:00"/>
        <d v="2021-11-11T00:00:00"/>
        <d v="2021-11-12T00:00:00"/>
        <d v="2021-11-15T00:00:00"/>
        <d v="2021-11-16T00:00:00"/>
        <d v="2021-11-17T00:00:00"/>
        <d v="2021-11-18T00:00:00"/>
        <d v="2021-11-19T00:00:00"/>
        <d v="2021-11-22T00:00:00"/>
        <d v="2021-11-23T00:00:00"/>
        <d v="2021-11-24T00:00:00"/>
        <d v="2021-11-26T00:00:00"/>
        <d v="2021-11-29T00:00:00"/>
        <d v="2021-11-30T00:00:00"/>
        <d v="2021-12-01T00:00:00"/>
        <d v="2021-12-02T00:00:00"/>
        <d v="2021-12-03T00:00:00"/>
        <d v="2021-12-06T00:00:00"/>
        <d v="2021-12-07T00:00:00"/>
        <d v="2021-12-08T00:00:00"/>
        <d v="2021-12-09T00:00:00"/>
        <d v="2021-12-10T00:00:00"/>
        <d v="2021-12-13T00:00:00"/>
        <d v="2021-12-14T00:00:00"/>
        <d v="2021-12-15T00:00:00"/>
        <d v="2021-12-16T00:00:00"/>
        <d v="2021-12-17T00:00:00"/>
        <d v="2021-12-20T00:00:00"/>
        <d v="2021-12-21T00:00:00"/>
        <d v="2021-12-22T00:00:00"/>
        <d v="2021-12-23T00:00:00"/>
        <d v="2021-12-27T00:00:00"/>
        <d v="2021-12-28T00:00:00"/>
        <d v="2021-12-29T00:00:00"/>
        <d v="2021-12-30T00:00:00"/>
        <d v="2021-12-31T00:00:00"/>
        <d v="2022-01-03T00:00:00"/>
        <d v="2022-01-04T00:00:00"/>
        <d v="2022-01-05T00:00:00"/>
        <d v="2022-01-06T00:00:00"/>
        <d v="2022-01-07T00:00:00"/>
        <d v="2022-01-10T00:00:00"/>
        <d v="2022-01-11T00:00:00"/>
        <d v="2022-01-12T00:00:00"/>
        <d v="2022-01-13T00:00:00"/>
        <d v="2022-01-14T00:00:00"/>
        <d v="2022-01-18T00:00:00"/>
        <d v="2022-01-19T00:00:00"/>
        <d v="2022-01-20T00:00:00"/>
        <d v="2022-01-21T00:00:00"/>
        <d v="2022-01-24T00:00:00"/>
        <d v="2022-01-25T00:00:00"/>
        <d v="2022-01-26T00:00:00"/>
        <d v="2022-01-27T00:00:00"/>
        <d v="2022-01-28T00:00:00"/>
        <d v="2022-01-31T00:00:00"/>
        <d v="2022-02-01T00:00:00"/>
        <d v="2022-02-02T00:00:00"/>
        <d v="2022-02-03T00:00:00"/>
        <d v="2022-02-04T00:00:00"/>
        <d v="2022-02-07T00:00:00"/>
        <d v="2022-02-08T00:00:00"/>
        <d v="2022-02-09T00:00:00"/>
        <d v="2022-02-10T00:00:00"/>
        <d v="2022-02-11T00:00:00"/>
        <d v="2022-02-14T00:00:00"/>
        <d v="2022-02-15T00:00:00"/>
        <d v="2022-02-16T00:00:00"/>
        <d v="2022-02-17T00:00:00"/>
        <d v="2022-02-18T00:00:00"/>
        <d v="2022-02-22T00:00:00"/>
        <d v="2022-02-23T00:00:00"/>
        <d v="2022-02-24T00:00:00"/>
        <d v="2022-02-25T00:00:00"/>
        <d v="2022-02-28T00:00:00"/>
        <d v="2022-03-01T00:00:00"/>
        <d v="2022-03-02T00:00:00"/>
        <d v="2022-03-03T00:00:00"/>
        <d v="2022-03-04T00:00:00"/>
        <d v="2022-03-07T00:00:00"/>
        <d v="2022-03-08T00:00:00"/>
        <d v="2022-03-09T00:00:00"/>
        <d v="2022-03-10T00:00:00"/>
        <d v="2022-03-11T00:00:00"/>
        <d v="2022-03-14T00:00:00"/>
        <d v="2022-03-15T00:00:00"/>
        <d v="2022-03-16T00:00:00"/>
        <d v="2022-03-17T00:00:00"/>
        <d v="2022-03-18T00:00:00"/>
        <d v="2022-03-21T00:00:00"/>
        <d v="2022-03-22T00:00:00"/>
        <d v="2022-03-23T00:00:00"/>
        <d v="2022-03-24T00:00:00"/>
        <d v="2022-03-25T00:00:00"/>
        <d v="2022-03-28T00:00:00"/>
        <d v="2022-03-29T00:00:00"/>
        <d v="2022-03-30T00:00:00"/>
        <d v="2022-03-31T00:00:00"/>
        <d v="2022-04-01T00:00:00"/>
        <d v="2022-04-04T00:00:00"/>
        <d v="2022-04-05T00:00:00"/>
        <d v="2022-04-06T00:00:00"/>
        <d v="2022-04-07T00:00:00"/>
        <d v="2022-04-08T00:00:00"/>
        <d v="2022-04-11T00:00:00"/>
        <d v="2022-04-12T00:00:00"/>
        <d v="2022-04-13T00:00:00"/>
        <d v="2022-04-14T00:00:00"/>
        <d v="2022-04-18T00:00:00"/>
        <d v="2022-04-19T00:00:00"/>
        <d v="2022-04-20T00:00:00"/>
        <d v="2022-04-21T00:00:00"/>
        <d v="2022-04-22T00:00:00"/>
        <d v="2022-04-25T00:00:00"/>
        <d v="2022-04-26T00:00:00"/>
        <d v="2022-04-27T00:00:00"/>
        <d v="2022-04-28T00:00:00"/>
        <d v="2022-04-29T00:00:00"/>
        <d v="2022-05-02T00:00:00"/>
        <d v="2022-05-03T00:00:00"/>
        <d v="2022-05-04T00:00:00"/>
        <d v="2022-05-05T00:00:00"/>
        <d v="2022-05-06T00:00:00"/>
        <d v="2022-05-09T00:00:00"/>
        <d v="2022-05-10T00:00:00"/>
        <d v="2022-05-11T00:00:00"/>
        <d v="2022-05-12T00:00:00"/>
        <d v="2022-05-13T00:00:00"/>
        <d v="2022-05-16T00:00:00"/>
        <d v="2022-05-17T00:00:00"/>
        <d v="2022-05-18T00:00:00"/>
        <d v="2022-05-19T00:00:00"/>
        <d v="2022-05-20T00:00:00"/>
        <d v="2022-05-23T00:00:00"/>
        <d v="2022-05-24T00:00:00"/>
        <d v="2022-05-25T00:00:00"/>
        <d v="2022-05-26T00:00:00"/>
        <d v="2022-05-27T00:00:00"/>
        <d v="2022-05-31T00:00:00"/>
        <d v="2022-06-01T00:00:00"/>
        <d v="2022-06-02T00:00:00"/>
        <d v="2022-06-03T00:00:00"/>
        <d v="2022-06-06T00:00:00"/>
        <d v="2022-06-07T00:00:00"/>
        <d v="2022-06-08T00:00:00"/>
        <d v="2022-06-09T00:00:00"/>
        <d v="2022-06-10T00:00:00"/>
        <d v="2022-06-13T00:00:00"/>
        <d v="2022-06-14T00:00:00"/>
        <d v="2022-06-15T00:00:00"/>
        <d v="2022-06-16T00:00:00"/>
        <d v="2022-06-17T00:00:00"/>
        <d v="2022-06-21T00:00:00"/>
        <d v="2022-06-22T00:00:00"/>
        <d v="2022-06-23T00:00:00"/>
        <d v="2022-06-24T00:00:00"/>
        <d v="2022-06-27T00:00:00"/>
        <d v="2022-06-28T00:00:00"/>
        <d v="2022-06-29T00:00:00"/>
        <d v="2022-06-30T00:00:00"/>
        <d v="2022-07-01T00:00:00"/>
        <d v="2022-07-05T00:00:00"/>
        <d v="2022-07-06T00:00:00"/>
        <d v="2022-07-07T00:00:00"/>
        <d v="2022-07-08T00:00:00"/>
        <d v="2022-07-11T00:00:00"/>
        <d v="2022-07-12T00:00:00"/>
        <d v="2022-07-13T00:00:00"/>
        <d v="2022-07-14T00:00:00"/>
        <d v="2022-07-15T00:00:00"/>
        <d v="2022-07-18T00:00:00"/>
        <d v="2022-07-19T00:00:00"/>
        <d v="2022-07-20T00:00:00"/>
        <d v="2022-07-21T00:00:00"/>
        <d v="2022-07-22T00:00:00"/>
        <d v="2022-07-25T00:00:00"/>
        <d v="2022-07-26T00:00:00"/>
        <d v="2022-07-27T00:00:00"/>
        <d v="2022-07-28T00:00:00"/>
        <d v="2022-07-29T00:00:00"/>
        <d v="2022-08-01T00:00:00"/>
        <d v="2022-08-02T00:00:00"/>
        <d v="2022-08-03T00:00:00"/>
        <d v="2022-08-04T00:00:00"/>
        <d v="2022-08-05T00:00:00"/>
        <d v="2022-08-08T00:00:00"/>
        <d v="2022-08-09T00:00:00"/>
        <d v="2022-08-10T00:00:00"/>
        <d v="2022-08-11T00:00:00"/>
        <d v="2022-08-12T00:00:00"/>
        <d v="2022-08-15T00:00:00"/>
        <d v="2022-08-16T00:00:00"/>
        <d v="2022-08-17T00:00:00"/>
        <d v="2022-08-18T00:00:00"/>
        <d v="2022-08-19T00:00:00"/>
        <d v="2022-08-22T00:00:00"/>
        <d v="2022-08-23T00:00:00"/>
        <d v="2022-08-24T00:00:00"/>
        <d v="2022-08-25T00:00:00"/>
        <d v="2022-08-26T00:00:00"/>
        <d v="2022-08-29T00:00:00"/>
        <d v="2022-08-30T00:00:00"/>
        <d v="2022-08-31T00:00:00"/>
        <d v="2022-09-01T00:00:00"/>
        <d v="2022-09-02T00:00:00"/>
        <d v="2022-09-06T00:00:00"/>
        <d v="2022-09-07T00:00:00"/>
        <d v="2022-09-08T00:00:00"/>
        <d v="2022-09-09T00:00:00"/>
        <d v="2022-09-12T00:00:00"/>
        <d v="2022-09-13T00:00:00"/>
        <d v="2022-09-14T00:00:00"/>
        <d v="2022-09-15T00:00:00"/>
        <d v="2022-09-16T00:00:00"/>
        <d v="2022-09-19T00:00:00"/>
        <d v="2022-09-20T00:00:00"/>
        <d v="2022-09-21T00:00:00"/>
        <d v="2022-09-22T00:00:00"/>
        <d v="2022-09-23T00:00:00"/>
        <d v="2022-09-26T00:00:00"/>
        <d v="2022-09-27T00:00:00"/>
        <d v="2022-09-28T00:00:00"/>
        <d v="2022-09-29T00:00:00"/>
        <d v="2022-09-30T00:00:00"/>
        <d v="2022-10-03T00:00:00"/>
        <d v="2022-10-04T00:00:00"/>
        <d v="2022-10-05T00:00:00"/>
        <d v="2022-10-06T00:00:00"/>
        <d v="2022-10-07T00:00:00"/>
        <d v="2022-10-10T00:00:00"/>
        <d v="2022-10-11T00:00:00"/>
        <d v="2022-10-12T00:00:00"/>
        <d v="2022-10-13T00:00:00"/>
        <d v="2022-10-14T00:00:00"/>
        <d v="2022-10-17T00:00:00"/>
        <d v="2022-10-18T00:00:00"/>
        <d v="2022-10-19T00:00:00"/>
        <d v="2022-10-20T00:00:00"/>
        <d v="2022-10-21T00:00:00"/>
        <d v="2022-10-24T00:00:00"/>
        <d v="2022-10-25T00:00:00"/>
        <d v="2022-10-26T00:00:00"/>
        <d v="2022-10-27T00:00:00"/>
        <d v="2022-10-28T00:00:00"/>
        <d v="2022-10-31T00:00:00"/>
        <d v="2022-11-01T00:00:00"/>
        <d v="2022-11-02T00:00:00"/>
        <d v="2022-11-03T00:00:00"/>
        <d v="2022-11-04T00:00:00"/>
        <d v="2022-11-07T00:00:00"/>
        <d v="2022-11-08T00:00:00"/>
        <d v="2022-11-09T00:00:00"/>
        <d v="2022-11-10T00:00:00"/>
        <d v="2022-11-11T00:00:00"/>
        <d v="2022-11-14T00:00:00"/>
        <d v="2022-11-15T00:00:00"/>
        <d v="2022-11-16T00:00:00"/>
        <d v="2022-11-17T00:00:00"/>
        <d v="2022-11-18T00:00:00"/>
        <d v="2022-11-21T00:00:00"/>
        <d v="2022-11-22T00:00:00"/>
        <d v="2022-11-23T00:00:00"/>
        <d v="2022-11-25T00:00:00"/>
        <d v="2022-11-28T00:00:00"/>
        <d v="2022-11-29T00:00:00"/>
        <d v="2022-11-30T00:00:00"/>
        <d v="2022-12-01T00:00:00"/>
        <d v="2022-12-02T00:00:00"/>
        <d v="2022-12-05T00:00:00"/>
        <d v="2022-12-06T00:00:00"/>
        <d v="2022-12-07T00:00:00"/>
        <d v="2022-12-08T00:00:00"/>
        <d v="2022-12-09T00:00:00"/>
        <d v="2022-12-12T00:00:00"/>
        <d v="2022-12-13T00:00:00"/>
        <d v="2022-12-14T00:00:00"/>
        <d v="2022-12-15T00:00:00"/>
        <d v="2022-12-16T00:00:00"/>
        <d v="2022-12-19T00:00:00"/>
        <d v="2022-12-20T00:00:00"/>
        <d v="2022-12-21T00:00:00"/>
        <d v="2022-12-22T00:00:00"/>
        <d v="2022-12-23T00:00:00"/>
        <d v="2022-12-27T00:00:00"/>
        <d v="2022-12-28T00:00:00"/>
        <d v="2022-12-29T00:00:00"/>
        <d v="2022-12-30T00:00:00"/>
        <d v="2023-01-03T00:00:00"/>
        <d v="2023-01-04T00:00:00"/>
        <d v="2023-01-05T00:00:00"/>
        <d v="2023-01-06T00:00:00"/>
        <d v="2023-01-09T00:00:00"/>
        <d v="2023-01-10T00:00:00"/>
        <d v="2023-01-11T00:00:00"/>
        <d v="2023-01-12T00:00:00"/>
        <d v="2023-01-13T00:00:00"/>
        <d v="2023-01-17T00:00:00"/>
        <d v="2023-01-18T00:00:00"/>
        <d v="2023-01-19T00:00:00"/>
        <d v="2023-01-20T00:00:00"/>
        <d v="2023-01-23T00:00:00"/>
        <d v="2023-01-24T00:00:00"/>
        <d v="2023-01-25T00:00:00"/>
        <d v="2023-01-26T00:00:00"/>
        <d v="2023-01-27T00:00:00"/>
        <d v="2023-01-30T00:00:00"/>
        <d v="2023-01-31T00:00:00"/>
        <d v="2023-02-01T00:00:00"/>
        <d v="2023-02-02T00:00:00"/>
        <d v="2023-02-03T00:00:00"/>
        <d v="2023-02-06T00:00:00"/>
        <d v="2023-02-07T00:00:00"/>
        <d v="2023-02-08T00:00:00"/>
        <d v="2023-02-09T00:00:00"/>
        <d v="2023-02-10T00:00:00"/>
        <d v="2023-02-13T00:00:00"/>
        <d v="2023-02-14T00:00:00"/>
        <d v="2023-02-15T00:00:00"/>
        <d v="2023-02-16T00:00:00"/>
        <d v="2023-02-17T00:00:00"/>
        <d v="2023-02-21T00:00:00"/>
        <d v="2023-02-22T00:00:00"/>
        <d v="2023-02-23T00:00:00"/>
        <d v="2023-02-24T00:00:00"/>
        <d v="2023-02-27T00:00:00"/>
        <d v="2023-02-28T00:00:00"/>
        <d v="2023-03-01T00:00:00"/>
        <d v="2023-03-02T00:00:00"/>
        <d v="2023-03-03T00:00:00"/>
        <d v="2023-03-06T00:00:00"/>
        <d v="2023-03-07T00:00:00"/>
        <d v="2023-03-08T00:00:00"/>
        <d v="2023-03-09T00:00:00"/>
        <d v="2023-03-10T00:00:00"/>
        <d v="2023-03-13T00:00:00"/>
        <d v="2023-03-14T00:00:00"/>
        <d v="2023-03-15T00:00:00"/>
        <d v="2023-03-16T00:00:00"/>
        <d v="2023-03-17T00:00:00"/>
        <d v="2023-03-20T00:00:00"/>
        <d v="2023-03-21T00:00:00"/>
        <d v="2023-03-22T00:00:00"/>
        <d v="2023-03-23T00:00:00"/>
        <d v="2023-03-24T00:00:00"/>
        <d v="2023-03-27T00:00:00"/>
        <d v="2023-03-28T00:00:00"/>
        <d v="2023-03-29T00:00:00"/>
        <d v="2023-03-30T00:00:00"/>
        <d v="2023-03-31T00:00:00"/>
        <d v="2023-04-03T00:00:00"/>
        <d v="2023-04-04T00:00:00"/>
        <d v="2023-04-05T00:00:00"/>
        <d v="2023-04-06T00:00:00"/>
        <d v="2023-04-10T00:00:00"/>
        <d v="2023-04-11T00:00:00"/>
        <d v="2023-04-12T00:00:00"/>
        <d v="2023-04-13T00:00:00"/>
        <d v="2023-04-14T00:00:00"/>
        <d v="2023-04-17T00:00:00"/>
        <d v="2023-04-18T00:00:00"/>
        <d v="2023-04-19T00:00:00"/>
        <d v="2023-04-20T00:00:00"/>
        <d v="2023-04-21T00:00:00"/>
        <d v="2023-04-24T00:00:00"/>
        <d v="2023-04-25T00:00:00"/>
        <d v="2023-04-26T00:00:00"/>
        <d v="2023-04-27T00:00:00"/>
        <d v="2023-04-28T00:00:00"/>
        <d v="2023-05-01T00:00:00"/>
        <d v="2023-05-02T00:00:00"/>
        <d v="2023-05-03T00:00:00"/>
        <d v="2023-05-04T00:00:00"/>
        <d v="2023-05-05T00:00:00"/>
        <d v="2023-05-08T00:00:00"/>
        <d v="2023-05-09T00:00:00"/>
        <d v="2023-05-10T00:00:00"/>
        <d v="2023-05-11T00:00:00"/>
        <d v="2023-05-12T00:00:00"/>
        <d v="2023-05-15T00:00:00"/>
        <d v="2023-05-16T00:00:00"/>
        <d v="2023-05-17T00:00:00"/>
        <d v="2023-05-18T00:00:00"/>
        <d v="2023-05-19T00:00:00"/>
        <d v="2023-05-22T00:00:00"/>
        <d v="2023-05-23T00:00:00"/>
        <d v="2023-05-24T00:00:00"/>
        <d v="2023-05-25T00:00:00"/>
        <d v="2023-05-26T00:00:00"/>
        <d v="2023-05-30T00:00:00"/>
        <d v="2023-05-31T00:00:00"/>
        <d v="2023-06-01T00:00:00"/>
        <d v="2023-06-02T00:00:00"/>
        <d v="2023-06-05T00:00:00"/>
        <d v="2023-06-06T00:00:00"/>
        <d v="2023-06-07T00:00:00"/>
        <d v="2023-06-08T00:00:00"/>
        <d v="2023-06-09T00:00:00"/>
        <d v="2023-06-12T00:00:00"/>
        <d v="2023-06-13T00:00:00"/>
        <d v="2023-06-14T00:00:00"/>
        <d v="2023-06-15T00:00:00"/>
        <d v="2023-06-16T00:00:00"/>
        <d v="2023-06-20T00:00:00"/>
        <d v="2023-06-21T00:00:00"/>
        <d v="2023-06-22T00:00:00"/>
        <d v="2023-06-23T00:00:00"/>
        <d v="2023-06-26T00:00:00"/>
        <d v="2023-06-27T00:00:00"/>
        <d v="2023-06-28T00:00:00"/>
        <d v="2023-06-29T00:00:00"/>
        <d v="2023-06-30T00:00:00"/>
        <d v="2023-07-03T00:00:00"/>
        <d v="2023-07-05T00:00:00"/>
        <d v="2023-07-06T00:00:00"/>
        <d v="2023-07-07T00:00:00"/>
        <d v="2023-07-10T00:00:00"/>
        <d v="2023-07-11T00:00:00"/>
        <d v="2023-07-12T00:00:00"/>
        <d v="2023-07-13T00:00:00"/>
        <d v="2023-07-14T00:00:00"/>
        <d v="2023-07-17T00:00:00"/>
        <d v="2023-07-18T00:00:00"/>
        <d v="2023-07-19T00:00:00"/>
        <d v="2023-07-20T00:00:00"/>
        <d v="2023-07-21T00:00:00"/>
        <d v="2023-07-24T00:00:00"/>
        <d v="2023-07-25T00:00:00"/>
        <d v="2023-07-26T00:00:00"/>
        <d v="2023-07-27T00:00:00"/>
        <d v="2023-07-28T00:00:00"/>
        <d v="2023-07-31T00:00:00"/>
        <d v="2023-08-01T00:00:00"/>
        <d v="2023-08-02T00:00:00"/>
        <d v="2023-08-03T00:00:00"/>
        <d v="2023-08-04T00:00:00"/>
        <d v="2023-08-07T00:00:00"/>
        <d v="2023-08-08T00:00:00"/>
        <d v="2023-08-09T00:00:00"/>
        <d v="2023-08-10T00:00:00"/>
        <d v="2023-08-11T00:00:00"/>
        <d v="2023-08-14T00:00:00"/>
        <d v="2023-08-15T00:00:00"/>
        <d v="2023-08-16T00:00:00"/>
        <d v="2023-08-17T00:00:00"/>
        <d v="2023-08-18T00:00:00"/>
        <d v="2023-08-21T00:00:00"/>
        <d v="2023-08-22T00:00:00"/>
        <d v="2023-08-23T00:00:00"/>
        <d v="2023-08-24T00:00:00"/>
        <d v="2023-08-25T00:00:00"/>
        <d v="2023-08-28T00:00:00"/>
        <d v="2023-08-29T00:00:00"/>
        <d v="2023-08-30T00:00:00"/>
        <d v="2023-08-31T00:00:00"/>
        <d v="2023-09-01T00:00:00"/>
      </sharedItems>
      <fieldGroup par="14" base="2">
        <rangePr groupBy="months" startDate="2018-09-04T00:00:00" endDate="2023-09-02T00:00:00"/>
        <groupItems count="14">
          <s v="&lt;9/4/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2/23"/>
        </groupItems>
      </fieldGroup>
    </cacheField>
    <cacheField name="Open" numFmtId="0">
      <sharedItems containsSemiMixedTypes="0" containsString="0" containsNumber="1" minValue="48.695" maxValue="151.863495"/>
    </cacheField>
    <cacheField name="High" numFmtId="0">
      <sharedItems containsSemiMixedTypes="0" containsString="0" containsNumber="1" minValue="50.176997999999998" maxValue="152.10000600000001"/>
    </cacheField>
    <cacheField name="Low" numFmtId="0">
      <sharedItems containsMixedTypes="1" containsNumber="1" minValue="48.505501000000002" maxValue="149.887497"/>
    </cacheField>
    <cacheField name="Close" numFmtId="0">
      <sharedItems containsSemiMixedTypes="0" containsString="0" containsNumber="1" minValue="48.811000999999997" maxValue="150.709"/>
    </cacheField>
    <cacheField name="Volume" numFmtId="0">
      <sharedItems containsSemiMixedTypes="0" containsString="0" containsNumber="1" containsInteger="1" minValue="6936000" maxValue="124140000"/>
    </cacheField>
    <cacheField name="Filter Blanks" numFmtId="0">
      <sharedItems containsSemiMixedTypes="0" containsString="0" containsNumber="1" containsInteger="1" minValue="0" maxValue="0"/>
    </cacheField>
    <cacheField name="Price Change in Stocks" numFmtId="0">
      <sharedItems containsSemiMixedTypes="0" containsString="0" containsNumber="1" minValue="-10.11" maxValue="10.16"/>
    </cacheField>
    <cacheField name="Movement" numFmtId="0">
      <sharedItems count="3">
        <s v="Neutral"/>
        <s v="Negative"/>
        <s v="Positive"/>
      </sharedItems>
    </cacheField>
    <cacheField name="Percentage Change" numFmtId="10">
      <sharedItems containsSemiMixedTypes="0" containsString="0" containsNumber="1" minValue="-0.1248697559759438" maxValue="9.4600986876304596E-2"/>
    </cacheField>
    <cacheField name="Big Swings" numFmtId="0">
      <sharedItems containsMixedTypes="1" containsNumber="1" minValue="5.0633025084028789E-2" maxValue="9.4600986876304596E-2"/>
    </cacheField>
    <cacheField name="Quarters" numFmtId="0" databaseField="0">
      <fieldGroup base="2">
        <rangePr groupBy="quarters" startDate="2018-09-04T00:00:00" endDate="2023-09-02T00:00:00"/>
        <groupItems count="6">
          <s v="&lt;9/4/18"/>
          <s v="Qtr1"/>
          <s v="Qtr2"/>
          <s v="Qtr3"/>
          <s v="Qtr4"/>
          <s v="&gt;9/2/23"/>
        </groupItems>
      </fieldGroup>
    </cacheField>
    <cacheField name="Years" numFmtId="0" databaseField="0">
      <fieldGroup base="2">
        <rangePr groupBy="years" startDate="2018-09-04T00:00:00" endDate="2023-09-02T00:00:00"/>
        <groupItems count="8">
          <s v="&lt;9/4/18"/>
          <s v="2018"/>
          <s v="2019"/>
          <s v="2020"/>
          <s v="2021"/>
          <s v="2022"/>
          <s v="2023"/>
          <s v="&gt;9/2/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8">
  <r>
    <s v="Tuesday, September 4, 2018"/>
    <x v="0"/>
    <x v="0"/>
    <n v="60.213501000000001"/>
    <n v="60.649501999999998"/>
    <n v="59.625"/>
    <n v="59.849997999999999"/>
    <n v="36620000"/>
    <n v="0"/>
    <n v="0"/>
    <x v="0"/>
    <n v="0"/>
    <s v=""/>
  </r>
  <r>
    <s v="Wednesday, September 5, 2018"/>
    <x v="1"/>
    <x v="1"/>
    <n v="59.689999"/>
    <n v="59.950499999999998"/>
    <n v="58.099997999999999"/>
    <n v="59.324001000000003"/>
    <n v="41226000"/>
    <n v="0"/>
    <n v="-0.53"/>
    <x v="1"/>
    <n v="-8.866512560405302E-3"/>
    <s v=""/>
  </r>
  <r>
    <s v="Thursday, September 6, 2018"/>
    <x v="2"/>
    <x v="2"/>
    <n v="59.314999"/>
    <n v="59.314999"/>
    <n v="57.599997999999999"/>
    <n v="58.571998999999998"/>
    <n v="37770000"/>
    <n v="0"/>
    <n v="-0.75"/>
    <x v="1"/>
    <n v="-1.2838933497898962E-2"/>
    <s v=""/>
  </r>
  <r>
    <s v="Friday, September 7, 2018"/>
    <x v="3"/>
    <x v="3"/>
    <n v="57.933498"/>
    <n v="58.762999999999998"/>
    <n v="57.860748000000001"/>
    <n v="58.241501"/>
    <n v="28026000"/>
    <n v="0"/>
    <n v="-0.33"/>
    <x v="1"/>
    <n v="-5.6746133654762545E-3"/>
    <s v=""/>
  </r>
  <r>
    <s v="Monday, September 10, 2018"/>
    <x v="4"/>
    <x v="4"/>
    <n v="58.609501000000002"/>
    <n v="58.727001000000001"/>
    <n v="58.005501000000002"/>
    <n v="58.231997999999997"/>
    <n v="22308000"/>
    <n v="0"/>
    <n v="-0.01"/>
    <x v="1"/>
    <n v="-1.6319206495374347E-4"/>
    <s v=""/>
  </r>
  <r>
    <s v="Tuesday, September 11, 2018"/>
    <x v="0"/>
    <x v="5"/>
    <n v="58.081501000000003"/>
    <n v="58.933998000000003"/>
    <n v="57.811999999999998"/>
    <n v="58.868000000000002"/>
    <n v="24186000"/>
    <n v="0"/>
    <n v="0.64"/>
    <x v="2"/>
    <n v="1.0803866277094598E-2"/>
    <s v=""/>
  </r>
  <r>
    <s v="Wednesday, September 12, 2018"/>
    <x v="1"/>
    <x v="6"/>
    <n v="58.636001999999998"/>
    <n v="58.930500000000002"/>
    <n v="57.917999000000002"/>
    <n v="58.140999000000001"/>
    <n v="25910000"/>
    <n v="0"/>
    <n v="-0.73"/>
    <x v="1"/>
    <n v="-1.2504102311692328E-2"/>
    <s v=""/>
  </r>
  <r>
    <s v="Thursday, September 13, 2018"/>
    <x v="2"/>
    <x v="7"/>
    <n v="58.536999000000002"/>
    <n v="58.930500000000002"/>
    <n v="58.142502"/>
    <n v="58.766499000000003"/>
    <n v="28624000"/>
    <n v="0"/>
    <n v="0.63"/>
    <x v="2"/>
    <n v="1.0643819363818191E-2"/>
    <s v=""/>
  </r>
  <r>
    <s v="Friday, September 14, 2018"/>
    <x v="3"/>
    <x v="8"/>
    <n v="58.955002"/>
    <n v="59.021251999999997"/>
    <n v="58.416499999999999"/>
    <n v="58.626499000000003"/>
    <n v="18880000"/>
    <n v="0"/>
    <n v="-0.14000000000000001"/>
    <x v="1"/>
    <n v="-2.3879986420475246E-3"/>
    <s v=""/>
  </r>
  <r>
    <s v="Monday, September 17, 2018"/>
    <x v="4"/>
    <x v="9"/>
    <n v="58.506999999999998"/>
    <n v="58.862000000000002"/>
    <n v="58.416499999999999"/>
    <n v="57.802501999999997"/>
    <n v="18880000"/>
    <n v="0"/>
    <n v="-0.82"/>
    <x v="1"/>
    <n v="-1.4255386384485669E-2"/>
    <s v=""/>
  </r>
  <r>
    <s v="Tuesday, September 18, 2018"/>
    <x v="0"/>
    <x v="10"/>
    <n v="57.854500000000002"/>
    <n v="58.804001"/>
    <n v="57.854500000000002"/>
    <n v="58.061000999999997"/>
    <n v="24072000"/>
    <n v="0"/>
    <n v="0.26"/>
    <x v="2"/>
    <n v="4.4521967507931961E-3"/>
    <s v=""/>
  </r>
  <r>
    <s v="Wednesday, September 19, 2018"/>
    <x v="1"/>
    <x v="11"/>
    <n v="58.249001"/>
    <n v="58.660499999999999"/>
    <n v="57.728999999999999"/>
    <n v="58.554501000000002"/>
    <n v="23828000"/>
    <n v="0"/>
    <n v="0.49"/>
    <x v="2"/>
    <n v="8.428045522922388E-3"/>
    <s v=""/>
  </r>
  <r>
    <s v="Thursday, September 20, 2018"/>
    <x v="2"/>
    <x v="12"/>
    <n v="58.999499999999998"/>
    <n v="59.494498999999998"/>
    <n v="58.667999000000002"/>
    <n v="59.343497999999997"/>
    <n v="24508000"/>
    <n v="0"/>
    <n v="0.79"/>
    <x v="2"/>
    <n v="1.3295424546763234E-2"/>
    <s v=""/>
  </r>
  <r>
    <s v="Friday, September 21, 2018"/>
    <x v="3"/>
    <x v="13"/>
    <n v="59.599997999999999"/>
    <n v="59.610500000000002"/>
    <n v="58.301997999999998"/>
    <n v="58.304501000000002"/>
    <n v="88112000"/>
    <n v="0"/>
    <n v="-1.04"/>
    <x v="1"/>
    <n v="-1.7820185100289168E-2"/>
    <s v=""/>
  </r>
  <r>
    <s v="Monday, September 24, 2018"/>
    <x v="4"/>
    <x v="14"/>
    <n v="57.858500999999997"/>
    <n v="58.900002000000001"/>
    <n v="57.345500999999999"/>
    <n v="58.668498999999997"/>
    <n v="25420000"/>
    <n v="0"/>
    <n v="0.36"/>
    <x v="2"/>
    <n v="6.2043175844671804E-3"/>
    <s v=""/>
  </r>
  <r>
    <s v="Tuesday, September 25, 2018"/>
    <x v="0"/>
    <x v="15"/>
    <n v="58.807499"/>
    <n v="59.344002000000003"/>
    <n v="58.400002000000001"/>
    <n v="59.232498"/>
    <n v="19554000"/>
    <n v="0"/>
    <n v="0.56000000000000005"/>
    <x v="2"/>
    <n v="9.5217831265533084E-3"/>
    <s v=""/>
  </r>
  <r>
    <s v="Wednesday, September 26, 2018"/>
    <x v="1"/>
    <x v="16"/>
    <n v="59.2575"/>
    <n v="59.711497999999999"/>
    <n v="58.738250999999998"/>
    <n v="59.024501999999998"/>
    <n v="29246000"/>
    <n v="0"/>
    <n v="-0.21"/>
    <x v="1"/>
    <n v="-3.523892501456453E-3"/>
    <s v=""/>
  </r>
  <r>
    <s v="Thursday, September 27, 2018"/>
    <x v="2"/>
    <x v="17"/>
    <n v="59.336497999999999"/>
    <n v="60.104999999999997"/>
    <n v="59.181499000000002"/>
    <n v="59.731997999999997"/>
    <n v="25216000"/>
    <n v="0"/>
    <n v="0.71"/>
    <x v="2"/>
    <n v="1.1844505854299383E-2"/>
    <s v=""/>
  </r>
  <r>
    <s v="Friday, September 28, 2018"/>
    <x v="3"/>
    <x v="18"/>
    <n v="59.593497999999997"/>
    <n v="59.770499999999998"/>
    <n v="59.224997999999999"/>
    <n v="59.673499999999997"/>
    <n v="27612000"/>
    <n v="0"/>
    <n v="-0.06"/>
    <x v="1"/>
    <n v="-9.80301138696409E-4"/>
    <s v=""/>
  </r>
  <r>
    <s v="Monday, October 1, 2018"/>
    <x v="4"/>
    <x v="19"/>
    <n v="59.994498999999998"/>
    <n v="60.494999"/>
    <n v="59.514999000000003"/>
    <n v="59.765498999999998"/>
    <n v="27152000"/>
    <n v="0"/>
    <n v="0.09"/>
    <x v="2"/>
    <n v="1.5393329184786239E-3"/>
    <s v=""/>
  </r>
  <r>
    <s v="Tuesday, October 2, 2018"/>
    <x v="0"/>
    <x v="20"/>
    <n v="59.548000000000002"/>
    <n v="60.498001000000002"/>
    <n v="59.331501000000003"/>
    <n v="60.005501000000002"/>
    <n v="33758000"/>
    <n v="0"/>
    <n v="0.24"/>
    <x v="2"/>
    <n v="3.9996666305644885E-3"/>
    <s v=""/>
  </r>
  <r>
    <s v="Wednesday, October 3, 2018"/>
    <x v="1"/>
    <x v="21"/>
    <n v="60.25"/>
    <n v="60.320498999999998"/>
    <n v="59.691502"/>
    <n v="60.147499000000003"/>
    <n v="25124000"/>
    <n v="0"/>
    <n v="0.14000000000000001"/>
    <x v="2"/>
    <n v="2.3608296664172344E-3"/>
    <s v=""/>
  </r>
  <r>
    <s v="Thursday, October 4, 2018"/>
    <x v="2"/>
    <x v="22"/>
    <n v="59.766499000000003"/>
    <n v="59.875500000000002"/>
    <n v="57.778801000000001"/>
    <n v="58.409500000000001"/>
    <n v="44190000"/>
    <n v="0"/>
    <n v="-1.74"/>
    <x v="1"/>
    <n v="-2.9755416499028447E-2"/>
    <s v=""/>
  </r>
  <r>
    <s v="Friday, October 5, 2018"/>
    <x v="3"/>
    <x v="23"/>
    <n v="58.375"/>
    <n v="58.674999"/>
    <n v="57.256000999999998"/>
    <n v="57.8675"/>
    <n v="23686000"/>
    <n v="0"/>
    <n v="-0.54"/>
    <x v="1"/>
    <n v="-9.3662245647384394E-3"/>
    <s v=""/>
  </r>
  <r>
    <s v="Monday, October 8, 2018"/>
    <x v="4"/>
    <x v="24"/>
    <n v="57.505501000000002"/>
    <n v="58.400002000000001"/>
    <n v="56.368198"/>
    <n v="57.448501999999998"/>
    <n v="38648000"/>
    <n v="0"/>
    <n v="-0.42"/>
    <x v="1"/>
    <n v="-7.2934538832710033E-3"/>
    <s v=""/>
  </r>
  <r>
    <s v="Tuesday, October 9, 2018"/>
    <x v="0"/>
    <x v="25"/>
    <n v="57.307499"/>
    <n v="57.717498999999997"/>
    <n v="56.878601000000003"/>
    <n v="56.941001999999997"/>
    <n v="26174000"/>
    <n v="0"/>
    <n v="-0.51"/>
    <x v="1"/>
    <n v="-8.9127339206289402E-3"/>
    <s v=""/>
  </r>
  <r>
    <s v="Wednesday, October 10, 2018"/>
    <x v="1"/>
    <x v="26"/>
    <n v="56.554001"/>
    <n v="56.608500999999997"/>
    <n v="54.056499000000002"/>
    <n v="54.061000999999997"/>
    <n v="53514000"/>
    <n v="0"/>
    <n v="-2.88"/>
    <x v="1"/>
    <n v="-5.3273171911855648E-2"/>
    <s v=""/>
  </r>
  <r>
    <s v="Thursday, October 11, 2018"/>
    <x v="2"/>
    <x v="27"/>
    <n v="53.646999000000001"/>
    <n v="55.32"/>
    <n v="53.413502000000001"/>
    <n v="53.966000000000001"/>
    <n v="58980000"/>
    <n v="0"/>
    <n v="-0.1"/>
    <x v="1"/>
    <n v="-1.7603861690693463E-3"/>
    <s v=""/>
  </r>
  <r>
    <s v="Friday, October 12, 2018"/>
    <x v="3"/>
    <x v="28"/>
    <n v="55.400002000000001"/>
    <n v="55.75"/>
    <n v="54.320098999999999"/>
    <n v="55.504002"/>
    <n v="42026000"/>
    <n v="0"/>
    <n v="1.54"/>
    <x v="2"/>
    <n v="2.7709749650124307E-2"/>
    <s v=""/>
  </r>
  <r>
    <s v="Monday, October 15, 2018"/>
    <x v="4"/>
    <x v="29"/>
    <n v="55.445498999999998"/>
    <n v="55.672297999999998"/>
    <n v="54.450001"/>
    <n v="54.612499"/>
    <n v="27448000"/>
    <n v="0"/>
    <n v="-0.89"/>
    <x v="1"/>
    <n v="-1.6324156856473464E-2"/>
    <s v=""/>
  </r>
  <r>
    <s v="Tuesday, October 16, 2018"/>
    <x v="0"/>
    <x v="30"/>
    <n v="55.229500000000002"/>
    <n v="56.210999000000001"/>
    <n v="55.125"/>
    <n v="56.063999000000003"/>
    <n v="38570000"/>
    <n v="0"/>
    <n v="1.45"/>
    <x v="2"/>
    <n v="2.5890054685538982E-2"/>
    <s v=""/>
  </r>
  <r>
    <s v="Wednesday, October 17, 2018"/>
    <x v="1"/>
    <x v="31"/>
    <n v="56.323002000000002"/>
    <n v="56.449500999999998"/>
    <n v="55.109501000000002"/>
    <n v="55.784500000000001"/>
    <n v="29344000"/>
    <n v="0"/>
    <n v="-0.28000000000000003"/>
    <x v="1"/>
    <n v="-5.0103344118886299E-3"/>
    <s v=""/>
  </r>
  <r>
    <s v="Thursday, October 18, 2018"/>
    <x v="2"/>
    <x v="32"/>
    <n v="56.091999000000001"/>
    <n v="56.091999000000001"/>
    <n v="53.854500000000002"/>
    <n v="54.398499000000001"/>
    <n v="41890000"/>
    <n v="0"/>
    <n v="-1.39"/>
    <x v="1"/>
    <n v="-2.5478662563832879E-2"/>
    <s v=""/>
  </r>
  <r>
    <s v="Friday, October 19, 2018"/>
    <x v="3"/>
    <x v="33"/>
    <n v="54.668498999999997"/>
    <n v="55.518002000000003"/>
    <n v="54.387501"/>
    <n v="54.823002000000002"/>
    <n v="25352000"/>
    <n v="0"/>
    <n v="0.42"/>
    <x v="2"/>
    <n v="7.7431549625830666E-3"/>
    <s v=""/>
  </r>
  <r>
    <s v="Monday, October 22, 2018"/>
    <x v="4"/>
    <x v="34"/>
    <n v="55.152999999999999"/>
    <n v="55.611499999999999"/>
    <n v="54.549999"/>
    <n v="55.057999000000002"/>
    <n v="30284000"/>
    <n v="0"/>
    <n v="0.23"/>
    <x v="2"/>
    <n v="4.2681718236799683E-3"/>
    <s v=""/>
  </r>
  <r>
    <s v="Tuesday, October 23, 2018"/>
    <x v="0"/>
    <x v="35"/>
    <n v="54.044497999999997"/>
    <n v="55.394500999999998"/>
    <n v="53.5"/>
    <n v="55.184502000000002"/>
    <n v="36974000"/>
    <n v="0"/>
    <n v="0.13"/>
    <x v="2"/>
    <n v="2.292364620777036E-3"/>
    <s v=""/>
  </r>
  <r>
    <s v="Wednesday, October 24, 2018"/>
    <x v="1"/>
    <x v="36"/>
    <n v="55.212502000000001"/>
    <n v="55.305999999999997"/>
    <n v="52.436999999999998"/>
    <n v="52.535499999999999"/>
    <n v="39648000"/>
    <n v="0"/>
    <n v="-2.65"/>
    <x v="1"/>
    <n v="-5.0423085342292409E-2"/>
    <s v=""/>
  </r>
  <r>
    <s v="Thursday, October 25, 2018"/>
    <x v="2"/>
    <x v="37"/>
    <n v="53.589500000000001"/>
    <n v="55.548999999999999"/>
    <n v="53.477500999999997"/>
    <n v="54.778500000000001"/>
    <n v="50916000"/>
    <n v="0"/>
    <n v="2.2400000000000002"/>
    <x v="2"/>
    <n v="4.0946721797785662E-2"/>
    <s v=""/>
  </r>
  <r>
    <s v="Friday, October 26, 2018"/>
    <x v="3"/>
    <x v="38"/>
    <n v="51.851500999999999"/>
    <n v="55.326500000000003"/>
    <n v="51.704498000000001"/>
    <n v="53.573501999999998"/>
    <n v="83752000"/>
    <n v="0"/>
    <n v="-1.2"/>
    <x v="1"/>
    <n v="-2.2492425453165325E-2"/>
    <s v=""/>
  </r>
  <r>
    <s v="Monday, October 29, 2018"/>
    <x v="4"/>
    <x v="39"/>
    <n v="54.123500999999997"/>
    <n v="54.852001000000001"/>
    <n v="49.791499999999999"/>
    <n v="51.004002"/>
    <n v="77614000"/>
    <n v="0"/>
    <n v="-2.57"/>
    <x v="1"/>
    <n v="-5.0378399718516167E-2"/>
    <s v=""/>
  </r>
  <r>
    <s v="Tuesday, October 30, 2018"/>
    <x v="0"/>
    <x v="40"/>
    <n v="50.423000000000002"/>
    <n v="51.874499999999998"/>
    <n v="50.037497999999999"/>
    <n v="51.810501000000002"/>
    <n v="64254000"/>
    <n v="0"/>
    <n v="0.81"/>
    <x v="2"/>
    <n v="1.556632312820141E-2"/>
    <s v=""/>
  </r>
  <r>
    <s v="Wednesday, October 31, 2018"/>
    <x v="1"/>
    <x v="41"/>
    <n v="52.990501000000002"/>
    <n v="54.597000000000001"/>
    <n v="52.849997999999999"/>
    <n v="53.838501000000001"/>
    <n v="50596000"/>
    <n v="0"/>
    <n v="2.0299999999999998"/>
    <x v="2"/>
    <n v="3.766821071039847E-2"/>
    <s v=""/>
  </r>
  <r>
    <s v="Thursday, November 1, 2018"/>
    <x v="2"/>
    <x v="42"/>
    <n v="53.790000999999997"/>
    <n v="54.198749999999997"/>
    <n v="53.123001000000002"/>
    <n v="53.5"/>
    <n v="29640000"/>
    <n v="0"/>
    <n v="-0.34"/>
    <x v="1"/>
    <n v="-6.3271214953271185E-3"/>
    <s v=""/>
  </r>
  <r>
    <s v="Friday, November 2, 2018"/>
    <x v="3"/>
    <x v="43"/>
    <n v="53.686501"/>
    <n v="54.14875"/>
    <n v="52.730499000000002"/>
    <n v="52.889499999999998"/>
    <n v="36780000"/>
    <n v="0"/>
    <n v="-0.61"/>
    <x v="1"/>
    <n v="-1.1542933852655099E-2"/>
    <s v=""/>
  </r>
  <r>
    <s v="Monday, November 5, 2018"/>
    <x v="4"/>
    <x v="44"/>
    <n v="52.75"/>
    <n v="52.923499999999997"/>
    <n v="51.061999999999998"/>
    <n v="52.004500999999998"/>
    <n v="48828000"/>
    <n v="0"/>
    <n v="-0.88"/>
    <x v="1"/>
    <n v="-1.7017738522286763E-2"/>
    <s v=""/>
  </r>
  <r>
    <s v="Tuesday, November 6, 2018"/>
    <x v="0"/>
    <x v="45"/>
    <n v="51.973998999999999"/>
    <n v="53.217250999999997"/>
    <n v="51.903500000000001"/>
    <n v="52.790500999999999"/>
    <n v="24666000"/>
    <n v="0"/>
    <n v="0.79"/>
    <x v="2"/>
    <n v="1.4889042254022202E-2"/>
    <s v=""/>
  </r>
  <r>
    <s v="Wednesday, November 7, 2018"/>
    <x v="1"/>
    <x v="46"/>
    <n v="53.450001"/>
    <n v="54.772998999999999"/>
    <n v="53.294998"/>
    <n v="54.669497999999997"/>
    <n v="41168000"/>
    <n v="0"/>
    <n v="1.88"/>
    <x v="2"/>
    <n v="3.4370116220931793E-2"/>
    <s v=""/>
  </r>
  <r>
    <s v="Thursday, November 8, 2018"/>
    <x v="2"/>
    <x v="47"/>
    <n v="54.569000000000003"/>
    <n v="54.663502000000001"/>
    <n v="53.610249000000003"/>
    <n v="54.119999"/>
    <n v="29764000"/>
    <n v="0"/>
    <n v="-0.55000000000000004"/>
    <x v="1"/>
    <n v="-1.0153344607415777E-2"/>
    <s v=""/>
  </r>
  <r>
    <s v="Friday, November 9, 2018"/>
    <x v="3"/>
    <x v="48"/>
    <n v="53.699500999999998"/>
    <n v="53.777999999999999"/>
    <n v="52.655498999999999"/>
    <n v="53.307499"/>
    <n v="26864000"/>
    <n v="0"/>
    <n v="-0.81"/>
    <x v="1"/>
    <n v="-1.5241758012320181E-2"/>
    <s v=""/>
  </r>
  <r>
    <s v="Monday, November 12, 2018"/>
    <x v="4"/>
    <x v="49"/>
    <n v="53.069499999999998"/>
    <n v="53.105998999999997"/>
    <n v="51.549999"/>
    <n v="51.931499000000002"/>
    <n v="29436000"/>
    <n v="0"/>
    <n v="-1.38"/>
    <x v="1"/>
    <n v="-2.6496442939187979E-2"/>
    <s v=""/>
  </r>
  <r>
    <s v="Tuesday, November 13, 2018"/>
    <x v="0"/>
    <x v="50"/>
    <n v="52.164501000000001"/>
    <n v="52.830249999999999"/>
    <n v="51.557499"/>
    <n v="51.802501999999997"/>
    <n v="30274000"/>
    <n v="0"/>
    <n v="-0.13"/>
    <x v="1"/>
    <n v="-2.4901692972282567E-3"/>
    <s v=""/>
  </r>
  <r>
    <s v="Wednesday, November 14, 2018"/>
    <x v="1"/>
    <x v="51"/>
    <n v="52.5"/>
    <n v="52.728198999999996"/>
    <n v="51.549999"/>
    <n v="52.182999000000002"/>
    <n v="31318000"/>
    <n v="0"/>
    <n v="0.38"/>
    <x v="2"/>
    <n v="7.2915893546096379E-3"/>
    <s v=""/>
  </r>
  <r>
    <s v="Thursday, November 15, 2018"/>
    <x v="2"/>
    <x v="52"/>
    <n v="52.235500000000002"/>
    <n v="53.592498999999997"/>
    <n v="51.589001000000003"/>
    <n v="53.235500000000002"/>
    <n v="36722000"/>
    <n v="0"/>
    <n v="1.05"/>
    <x v="2"/>
    <n v="1.9770660555456405E-2"/>
    <s v=""/>
  </r>
  <r>
    <s v="Friday, November 16, 2018"/>
    <x v="3"/>
    <x v="53"/>
    <n v="52.970500999999999"/>
    <n v="53.349997999999999"/>
    <n v="52.449001000000003"/>
    <n v="53.074500999999998"/>
    <n v="33162000"/>
    <n v="0"/>
    <n v="-0.16"/>
    <x v="1"/>
    <n v="-3.0334529193219149E-3"/>
    <s v=""/>
  </r>
  <r>
    <s v="Monday, November 19, 2018"/>
    <x v="4"/>
    <x v="54"/>
    <n v="52.860000999999997"/>
    <n v="53.039501000000001"/>
    <n v="50.813000000000002"/>
    <n v="51"/>
    <n v="37172000"/>
    <n v="0"/>
    <n v="-2.0699999999999998"/>
    <x v="1"/>
    <n v="-4.0676490196078392E-2"/>
    <s v=""/>
  </r>
  <r>
    <s v="Tuesday, November 20, 2018"/>
    <x v="0"/>
    <x v="55"/>
    <n v="50"/>
    <n v="51.587001999999998"/>
    <n v="49.800998999999997"/>
    <n v="51.287998000000002"/>
    <n v="48982000"/>
    <n v="0"/>
    <n v="0.28999999999999998"/>
    <x v="2"/>
    <n v="5.6153098430553232E-3"/>
    <s v=""/>
  </r>
  <r>
    <s v="Wednesday, November 21, 2018"/>
    <x v="1"/>
    <x v="56"/>
    <n v="51.838000999999998"/>
    <n v="52.428001000000002"/>
    <n v="51.673499999999997"/>
    <n v="51.880501000000002"/>
    <n v="30686000"/>
    <n v="0"/>
    <n v="0.59"/>
    <x v="2"/>
    <n v="1.1420533506413144E-2"/>
    <s v=""/>
  </r>
  <r>
    <s v="Friday, November 23, 2018"/>
    <x v="3"/>
    <x v="57"/>
    <n v="51.5"/>
    <n v="51.879500999999998"/>
    <n v="51.119948999999998"/>
    <n v="51.194000000000003"/>
    <n v="13830000"/>
    <n v="0"/>
    <n v="-0.69"/>
    <x v="1"/>
    <n v="-1.3409794116498022E-2"/>
    <s v=""/>
  </r>
  <r>
    <s v="Monday, November 26, 2018"/>
    <x v="4"/>
    <x v="58"/>
    <n v="51.917499999999997"/>
    <n v="52.465499999999999"/>
    <n v="51.695498999999998"/>
    <n v="52.430999999999997"/>
    <n v="38856000"/>
    <n v="0"/>
    <n v="1.24"/>
    <x v="2"/>
    <n v="2.3592912589879934E-2"/>
    <s v=""/>
  </r>
  <r>
    <s v="Tuesday, November 27, 2018"/>
    <x v="0"/>
    <x v="59"/>
    <n v="52.049999"/>
    <n v="52.879002"/>
    <n v="51.924500000000002"/>
    <n v="52.220500999999999"/>
    <n v="36064000"/>
    <n v="0"/>
    <n v="-0.21"/>
    <x v="1"/>
    <n v="-4.0309647737772313E-3"/>
    <s v=""/>
  </r>
  <r>
    <s v="Wednesday, November 28, 2018"/>
    <x v="1"/>
    <x v="60"/>
    <n v="52.438000000000002"/>
    <n v="54.341999000000001"/>
    <n v="51.787998000000002"/>
    <n v="54.311501"/>
    <n v="49508000"/>
    <n v="0"/>
    <n v="2.09"/>
    <x v="2"/>
    <n v="3.8500132780347959E-2"/>
    <s v=""/>
  </r>
  <r>
    <s v="Thursday, November 29, 2018"/>
    <x v="2"/>
    <x v="61"/>
    <n v="53.804001"/>
    <n v="54.712249999999997"/>
    <n v="53.799999"/>
    <n v="54.415000999999997"/>
    <n v="29378000"/>
    <n v="0"/>
    <n v="0.1"/>
    <x v="2"/>
    <n v="1.9020490323981951E-3"/>
    <s v=""/>
  </r>
  <r>
    <s v="Friday, November 30, 2018"/>
    <x v="3"/>
    <x v="62"/>
    <n v="54.453499000000001"/>
    <n v="54.778500000000001"/>
    <n v="53.894001000000003"/>
    <n v="54.721499999999999"/>
    <n v="51604000"/>
    <n v="0"/>
    <n v="0.31"/>
    <x v="2"/>
    <n v="5.6010708770776073E-3"/>
    <s v=""/>
  </r>
  <r>
    <s v="Monday, December 3, 2018"/>
    <x v="4"/>
    <x v="63"/>
    <n v="56.157001000000001"/>
    <n v="56.232498"/>
    <n v="55.183250000000001"/>
    <n v="55.321499000000003"/>
    <n v="39824000"/>
    <n v="0"/>
    <n v="0.6"/>
    <x v="2"/>
    <n v="1.0845675024098748E-2"/>
    <s v=""/>
  </r>
  <r>
    <s v="Tuesday, December 4, 2018"/>
    <x v="0"/>
    <x v="64"/>
    <n v="55.155997999999997"/>
    <n v="55.221001000000001"/>
    <n v="52.499001"/>
    <n v="52.540999999999997"/>
    <n v="46904000"/>
    <n v="0"/>
    <n v="-2.78"/>
    <x v="1"/>
    <n v="-5.2920557279077407E-2"/>
    <s v=""/>
  </r>
  <r>
    <s v="Thursday, December 6, 2018"/>
    <x v="2"/>
    <x v="65"/>
    <n v="51.713000999999998"/>
    <n v="53.560001"/>
    <n v="51.538502000000001"/>
    <n v="53.436501"/>
    <n v="55384000"/>
    <n v="0"/>
    <n v="0.9"/>
    <x v="2"/>
    <n v="1.6758226740931317E-2"/>
    <s v=""/>
  </r>
  <r>
    <s v="Friday, December 7, 2018"/>
    <x v="3"/>
    <x v="66"/>
    <n v="53.000500000000002"/>
    <n v="53.762999999999998"/>
    <n v="51.424999"/>
    <n v="51.828999000000003"/>
    <n v="42024000"/>
    <n v="0"/>
    <n v="-1.61"/>
    <x v="1"/>
    <n v="-3.1015493855090594E-2"/>
    <s v=""/>
  </r>
  <r>
    <s v="Monday, December 10, 2018"/>
    <x v="4"/>
    <x v="67"/>
    <n v="51.752499"/>
    <n v="52.422500999999997"/>
    <n v="51.164501000000001"/>
    <n v="51.977500999999997"/>
    <n v="36154000"/>
    <n v="0"/>
    <n v="0.15"/>
    <x v="2"/>
    <n v="2.8570438582646266E-3"/>
    <s v=""/>
  </r>
  <r>
    <s v="Tuesday, December 11, 2018"/>
    <x v="0"/>
    <x v="68"/>
    <n v="52.824500999999998"/>
    <n v="53.029998999999997"/>
    <n v="51.992001000000002"/>
    <n v="52.587502000000001"/>
    <n v="27894000"/>
    <n v="0"/>
    <n v="0.61"/>
    <x v="2"/>
    <n v="1.1599733335879008E-2"/>
    <s v=""/>
  </r>
  <r>
    <s v="Wednesday, December 12, 2018"/>
    <x v="1"/>
    <x v="69"/>
    <n v="53.400002000000001"/>
    <n v="54.082500000000003"/>
    <n v="53.139499999999998"/>
    <n v="53.183998000000003"/>
    <n v="30476000"/>
    <n v="0"/>
    <n v="0.6"/>
    <x v="2"/>
    <n v="1.1215704392889039E-2"/>
    <s v=""/>
  </r>
  <r>
    <s v="Thursday, December 13, 2018"/>
    <x v="2"/>
    <x v="70"/>
    <n v="53.403500000000001"/>
    <n v="53.987999000000002"/>
    <n v="52.696499000000003"/>
    <n v="53.095001000000003"/>
    <n v="26596000"/>
    <n v="0"/>
    <n v="-0.09"/>
    <x v="1"/>
    <n v="-1.6761841665658712E-3"/>
    <s v=""/>
  </r>
  <r>
    <s v="Friday, December 14, 2018"/>
    <x v="3"/>
    <x v="71"/>
    <n v="52.499001"/>
    <n v="53.130001"/>
    <n v="52.039501000000001"/>
    <n v="52.104999999999997"/>
    <n v="33732000"/>
    <n v="0"/>
    <n v="-0.99"/>
    <x v="1"/>
    <n v="-1.9000115152096854E-2"/>
    <s v=""/>
  </r>
  <r>
    <s v="Monday, December 17, 2018"/>
    <x v="4"/>
    <x v="72"/>
    <n v="51.875500000000002"/>
    <n v="52.657501000000003"/>
    <n v="50.395000000000003"/>
    <n v="50.826500000000003"/>
    <n v="47708000"/>
    <n v="0"/>
    <n v="-1.28"/>
    <x v="1"/>
    <n v="-2.515420105653535E-2"/>
    <s v=""/>
  </r>
  <r>
    <s v="Tuesday, December 18, 2018"/>
    <x v="0"/>
    <x v="73"/>
    <n v="51.304501000000002"/>
    <n v="52.473998999999999"/>
    <n v="51.071998999999998"/>
    <n v="51.435501000000002"/>
    <n v="43850000"/>
    <n v="0"/>
    <n v="0.61"/>
    <x v="2"/>
    <n v="1.184009075754894E-2"/>
    <s v=""/>
  </r>
  <r>
    <s v="Wednesday, December 19, 2018"/>
    <x v="1"/>
    <x v="74"/>
    <n v="51.699500999999998"/>
    <n v="53.099997999999999"/>
    <n v="50.402500000000003"/>
    <n v="51.150500999999998"/>
    <n v="49586000"/>
    <n v="0"/>
    <n v="-0.28999999999999998"/>
    <x v="1"/>
    <n v="-5.5717929331719294E-3"/>
    <s v=""/>
  </r>
  <r>
    <s v="Thursday, December 20, 2018"/>
    <x v="2"/>
    <x v="75"/>
    <n v="50.906502000000003"/>
    <n v="51.710999000000001"/>
    <n v="49.818001000000002"/>
    <n v="50.470500999999999"/>
    <n v="53470000"/>
    <n v="0"/>
    <n v="-0.68"/>
    <x v="1"/>
    <n v="-1.3473216760816377E-2"/>
    <s v=""/>
  </r>
  <r>
    <s v="Friday, December 21, 2018"/>
    <x v="3"/>
    <x v="76"/>
    <n v="50.764999000000003"/>
    <n v="51.201000000000001"/>
    <n v="48.684502000000002"/>
    <n v="48.977001000000001"/>
    <n v="91920000"/>
    <n v="0"/>
    <n v="-1.49"/>
    <x v="1"/>
    <n v="-3.0493904679872036E-2"/>
    <s v=""/>
  </r>
  <r>
    <s v="Monday, December 24, 2018"/>
    <x v="4"/>
    <x v="77"/>
    <n v="48.695"/>
    <n v="50.176997999999998"/>
    <n v="48.505501000000002"/>
    <n v="48.811000999999997"/>
    <n v="31806000"/>
    <n v="0"/>
    <n v="-0.17"/>
    <x v="1"/>
    <n v="-3.400872684418087E-3"/>
    <s v=""/>
  </r>
  <r>
    <s v="Wednesday, December 26, 2018"/>
    <x v="1"/>
    <x v="78"/>
    <n v="49.450499999999998"/>
    <n v="52"/>
    <n v="49.150002000000001"/>
    <n v="51.972999999999999"/>
    <n v="47466000"/>
    <n v="0"/>
    <n v="3.16"/>
    <x v="2"/>
    <n v="6.0839262694091192E-2"/>
    <n v="6.0839262694091192E-2"/>
  </r>
  <r>
    <s v="Thursday, December 27, 2018"/>
    <x v="2"/>
    <x v="79"/>
    <n v="50.857498"/>
    <n v="52.194499999999998"/>
    <n v="49.849997999999999"/>
    <n v="52.194000000000003"/>
    <n v="42196000"/>
    <n v="0"/>
    <n v="0.22"/>
    <x v="2"/>
    <n v="4.2342031651148339E-3"/>
    <s v=""/>
  </r>
  <r>
    <s v="Friday, December 28, 2018"/>
    <x v="3"/>
    <x v="80"/>
    <n v="52.480998999999997"/>
    <n v="52.777999999999999"/>
    <n v="51.654998999999997"/>
    <n v="51.853999999999999"/>
    <n v="28296000"/>
    <n v="0"/>
    <n v="-0.34"/>
    <x v="1"/>
    <n v="-6.5568712153354306E-3"/>
    <s v=""/>
  </r>
  <r>
    <s v="Monday, December 31, 2018"/>
    <x v="4"/>
    <x v="81"/>
    <n v="52.548000000000002"/>
    <n v="52.634998000000003"/>
    <n v="51.179501000000002"/>
    <n v="51.780498999999999"/>
    <n v="29866000"/>
    <n v="0"/>
    <n v="-7.0000000000000007E-2"/>
    <x v="1"/>
    <n v="-1.4194726087904301E-3"/>
    <s v=""/>
  </r>
  <r>
    <s v="Wednesday, January 2, 2019"/>
    <x v="1"/>
    <x v="82"/>
    <n v="50.828499000000001"/>
    <n v="52.616000999999997"/>
    <n v="50.785499999999999"/>
    <n v="52.292499999999997"/>
    <n v="30652000"/>
    <n v="0"/>
    <n v="0.51"/>
    <x v="2"/>
    <n v="9.7910981498302418E-3"/>
    <s v=""/>
  </r>
  <r>
    <s v="Thursday, January 3, 2019"/>
    <x v="2"/>
    <x v="83"/>
    <n v="52.049999"/>
    <n v="52.848998999999999"/>
    <n v="50.703499000000001"/>
    <n v="50.803001000000002"/>
    <n v="36822000"/>
    <n v="0"/>
    <n v="-1.49"/>
    <x v="1"/>
    <n v="-2.9319114435779E-2"/>
    <s v=""/>
  </r>
  <r>
    <s v="Friday, January 4, 2019"/>
    <x v="3"/>
    <x v="84"/>
    <n v="51.629500999999998"/>
    <n v="53.542000000000002"/>
    <n v="51.370899000000001"/>
    <n v="53.535499999999999"/>
    <n v="41878000"/>
    <n v="0"/>
    <n v="2.73"/>
    <x v="2"/>
    <n v="5.1040879416461918E-2"/>
    <n v="5.1040879416461918E-2"/>
  </r>
  <r>
    <s v="Monday, January 7, 2019"/>
    <x v="4"/>
    <x v="85"/>
    <n v="53.575001"/>
    <n v="53.700001"/>
    <n v="52.737999000000002"/>
    <n v="53.419497999999997"/>
    <n v="39638000"/>
    <n v="0"/>
    <n v="-0.12"/>
    <x v="1"/>
    <n v="-2.1715292045612583E-3"/>
    <s v=""/>
  </r>
  <r>
    <s v="Tuesday, January 8, 2019"/>
    <x v="0"/>
    <x v="86"/>
    <n v="53.805500000000002"/>
    <n v="54.228000999999999"/>
    <n v="53.026501000000003"/>
    <n v="53.813999000000003"/>
    <n v="35298000"/>
    <n v="0"/>
    <n v="0.39"/>
    <x v="2"/>
    <n v="7.3308248286845451E-3"/>
    <s v=""/>
  </r>
  <r>
    <s v="Wednesday, January 9, 2019"/>
    <x v="1"/>
    <x v="87"/>
    <n v="54.082500000000003"/>
    <n v="54.131500000000003"/>
    <n v="53.32"/>
    <n v="53.733001999999999"/>
    <n v="23986000"/>
    <n v="0"/>
    <n v="-0.08"/>
    <x v="1"/>
    <n v="-1.5073976324643753E-3"/>
    <s v=""/>
  </r>
  <r>
    <s v="Thursday, January 10, 2019"/>
    <x v="2"/>
    <x v="88"/>
    <n v="53.382998999999998"/>
    <n v="53.557499"/>
    <n v="52.885502000000002"/>
    <n v="53.516499000000003"/>
    <n v="29128000"/>
    <n v="0"/>
    <n v="-0.22"/>
    <x v="1"/>
    <n v="-4.045537433231495E-3"/>
    <s v=""/>
  </r>
  <r>
    <s v="Friday, January 11, 2019"/>
    <x v="3"/>
    <x v="89"/>
    <n v="53.158999999999999"/>
    <n v="53.188751000000003"/>
    <n v="52.423999999999999"/>
    <n v="52.859501000000002"/>
    <n v="30416000"/>
    <n v="0"/>
    <n v="-0.66"/>
    <x v="1"/>
    <n v="-1.2429137384403261E-2"/>
    <s v=""/>
  </r>
  <r>
    <s v="Monday, January 14, 2019"/>
    <x v="4"/>
    <x v="90"/>
    <n v="52.346001000000001"/>
    <n v="52.576500000000003"/>
    <n v="52.062752000000003"/>
    <n v="52.234501000000002"/>
    <n v="22886000"/>
    <n v="0"/>
    <n v="-0.63"/>
    <x v="1"/>
    <n v="-1.196527176549461E-2"/>
    <s v=""/>
  </r>
  <r>
    <s v="Tuesday, January 15, 2019"/>
    <x v="0"/>
    <x v="91"/>
    <n v="52.508499"/>
    <n v="54.002499"/>
    <n v="52.367001000000002"/>
    <n v="53.857498"/>
    <n v="29272000"/>
    <n v="0"/>
    <n v="1.62"/>
    <x v="2"/>
    <n v="3.0135024096366266E-2"/>
    <s v=""/>
  </r>
  <r>
    <s v="Wednesday, January 16, 2019"/>
    <x v="1"/>
    <x v="92"/>
    <n v="54"/>
    <n v="54.618752000000001"/>
    <n v="53.966999000000001"/>
    <n v="54.048499999999997"/>
    <n v="26636000"/>
    <n v="0"/>
    <n v="0.19"/>
    <x v="2"/>
    <n v="3.5339001082360742E-3"/>
    <s v=""/>
  </r>
  <r>
    <s v="Thursday, January 17, 2019"/>
    <x v="2"/>
    <x v="93"/>
    <n v="53.973498999999997"/>
    <n v="54.59"/>
    <n v="53.674999"/>
    <n v="54.494999"/>
    <n v="24854000"/>
    <n v="0"/>
    <n v="0.45"/>
    <x v="2"/>
    <n v="8.193394039698999E-3"/>
    <s v=""/>
  </r>
  <r>
    <s v="Friday, January 18, 2019"/>
    <x v="3"/>
    <x v="94"/>
    <n v="55"/>
    <n v="55.417599000000003"/>
    <n v="54.544998"/>
    <n v="54.912998000000002"/>
    <n v="39112000"/>
    <n v="0"/>
    <n v="0.42"/>
    <x v="2"/>
    <n v="7.6120229312557613E-3"/>
    <s v=""/>
  </r>
  <r>
    <s v="Tuesday, January 22, 2019"/>
    <x v="0"/>
    <x v="95"/>
    <n v="54.400002000000001"/>
    <n v="54.575499999999998"/>
    <n v="53.173499999999997"/>
    <n v="53.526001000000001"/>
    <n v="32270000"/>
    <n v="0"/>
    <n v="-1.39"/>
    <x v="1"/>
    <n v="-2.5912584054243112E-2"/>
    <s v=""/>
  </r>
  <r>
    <s v="Wednesday, January 23, 2019"/>
    <x v="1"/>
    <x v="96"/>
    <n v="53.8675"/>
    <n v="54.246498000000003"/>
    <n v="52.987499"/>
    <n v="53.778500000000001"/>
    <n v="19340000"/>
    <n v="0"/>
    <n v="0.25"/>
    <x v="2"/>
    <n v="4.6951662839238772E-3"/>
    <s v=""/>
  </r>
  <r>
    <s v="Thursday, January 24, 2019"/>
    <x v="2"/>
    <x v="97"/>
    <n v="53.824001000000003"/>
    <n v="53.973751"/>
    <n v="53.034999999999997"/>
    <n v="53.695"/>
    <n v="27226000"/>
    <n v="0"/>
    <n v="-0.08"/>
    <x v="1"/>
    <n v="-1.5550796163516303E-3"/>
    <s v=""/>
  </r>
  <r>
    <s v="Friday, January 25, 2019"/>
    <x v="3"/>
    <x v="98"/>
    <n v="54.25"/>
    <n v="54.700001"/>
    <n v="54.091000000000001"/>
    <n v="54.549500000000002"/>
    <n v="22382000"/>
    <n v="0"/>
    <n v="0.85"/>
    <x v="2"/>
    <n v="1.5664671536861043E-2"/>
    <s v=""/>
  </r>
  <r>
    <s v="Monday, January 28, 2019"/>
    <x v="4"/>
    <x v="99"/>
    <n v="54.005501000000002"/>
    <n v="54.150002000000001"/>
    <n v="53.189999"/>
    <n v="53.504002"/>
    <n v="25686000"/>
    <n v="0"/>
    <n v="-1.05"/>
    <x v="1"/>
    <n v="-1.9540556984877545E-2"/>
    <s v=""/>
  </r>
  <r>
    <s v="Tuesday, January 29, 2019"/>
    <x v="0"/>
    <x v="100"/>
    <n v="53.633999000000003"/>
    <n v="53.7575"/>
    <n v="52.793250999999998"/>
    <n v="53.030997999999997"/>
    <n v="20436000"/>
    <n v="0"/>
    <n v="-0.47"/>
    <x v="1"/>
    <n v="-8.9193871101577813E-3"/>
    <s v=""/>
  </r>
  <r>
    <s v="Wednesday, January 30, 2019"/>
    <x v="1"/>
    <x v="101"/>
    <n v="53.421500999999999"/>
    <n v="54.549999"/>
    <n v="53.342498999999997"/>
    <n v="54.452998999999998"/>
    <n v="25596000"/>
    <n v="0"/>
    <n v="1.42"/>
    <x v="2"/>
    <n v="2.611428252096825E-2"/>
    <s v=""/>
  </r>
  <r>
    <s v="Thursday, January 31, 2019"/>
    <x v="2"/>
    <x v="102"/>
    <n v="55.150002000000001"/>
    <n v="55.866501"/>
    <n v="54.770499999999998"/>
    <n v="55.818500999999998"/>
    <n v="30766000"/>
    <n v="0"/>
    <n v="1.37"/>
    <x v="2"/>
    <n v="2.4463250992712959E-2"/>
    <s v=""/>
  </r>
  <r>
    <s v="Friday, February 1, 2019"/>
    <x v="3"/>
    <x v="103"/>
    <n v="55.619999"/>
    <n v="56.25"/>
    <n v="55.244498999999998"/>
    <n v="55.537497999999999"/>
    <n v="29244000"/>
    <n v="0"/>
    <n v="-0.28000000000000003"/>
    <x v="1"/>
    <n v="-5.0596985841889807E-3"/>
    <s v=""/>
  </r>
  <r>
    <s v="Monday, February 4, 2019"/>
    <x v="4"/>
    <x v="104"/>
    <n v="55.632998999999998"/>
    <n v="56.639999000000003"/>
    <n v="55.451000000000001"/>
    <n v="56.639999000000003"/>
    <n v="51530000"/>
    <n v="0"/>
    <n v="1.1000000000000001"/>
    <x v="2"/>
    <n v="1.9465060371911442E-2"/>
    <s v=""/>
  </r>
  <r>
    <s v="Tuesday, February 5, 2019"/>
    <x v="0"/>
    <x v="105"/>
    <n v="56.242001000000002"/>
    <n v="57.342498999999997"/>
    <n v="55.862400000000001"/>
    <n v="57.299500000000002"/>
    <n v="71044000"/>
    <n v="0"/>
    <n v="0.66"/>
    <x v="2"/>
    <n v="1.1509716489672663E-2"/>
    <s v=""/>
  </r>
  <r>
    <s v="Wednesday, February 6, 2019"/>
    <x v="1"/>
    <x v="106"/>
    <n v="56.978499999999997"/>
    <n v="57.349997999999999"/>
    <n v="55.638500000000001"/>
    <n v="55.761501000000003"/>
    <n v="42112000"/>
    <n v="0"/>
    <n v="-1.54"/>
    <x v="1"/>
    <n v="-2.7581736008146538E-2"/>
    <s v=""/>
  </r>
  <r>
    <s v="Thursday, February 7, 2019"/>
    <x v="2"/>
    <x v="107"/>
    <n v="55.207999999999998"/>
    <n v="55.242001000000002"/>
    <n v="54.299999"/>
    <n v="54.935501000000002"/>
    <n v="40896000"/>
    <n v="0"/>
    <n v="-0.83"/>
    <x v="1"/>
    <n v="-1.503581445448182E-2"/>
    <s v=""/>
  </r>
  <r>
    <s v="Friday, February 8, 2019"/>
    <x v="3"/>
    <x v="108"/>
    <n v="54.349997999999999"/>
    <n v="54.945498999999998"/>
    <n v="54.327499000000003"/>
    <n v="54.752997999999998"/>
    <n v="21516000"/>
    <n v="0"/>
    <n v="-0.18"/>
    <x v="1"/>
    <n v="-3.3332056082117016E-3"/>
    <s v=""/>
  </r>
  <r>
    <s v="Monday, February 11, 2019"/>
    <x v="4"/>
    <x v="109"/>
    <n v="54.847499999999997"/>
    <n v="55.297249000000001"/>
    <n v="54.643002000000003"/>
    <n v="54.750500000000002"/>
    <n v="21304000"/>
    <n v="0"/>
    <n v="0"/>
    <x v="0"/>
    <n v="-4.5625154108102579E-5"/>
    <s v=""/>
  </r>
  <r>
    <s v="Tuesday, February 12, 2019"/>
    <x v="0"/>
    <x v="110"/>
    <n v="55.34"/>
    <n v="56.264750999999997"/>
    <n v="55.292499999999997"/>
    <n v="56.068500999999998"/>
    <n v="32182000"/>
    <n v="0"/>
    <n v="1.32"/>
    <x v="2"/>
    <n v="2.350697765221145E-2"/>
    <s v=""/>
  </r>
  <r>
    <s v="Wednesday, February 13, 2019"/>
    <x v="1"/>
    <x v="111"/>
    <n v="56.249499999999998"/>
    <n v="56.736499999999999"/>
    <n v="55.924999"/>
    <n v="56.007998999999998"/>
    <n v="20996000"/>
    <n v="0"/>
    <n v="-0.06"/>
    <x v="1"/>
    <n v="-1.0802385566390188E-3"/>
    <s v=""/>
  </r>
  <r>
    <s v="Thursday, February 14, 2019"/>
    <x v="2"/>
    <x v="112"/>
    <n v="55.902500000000003"/>
    <n v="56.411498999999999"/>
    <n v="55.522250999999997"/>
    <n v="56.083500000000001"/>
    <n v="18952000"/>
    <n v="0"/>
    <n v="0.08"/>
    <x v="2"/>
    <n v="1.3462248254834791E-3"/>
    <s v=""/>
  </r>
  <r>
    <s v="Friday, February 15, 2019"/>
    <x v="3"/>
    <x v="113"/>
    <n v="56.504002"/>
    <n v="56.583500000000001"/>
    <n v="55.532501000000003"/>
    <n v="55.682499"/>
    <n v="28996000"/>
    <n v="0"/>
    <n v="-0.4"/>
    <x v="1"/>
    <n v="-7.2015625591804137E-3"/>
    <s v=""/>
  </r>
  <r>
    <s v="Tuesday, February 19, 2019"/>
    <x v="0"/>
    <x v="114"/>
    <n v="55.5"/>
    <n v="56.094501000000001"/>
    <n v="55.5"/>
    <n v="55.928001000000002"/>
    <n v="20928000"/>
    <n v="0"/>
    <n v="0.25"/>
    <x v="2"/>
    <n v="4.3896079890286422E-3"/>
    <s v=""/>
  </r>
  <r>
    <s v="Wednesday, February 20, 2019"/>
    <x v="1"/>
    <x v="115"/>
    <n v="55.999499999999998"/>
    <n v="56.170501999999999"/>
    <n v="55.264000000000003"/>
    <n v="55.689999"/>
    <n v="21756000"/>
    <n v="0"/>
    <n v="-0.24"/>
    <x v="1"/>
    <n v="-4.2736937380803619E-3"/>
    <s v=""/>
  </r>
  <r>
    <s v="Thursday, February 21, 2019"/>
    <x v="2"/>
    <x v="116"/>
    <n v="55.542000000000002"/>
    <n v="55.597000000000001"/>
    <n v="54.625999"/>
    <n v="54.848498999999997"/>
    <n v="28302000"/>
    <n v="0"/>
    <n v="-0.84"/>
    <x v="1"/>
    <n v="-1.5342261234897304E-2"/>
    <s v=""/>
  </r>
  <r>
    <s v="Friday, February 22, 2019"/>
    <x v="3"/>
    <x v="117"/>
    <n v="55.044998"/>
    <n v="55.561999999999998"/>
    <n v="54.779998999999997"/>
    <n v="55.518501000000001"/>
    <n v="20990000"/>
    <n v="0"/>
    <n v="0.67"/>
    <x v="2"/>
    <n v="1.2068085195599999E-2"/>
    <s v=""/>
  </r>
  <r>
    <s v="Monday, February 25, 2019"/>
    <x v="4"/>
    <x v="118"/>
    <n v="55.799999"/>
    <n v="55.926997999999998"/>
    <n v="55.363498999999997"/>
    <n v="55.470001000000003"/>
    <n v="28262000"/>
    <n v="0"/>
    <n v="-0.05"/>
    <x v="1"/>
    <n v="-8.7434647783758105E-4"/>
    <s v=""/>
  </r>
  <r>
    <s v="Tuesday, February 26, 2019"/>
    <x v="0"/>
    <x v="119"/>
    <n v="55.287497999999999"/>
    <n v="55.975498000000002"/>
    <n v="54.995998"/>
    <n v="55.756500000000003"/>
    <n v="29426000"/>
    <n v="0"/>
    <n v="0.28999999999999998"/>
    <x v="2"/>
    <n v="5.1383964201483084E-3"/>
    <s v=""/>
  </r>
  <r>
    <s v="Wednesday, February 27, 2019"/>
    <x v="1"/>
    <x v="120"/>
    <n v="55.347499999999997"/>
    <n v="55.898997999999999"/>
    <n v="55.049999"/>
    <n v="55.802501999999997"/>
    <n v="19368000"/>
    <n v="0"/>
    <n v="0.05"/>
    <x v="2"/>
    <n v="8.2437163838987597E-4"/>
    <s v=""/>
  </r>
  <r>
    <s v="Thursday, February 28, 2019"/>
    <x v="2"/>
    <x v="121"/>
    <n v="55.564999"/>
    <n v="56.3825"/>
    <n v="55.550499000000002"/>
    <n v="55.995998"/>
    <n v="30850000"/>
    <n v="0"/>
    <n v="0.19"/>
    <x v="2"/>
    <n v="3.4555326614591855E-3"/>
    <s v=""/>
  </r>
  <r>
    <s v="Friday, March 1, 2019"/>
    <x v="3"/>
    <x v="122"/>
    <n v="56.244999"/>
    <n v="57.148499000000001"/>
    <n v="56.237499"/>
    <n v="57.049500000000002"/>
    <n v="29006000"/>
    <n v="0"/>
    <n v="1.05"/>
    <x v="2"/>
    <n v="1.8466454570154018E-2"/>
    <s v=""/>
  </r>
  <r>
    <s v="Monday, March 4, 2019"/>
    <x v="4"/>
    <x v="123"/>
    <n v="57.349499000000002"/>
    <n v="57.914000999999999"/>
    <n v="56.534500000000001"/>
    <n v="57.389999000000003"/>
    <n v="28920000"/>
    <n v="0"/>
    <n v="0.34"/>
    <x v="2"/>
    <n v="5.9330720671384087E-3"/>
    <s v=""/>
  </r>
  <r>
    <s v="Tuesday, March 5, 2019"/>
    <x v="0"/>
    <x v="124"/>
    <n v="57.502997999999998"/>
    <n v="58.480499000000002"/>
    <n v="57.309750000000001"/>
    <n v="58.101500999999999"/>
    <n v="28864000"/>
    <n v="0"/>
    <n v="0.71"/>
    <x v="2"/>
    <n v="1.2245845421446098E-2"/>
    <s v=""/>
  </r>
  <r>
    <s v="Wednesday, March 6, 2019"/>
    <x v="1"/>
    <x v="125"/>
    <n v="58.124499999999998"/>
    <n v="58.378300000000003"/>
    <n v="57.774501999999998"/>
    <n v="57.893002000000003"/>
    <n v="21986000"/>
    <n v="0"/>
    <n v="-0.21"/>
    <x v="1"/>
    <n v="-3.6014542828509085E-3"/>
    <s v=""/>
  </r>
  <r>
    <s v="Thursday, March 7, 2019"/>
    <x v="2"/>
    <x v="126"/>
    <n v="57.785998999999997"/>
    <n v="57.837749000000002"/>
    <n v="56.745499000000002"/>
    <n v="57.165000999999997"/>
    <n v="23332000"/>
    <n v="0"/>
    <n v="-0.73"/>
    <x v="1"/>
    <n v="-1.2735082432693496E-2"/>
    <s v=""/>
  </r>
  <r>
    <s v="Friday, March 8, 2019"/>
    <x v="3"/>
    <x v="127"/>
    <n v="56.336497999999999"/>
    <n v="57.353999999999999"/>
    <n v="56.165000999999997"/>
    <n v="57.116000999999997"/>
    <n v="24248000"/>
    <n v="0"/>
    <n v="-0.05"/>
    <x v="1"/>
    <n v="-8.5790319949044557E-4"/>
    <s v=""/>
  </r>
  <r>
    <s v="Monday, March 11, 2019"/>
    <x v="4"/>
    <x v="128"/>
    <n v="57.222499999999997"/>
    <n v="58.809502000000002"/>
    <n v="57.222499999999997"/>
    <n v="58.787998000000002"/>
    <n v="34384000"/>
    <n v="0"/>
    <n v="1.67"/>
    <x v="2"/>
    <n v="2.8441128408557212E-2"/>
    <s v=""/>
  </r>
  <r>
    <s v="Tuesday, March 12, 2019"/>
    <x v="0"/>
    <x v="129"/>
    <n v="58.912998000000002"/>
    <n v="60"/>
    <n v="58.912998000000002"/>
    <n v="59.66"/>
    <n v="40262000"/>
    <n v="0"/>
    <n v="0.87"/>
    <x v="2"/>
    <n v="1.4616191753268436E-2"/>
    <s v=""/>
  </r>
  <r>
    <s v="Wednesday, March 13, 2019"/>
    <x v="1"/>
    <x v="130"/>
    <n v="60.032249"/>
    <n v="60.046500999999999"/>
    <n v="59.597000000000001"/>
    <n v="59.665999999999997"/>
    <n v="28718000"/>
    <n v="0"/>
    <n v="0.01"/>
    <x v="2"/>
    <n v="1.0055978279087299E-4"/>
    <s v=""/>
  </r>
  <r>
    <s v="Thursday, March 14, 2019"/>
    <x v="2"/>
    <x v="131"/>
    <n v="59.725498000000002"/>
    <n v="59.894001000000003"/>
    <n v="59.223998999999999"/>
    <n v="59.665999999999997"/>
    <n v="23456000"/>
    <n v="0"/>
    <n v="0"/>
    <x v="0"/>
    <n v="0"/>
    <s v=""/>
  </r>
  <r>
    <s v="Friday, March 15, 2019"/>
    <x v="3"/>
    <x v="132"/>
    <n v="59.668998999999999"/>
    <n v="59.828499000000001"/>
    <n v="59.130501000000002"/>
    <n v="59.222999999999999"/>
    <n v="49236000"/>
    <n v="0"/>
    <n v="-0.44"/>
    <x v="1"/>
    <n v="-7.4802019485672435E-3"/>
    <s v=""/>
  </r>
  <r>
    <s v="Monday, March 18, 2019"/>
    <x v="4"/>
    <x v="133"/>
    <n v="59.165000999999997"/>
    <n v="59.5"/>
    <n v="58.871051999999999"/>
    <n v="59.213000999999998"/>
    <n v="25852000"/>
    <n v="0"/>
    <n v="-0.01"/>
    <x v="1"/>
    <n v="-1.6886494234603201E-4"/>
    <s v=""/>
  </r>
  <r>
    <s v="Tuesday, March 19, 2019"/>
    <x v="0"/>
    <x v="134"/>
    <n v="59.440497999999998"/>
    <n v="60"/>
    <n v="59.293498999999997"/>
    <n v="59.942501"/>
    <n v="30414000"/>
    <n v="0"/>
    <n v="0.73"/>
    <x v="2"/>
    <n v="1.2169996043374993E-2"/>
    <s v=""/>
  </r>
  <r>
    <s v="Wednesday, March 20, 2019"/>
    <x v="1"/>
    <x v="135"/>
    <n v="59.8675"/>
    <n v="61.356997999999997"/>
    <n v="59.808498"/>
    <n v="61.198501999999998"/>
    <n v="44548000"/>
    <n v="0"/>
    <n v="1.26"/>
    <x v="2"/>
    <n v="2.0523394510538799E-2"/>
    <s v=""/>
  </r>
  <r>
    <s v="Thursday, March 21, 2019"/>
    <x v="2"/>
    <x v="136"/>
    <n v="60.799999"/>
    <n v="61.589500000000001"/>
    <n v="60.657501000000003"/>
    <n v="61.576999999999998"/>
    <n v="24080000"/>
    <n v="0"/>
    <n v="0.38"/>
    <x v="2"/>
    <n v="6.1467431021322971E-3"/>
    <s v=""/>
  </r>
  <r>
    <s v="Friday, March 22, 2019"/>
    <x v="3"/>
    <x v="137"/>
    <n v="61.316001999999997"/>
    <n v="61.5"/>
    <n v="60.141250999999997"/>
    <n v="60.275002000000001"/>
    <n v="34284000"/>
    <n v="0"/>
    <n v="-1.3"/>
    <x v="1"/>
    <n v="-2.1600961539578176E-2"/>
    <s v=""/>
  </r>
  <r>
    <s v="Monday, March 25, 2019"/>
    <x v="4"/>
    <x v="138"/>
    <n v="59.846499999999999"/>
    <n v="60.319901000000002"/>
    <n v="59.352001000000001"/>
    <n v="59.650002000000001"/>
    <n v="29936000"/>
    <n v="0"/>
    <n v="-0.63"/>
    <x v="1"/>
    <n v="-1.0477786740057443E-2"/>
    <s v=""/>
  </r>
  <r>
    <s v="Tuesday, March 26, 2019"/>
    <x v="0"/>
    <x v="139"/>
    <n v="59.926498000000002"/>
    <n v="60.141499000000003"/>
    <n v="58.835999000000001"/>
    <n v="59.230998999999997"/>
    <n v="38024000"/>
    <n v="0"/>
    <n v="-0.42"/>
    <x v="1"/>
    <n v="-7.0740491815781056E-3"/>
    <s v=""/>
  </r>
  <r>
    <s v="Wednesday, March 27, 2019"/>
    <x v="1"/>
    <x v="140"/>
    <n v="59.275002000000001"/>
    <n v="59.377949000000001"/>
    <n v="57.968497999999997"/>
    <n v="58.651001000000001"/>
    <n v="28004000"/>
    <n v="0"/>
    <n v="-0.57999999999999996"/>
    <x v="1"/>
    <n v="-9.8889701814295766E-3"/>
    <s v=""/>
  </r>
  <r>
    <s v="Thursday, March 28, 2019"/>
    <x v="2"/>
    <x v="141"/>
    <n v="58.576999999999998"/>
    <n v="58.578251000000002"/>
    <n v="57.971550000000001"/>
    <n v="58.424500000000002"/>
    <n v="28004000"/>
    <n v="0"/>
    <n v="-0.23"/>
    <x v="1"/>
    <n v="-3.8768153771106119E-3"/>
    <s v=""/>
  </r>
  <r>
    <s v="Friday, March 29, 2019"/>
    <x v="3"/>
    <x v="142"/>
    <n v="58.744999"/>
    <n v="58.949500999999998"/>
    <n v="58.144001000000003"/>
    <n v="58.665500999999999"/>
    <n v="25398000"/>
    <n v="0"/>
    <n v="0.24"/>
    <x v="2"/>
    <n v="4.1080532151254812E-3"/>
    <s v=""/>
  </r>
  <r>
    <s v="Monday, April 1, 2019"/>
    <x v="4"/>
    <x v="143"/>
    <n v="59.205002"/>
    <n v="59.832999999999998"/>
    <n v="59.099997999999999"/>
    <n v="59.721499999999999"/>
    <n v="25050000"/>
    <n v="0"/>
    <n v="1.06"/>
    <x v="2"/>
    <n v="1.7682057550463398E-2"/>
    <s v=""/>
  </r>
  <r>
    <s v="Tuesday, April 2, 2019"/>
    <x v="0"/>
    <x v="144"/>
    <n v="59.765999000000001"/>
    <n v="60.067501"/>
    <n v="59.285499999999999"/>
    <n v="60.024501999999998"/>
    <n v="16558000"/>
    <n v="0"/>
    <n v="0.3"/>
    <x v="2"/>
    <n v="5.0479719098710614E-3"/>
    <s v=""/>
  </r>
  <r>
    <s v="Wednesday, April 3, 2019"/>
    <x v="1"/>
    <x v="145"/>
    <n v="60.374001"/>
    <n v="60.814999"/>
    <n v="60.025002000000001"/>
    <n v="60.296000999999997"/>
    <n v="20286000"/>
    <n v="0"/>
    <n v="0.27"/>
    <x v="2"/>
    <n v="4.502769594952054E-3"/>
    <s v=""/>
  </r>
  <r>
    <s v="Thursday, April 4, 2019"/>
    <x v="2"/>
    <x v="146"/>
    <n v="60.297001000000002"/>
    <n v="60.783501000000001"/>
    <n v="60.206501000000003"/>
    <n v="60.75"/>
    <n v="19000000"/>
    <n v="0"/>
    <n v="0.45"/>
    <x v="2"/>
    <n v="7.4732345679012864E-3"/>
    <s v=""/>
  </r>
  <r>
    <s v="Friday, April 5, 2019"/>
    <x v="3"/>
    <x v="147"/>
    <n v="60.749499999999998"/>
    <n v="60.811000999999997"/>
    <n v="60.251499000000003"/>
    <n v="60.357498"/>
    <n v="18144000"/>
    <n v="0"/>
    <n v="-0.39"/>
    <x v="1"/>
    <n v="-6.5029534524443074E-3"/>
    <s v=""/>
  </r>
  <r>
    <s v="Monday, April 8, 2019"/>
    <x v="4"/>
    <x v="148"/>
    <n v="60.394500999999998"/>
    <n v="60.434502000000002"/>
    <n v="59.993000000000002"/>
    <n v="60.192000999999998"/>
    <n v="17204000"/>
    <n v="0"/>
    <n v="-0.17"/>
    <x v="1"/>
    <n v="-2.7494849357143319E-3"/>
    <s v=""/>
  </r>
  <r>
    <s v="Tuesday, April 9, 2019"/>
    <x v="0"/>
    <x v="149"/>
    <n v="59.799999"/>
    <n v="60.114497999999998"/>
    <n v="59.653998999999999"/>
    <n v="59.862499"/>
    <n v="17528000"/>
    <n v="0"/>
    <n v="-0.33"/>
    <x v="1"/>
    <n v="-5.5043141449874645E-3"/>
    <s v=""/>
  </r>
  <r>
    <s v="Wednesday, April 10, 2019"/>
    <x v="1"/>
    <x v="150"/>
    <n v="60.033999999999999"/>
    <n v="60.189250999999999"/>
    <n v="59.821750999999999"/>
    <n v="60.108001999999999"/>
    <n v="14492000"/>
    <n v="0"/>
    <n v="0.25"/>
    <x v="2"/>
    <n v="4.0843646741077731E-3"/>
    <s v=""/>
  </r>
  <r>
    <s v="Thursday, April 11, 2019"/>
    <x v="2"/>
    <x v="151"/>
    <n v="60.198002000000002"/>
    <n v="60.397998999999999"/>
    <n v="60.006500000000003"/>
    <n v="60.230998999999997"/>
    <n v="14204000"/>
    <n v="0"/>
    <n v="0.12"/>
    <x v="2"/>
    <n v="2.0420879952530429E-3"/>
    <s v=""/>
  </r>
  <r>
    <s v="Friday, April 12, 2019"/>
    <x v="3"/>
    <x v="152"/>
    <n v="60.5"/>
    <n v="60.917499999999997"/>
    <n v="60.405498999999999"/>
    <n v="60.893501000000001"/>
    <n v="18668000"/>
    <n v="0"/>
    <n v="0.66"/>
    <x v="2"/>
    <n v="1.0879683202974378E-2"/>
    <s v=""/>
  </r>
  <r>
    <s v="Monday, April 15, 2019"/>
    <x v="4"/>
    <x v="153"/>
    <n v="60.900002000000001"/>
    <n v="61.209999000000003"/>
    <n v="60.455502000000003"/>
    <n v="61.055"/>
    <n v="23748000"/>
    <n v="0"/>
    <n v="0.16"/>
    <x v="2"/>
    <n v="2.6451396282040646E-3"/>
    <s v=""/>
  </r>
  <r>
    <s v="Tuesday, April 16, 2019"/>
    <x v="0"/>
    <x v="154"/>
    <n v="61.25"/>
    <n v="61.540999999999997"/>
    <n v="61.006000999999998"/>
    <n v="61.356498999999999"/>
    <n v="17126000"/>
    <n v="0"/>
    <n v="0.3"/>
    <x v="2"/>
    <n v="4.9138885841579676E-3"/>
    <s v=""/>
  </r>
  <r>
    <s v="Wednesday, April 17, 2019"/>
    <x v="1"/>
    <x v="155"/>
    <n v="61.650002000000001"/>
    <n v="62.027999999999999"/>
    <n v="61.390999000000001"/>
    <n v="61.817000999999998"/>
    <n v="24438000"/>
    <n v="0"/>
    <n v="0.46"/>
    <x v="2"/>
    <n v="7.4494393540702215E-3"/>
    <s v=""/>
  </r>
  <r>
    <s v="Thursday, April 18, 2019"/>
    <x v="2"/>
    <x v="156"/>
    <n v="61.959000000000003"/>
    <n v="62.099997999999999"/>
    <n v="61.730499000000002"/>
    <n v="61.818500999999998"/>
    <n v="26636000"/>
    <n v="0"/>
    <n v="0"/>
    <x v="0"/>
    <n v="2.4264580598614918E-5"/>
    <s v=""/>
  </r>
  <r>
    <s v="Monday, April 22, 2019"/>
    <x v="4"/>
    <x v="157"/>
    <n v="61.799500000000002"/>
    <n v="62.454498000000001"/>
    <n v="61.415500999999999"/>
    <n v="62.442000999999998"/>
    <n v="16146000"/>
    <n v="0"/>
    <n v="0.62"/>
    <x v="2"/>
    <n v="9.9852661672389393E-3"/>
    <s v=""/>
  </r>
  <r>
    <s v="Tuesday, April 23, 2019"/>
    <x v="0"/>
    <x v="158"/>
    <n v="62.534500000000001"/>
    <n v="63.450001"/>
    <n v="62.319000000000003"/>
    <n v="63.227500999999997"/>
    <n v="26398000"/>
    <n v="0"/>
    <n v="0.79"/>
    <x v="2"/>
    <n v="1.2423391523887668E-2"/>
    <s v=""/>
  </r>
  <r>
    <s v="Wednesday, April 24, 2019"/>
    <x v="1"/>
    <x v="159"/>
    <n v="63.206001000000001"/>
    <n v="63.400500999999998"/>
    <n v="62.75"/>
    <n v="62.799999"/>
    <n v="20376000"/>
    <n v="0"/>
    <n v="-0.43"/>
    <x v="1"/>
    <n v="-6.8073567962954416E-3"/>
    <s v=""/>
  </r>
  <r>
    <s v="Thursday, April 25, 2019"/>
    <x v="2"/>
    <x v="160"/>
    <n v="63.238498999999997"/>
    <n v="63.370398999999999"/>
    <n v="62.601500999999999"/>
    <n v="63.172500999999997"/>
    <n v="22146000"/>
    <n v="0"/>
    <n v="0.37"/>
    <x v="2"/>
    <n v="5.8965846547692838E-3"/>
    <s v=""/>
  </r>
  <r>
    <s v="Friday, April 26, 2019"/>
    <x v="3"/>
    <x v="161"/>
    <n v="63.450001"/>
    <n v="63.653500000000001"/>
    <n v="63.015999000000001"/>
    <n v="63.609000999999999"/>
    <n v="24828000"/>
    <n v="0"/>
    <n v="0.44"/>
    <x v="2"/>
    <n v="6.8622363680888865E-3"/>
    <s v=""/>
  </r>
  <r>
    <s v="Monday, April 29, 2019"/>
    <x v="4"/>
    <x v="162"/>
    <n v="63.700001"/>
    <n v="64.463500999999994"/>
    <n v="63.314751000000001"/>
    <n v="64.378997999999996"/>
    <n v="49988000"/>
    <n v="0"/>
    <n v="0.77"/>
    <x v="2"/>
    <n v="1.1960375649213996E-2"/>
    <s v=""/>
  </r>
  <r>
    <s v="Tuesday, April 30, 2019"/>
    <x v="0"/>
    <x v="163"/>
    <n v="59.25"/>
    <n v="59.640498999999998"/>
    <n v="58.75"/>
    <n v="59.423999999999999"/>
    <n v="124140000"/>
    <n v="0"/>
    <n v="-4.95"/>
    <x v="1"/>
    <n v="-8.3383784329563754E-2"/>
    <s v=""/>
  </r>
  <r>
    <s v="Wednesday, May 1, 2019"/>
    <x v="1"/>
    <x v="164"/>
    <n v="59.402500000000003"/>
    <n v="59.402500000000003"/>
    <n v="58.359000999999999"/>
    <n v="58.403998999999999"/>
    <n v="52784000"/>
    <n v="0"/>
    <n v="-1.02"/>
    <x v="1"/>
    <n v="-1.7464574643253464E-2"/>
    <s v=""/>
  </r>
  <r>
    <s v="Thursday, May 2, 2019"/>
    <x v="2"/>
    <x v="165"/>
    <n v="58.387999999999998"/>
    <n v="58.709499000000001"/>
    <n v="57.750098999999999"/>
    <n v="58.130501000000002"/>
    <n v="38896000"/>
    <n v="0"/>
    <n v="-0.27"/>
    <x v="1"/>
    <n v="-4.7048966600166829E-3"/>
    <s v=""/>
  </r>
  <r>
    <s v="Friday, May 3, 2019"/>
    <x v="3"/>
    <x v="166"/>
    <n v="58.682499"/>
    <n v="59.34"/>
    <n v="58.450001"/>
    <n v="59.27"/>
    <n v="39614000"/>
    <n v="0"/>
    <n v="1.1399999999999999"/>
    <x v="2"/>
    <n v="1.9225560992070199E-2"/>
    <s v=""/>
  </r>
  <r>
    <s v="Monday, May 6, 2019"/>
    <x v="4"/>
    <x v="167"/>
    <n v="58.313000000000002"/>
    <n v="59.542499999999997"/>
    <n v="58.313000000000002"/>
    <n v="59.469501000000001"/>
    <n v="31278000"/>
    <n v="0"/>
    <n v="0.2"/>
    <x v="2"/>
    <n v="3.3546775514393156E-3"/>
    <s v=""/>
  </r>
  <r>
    <s v="Tuesday, May 7, 2019"/>
    <x v="0"/>
    <x v="168"/>
    <n v="59.023499000000001"/>
    <n v="59.521999000000001"/>
    <n v="58.051997999999998"/>
    <n v="58.705002"/>
    <n v="31028000"/>
    <n v="0"/>
    <n v="-0.76"/>
    <x v="1"/>
    <n v="-1.3022723344767125E-2"/>
    <s v=""/>
  </r>
  <r>
    <s v="Wednesday, May 8, 2019"/>
    <x v="1"/>
    <x v="169"/>
    <n v="58.600498000000002"/>
    <n v="59.021197999999998"/>
    <n v="58.286999000000002"/>
    <n v="58.313499"/>
    <n v="26186000"/>
    <n v="0"/>
    <n v="-0.39"/>
    <x v="1"/>
    <n v="-6.7137627944431899E-3"/>
    <s v=""/>
  </r>
  <r>
    <s v="Thursday, May 9, 2019"/>
    <x v="2"/>
    <x v="170"/>
    <n v="57.951500000000003"/>
    <n v="58.483001999999999"/>
    <n v="57.542499999999997"/>
    <n v="58.118999000000002"/>
    <n v="23714000"/>
    <n v="0"/>
    <n v="-0.19"/>
    <x v="1"/>
    <n v="-3.3465820703484223E-3"/>
    <s v=""/>
  </r>
  <r>
    <s v="Friday, May 10, 2019"/>
    <x v="3"/>
    <x v="171"/>
    <n v="58.179501000000002"/>
    <n v="58.630001"/>
    <n v="57.125"/>
    <n v="58.213501000000001"/>
    <n v="26290000"/>
    <n v="0"/>
    <n v="0.09"/>
    <x v="2"/>
    <n v="1.6233691218811685E-3"/>
    <s v=""/>
  </r>
  <r>
    <s v="Monday, May 13, 2019"/>
    <x v="4"/>
    <x v="172"/>
    <n v="57.097999999999999"/>
    <n v="57.396999000000001"/>
    <n v="56.105499000000002"/>
    <n v="56.601500999999999"/>
    <n v="37212000"/>
    <n v="0"/>
    <n v="-1.61"/>
    <x v="1"/>
    <n v="-2.8479810102562508E-2"/>
    <s v=""/>
  </r>
  <r>
    <s v="Tuesday, May 14, 2019"/>
    <x v="0"/>
    <x v="173"/>
    <n v="56.860500000000002"/>
    <n v="57.021000000000001"/>
    <n v="55.977500999999997"/>
    <n v="56.021999000000001"/>
    <n v="36732000"/>
    <n v="0"/>
    <n v="-0.57999999999999996"/>
    <x v="1"/>
    <n v="-1.0344186397204391E-2"/>
    <s v=""/>
  </r>
  <r>
    <s v="Wednesday, May 15, 2019"/>
    <x v="1"/>
    <x v="174"/>
    <n v="55.893501000000001"/>
    <n v="58.566502"/>
    <n v="55.833302000000003"/>
    <n v="58.210498999999999"/>
    <n v="45786000"/>
    <n v="0"/>
    <n v="2.19"/>
    <x v="2"/>
    <n v="3.7596310589950409E-2"/>
    <s v=""/>
  </r>
  <r>
    <s v="Thursday, May 16, 2019"/>
    <x v="2"/>
    <x v="175"/>
    <n v="58.225498000000002"/>
    <n v="59.408000999999999"/>
    <n v="58.141998000000001"/>
    <n v="58.949001000000003"/>
    <n v="30628000"/>
    <n v="0"/>
    <n v="0.74"/>
    <x v="2"/>
    <n v="1.2527811964107821E-2"/>
    <s v=""/>
  </r>
  <r>
    <s v="Friday, May 17, 2019"/>
    <x v="3"/>
    <x v="176"/>
    <n v="58.423499999999997"/>
    <n v="59.0075"/>
    <n v="58.000500000000002"/>
    <n v="58.115001999999997"/>
    <n v="24172000"/>
    <n v="0"/>
    <n v="-0.83"/>
    <x v="1"/>
    <n v="-1.4350838360119229E-2"/>
    <s v=""/>
  </r>
  <r>
    <s v="Monday, May 20, 2019"/>
    <x v="4"/>
    <x v="177"/>
    <n v="57.224997999999999"/>
    <n v="57.339851000000003"/>
    <n v="56.572150999999998"/>
    <n v="56.942501"/>
    <n v="27066000"/>
    <n v="0"/>
    <n v="-1.17"/>
    <x v="1"/>
    <n v="-2.0590964207912062E-2"/>
    <s v=""/>
  </r>
  <r>
    <s v="Tuesday, May 21, 2019"/>
    <x v="0"/>
    <x v="178"/>
    <n v="57.424500000000002"/>
    <n v="57.635399"/>
    <n v="56.896999000000001"/>
    <n v="57.481498999999999"/>
    <n v="23196000"/>
    <n v="0"/>
    <n v="0.54"/>
    <x v="2"/>
    <n v="9.3768953380982539E-3"/>
    <s v=""/>
  </r>
  <r>
    <s v="Wednesday, May 22, 2019"/>
    <x v="1"/>
    <x v="179"/>
    <n v="57.337502000000001"/>
    <n v="57.925998999999997"/>
    <n v="57.294497999999997"/>
    <n v="57.570999"/>
    <n v="18290000"/>
    <n v="0"/>
    <n v="0.09"/>
    <x v="2"/>
    <n v="1.5546021704435078E-3"/>
    <s v=""/>
  </r>
  <r>
    <s v="Thursday, May 23, 2019"/>
    <x v="2"/>
    <x v="180"/>
    <n v="57.025002000000001"/>
    <n v="57.298648999999997"/>
    <n v="56.461201000000003"/>
    <n v="57.038502000000001"/>
    <n v="23978000"/>
    <n v="0"/>
    <n v="-0.53"/>
    <x v="1"/>
    <n v="-9.3357465804413883E-3"/>
    <s v=""/>
  </r>
  <r>
    <s v="Friday, May 24, 2019"/>
    <x v="3"/>
    <x v="181"/>
    <n v="57.368000000000002"/>
    <n v="57.488250999999998"/>
    <n v="56.582999999999998"/>
    <n v="56.673499999999997"/>
    <n v="22240000"/>
    <n v="0"/>
    <n v="-0.37"/>
    <x v="1"/>
    <n v="-6.4404351239998247E-3"/>
    <s v=""/>
  </r>
  <r>
    <s v="Tuesday, May 28, 2019"/>
    <x v="0"/>
    <x v="182"/>
    <n v="56.700001"/>
    <n v="57.488250999999998"/>
    <n v="56.655997999999997"/>
    <n v="56.707500000000003"/>
    <n v="27300000"/>
    <n v="0"/>
    <n v="0.03"/>
    <x v="2"/>
    <n v="5.9956795838303619E-4"/>
    <s v=""/>
  </r>
  <r>
    <s v="Wednesday, May 29, 2019"/>
    <x v="1"/>
    <x v="183"/>
    <n v="56.375999"/>
    <n v="56.455002"/>
    <n v="55.410998999999997"/>
    <n v="55.823002000000002"/>
    <n v="30764000"/>
    <n v="0"/>
    <n v="-0.88"/>
    <x v="1"/>
    <n v="-1.5844687105863647E-2"/>
    <s v=""/>
  </r>
  <r>
    <s v="Thursday, May 30, 2019"/>
    <x v="2"/>
    <x v="184"/>
    <n v="55.777000000000001"/>
    <n v="56.156502000000003"/>
    <n v="55.605998999999997"/>
    <n v="55.897499000000003"/>
    <n v="19038000"/>
    <n v="0"/>
    <n v="7.0000000000000007E-2"/>
    <x v="2"/>
    <n v="1.3327429908805207E-3"/>
    <s v=""/>
  </r>
  <r>
    <s v="Friday, May 31, 2019"/>
    <x v="3"/>
    <x v="185"/>
    <n v="55.064498999999998"/>
    <n v="55.48"/>
    <n v="55.008999000000003"/>
    <n v="55.181499000000002"/>
    <n v="30156000"/>
    <n v="0"/>
    <n v="-0.72"/>
    <x v="1"/>
    <n v="-1.297536335502595E-2"/>
    <s v=""/>
  </r>
  <r>
    <s v="Monday, June 3, 2019"/>
    <x v="4"/>
    <x v="186"/>
    <n v="53.275002000000001"/>
    <n v="53.275002000000001"/>
    <n v="51.25"/>
    <n v="51.811501"/>
    <n v="102612000"/>
    <n v="0"/>
    <n v="-3.37"/>
    <x v="1"/>
    <n v="-6.5043435047365303E-2"/>
    <s v=""/>
  </r>
  <r>
    <s v="Tuesday, June 4, 2019"/>
    <x v="0"/>
    <x v="187"/>
    <n v="52.145000000000003"/>
    <n v="52.802501999999997"/>
    <n v="51.684502000000002"/>
    <n v="52.652500000000003"/>
    <n v="56670000"/>
    <n v="0"/>
    <n v="0.84"/>
    <x v="2"/>
    <n v="1.5972631878828233E-2"/>
    <s v=""/>
  </r>
  <r>
    <s v="Wednesday, June 5, 2019"/>
    <x v="1"/>
    <x v="188"/>
    <n v="52.576999999999998"/>
    <n v="52.677501999999997"/>
    <n v="51.524501999999998"/>
    <n v="52.110999999999997"/>
    <n v="43368000"/>
    <n v="0"/>
    <n v="-0.54"/>
    <x v="1"/>
    <n v="-1.0391280151983389E-2"/>
    <s v=""/>
  </r>
  <r>
    <s v="Thursday, June 6, 2019"/>
    <x v="2"/>
    <x v="189"/>
    <n v="52.249499999999998"/>
    <n v="52.374499999999998"/>
    <n v="51.685001"/>
    <n v="52.216999000000001"/>
    <n v="34064000"/>
    <n v="0"/>
    <n v="0.11"/>
    <x v="2"/>
    <n v="2.0299711210903593E-3"/>
    <s v=""/>
  </r>
  <r>
    <s v="Friday, June 7, 2019"/>
    <x v="3"/>
    <x v="190"/>
    <n v="52.531502000000003"/>
    <n v="53.546000999999997"/>
    <n v="52.419998"/>
    <n v="53.301997999999998"/>
    <n v="36048000"/>
    <n v="0"/>
    <n v="1.08"/>
    <x v="2"/>
    <n v="2.0355690981790145E-2"/>
    <s v=""/>
  </r>
  <r>
    <s v="Monday, June 10, 2019"/>
    <x v="4"/>
    <x v="191"/>
    <n v="53.648997999999999"/>
    <n v="54.632998999999998"/>
    <n v="53.616100000000003"/>
    <n v="54.019001000000003"/>
    <n v="29284000"/>
    <n v="0"/>
    <n v="0.72"/>
    <x v="2"/>
    <n v="1.3273162900587616E-2"/>
    <s v=""/>
  </r>
  <r>
    <s v="Tuesday, June 11, 2019"/>
    <x v="0"/>
    <x v="192"/>
    <n v="54.699001000000003"/>
    <n v="55.099499000000002"/>
    <n v="53.88015"/>
    <n v="53.936000999999997"/>
    <n v="28734000"/>
    <n v="0"/>
    <n v="-0.08"/>
    <x v="1"/>
    <n v="-1.5388608436136286E-3"/>
    <s v=""/>
  </r>
  <r>
    <s v="Wednesday, June 12, 2019"/>
    <x v="1"/>
    <x v="193"/>
    <n v="53.900002000000001"/>
    <n v="54.046500999999999"/>
    <n v="53.376998999999998"/>
    <n v="53.851500999999999"/>
    <n v="21220000"/>
    <n v="0"/>
    <n v="-0.08"/>
    <x v="1"/>
    <n v="-1.5691298929624722E-3"/>
    <s v=""/>
  </r>
  <r>
    <s v="Thursday, June 13, 2019"/>
    <x v="2"/>
    <x v="194"/>
    <n v="54.181998999999998"/>
    <n v="54.708500000000001"/>
    <n v="54.0075"/>
    <n v="54.438499"/>
    <n v="21154000"/>
    <n v="0"/>
    <n v="0.59"/>
    <x v="2"/>
    <n v="1.078277341923041E-2"/>
    <s v=""/>
  </r>
  <r>
    <s v="Friday, June 14, 2019"/>
    <x v="3"/>
    <x v="195"/>
    <n v="54.320999"/>
    <n v="54.634498999999998"/>
    <n v="54.008597999999999"/>
    <n v="54.267502"/>
    <n v="22230000"/>
    <n v="0"/>
    <n v="-0.17"/>
    <x v="1"/>
    <n v="-3.1510018647993017E-3"/>
    <s v=""/>
  </r>
  <r>
    <s v="Monday, June 17, 2019"/>
    <x v="4"/>
    <x v="196"/>
    <n v="54.313999000000003"/>
    <n v="54.959000000000003"/>
    <n v="54.313999000000003"/>
    <n v="54.625"/>
    <n v="18832000"/>
    <n v="0"/>
    <n v="0.36"/>
    <x v="2"/>
    <n v="6.5445858123569728E-3"/>
    <s v=""/>
  </r>
  <r>
    <s v="Tuesday, June 18, 2019"/>
    <x v="0"/>
    <x v="197"/>
    <n v="55.484501000000002"/>
    <n v="55.819499999999998"/>
    <n v="54.949500999999998"/>
    <n v="55.18"/>
    <n v="27734000"/>
    <n v="0"/>
    <n v="0.56000000000000005"/>
    <x v="2"/>
    <n v="1.0057992026096406E-2"/>
    <s v=""/>
  </r>
  <r>
    <s v="Wednesday, June 19, 2019"/>
    <x v="1"/>
    <x v="198"/>
    <n v="55.279998999999997"/>
    <n v="55.349997999999999"/>
    <n v="54.673999999999999"/>
    <n v="55.116501"/>
    <n v="26776000"/>
    <n v="0"/>
    <n v="-0.06"/>
    <x v="1"/>
    <n v="-1.1520869222086539E-3"/>
    <s v=""/>
  </r>
  <r>
    <s v="Thursday, June 20, 2019"/>
    <x v="2"/>
    <x v="199"/>
    <n v="55.999499999999998"/>
    <n v="56.006000999999998"/>
    <n v="55.237000000000002"/>
    <n v="55.570999"/>
    <n v="25240000"/>
    <n v="0"/>
    <n v="0.45"/>
    <x v="2"/>
    <n v="8.1786904712654335E-3"/>
    <s v=""/>
  </r>
  <r>
    <s v="Friday, June 21, 2019"/>
    <x v="3"/>
    <x v="200"/>
    <n v="55.462001999999998"/>
    <n v="56.205502000000003"/>
    <n v="55.403998999999999"/>
    <n v="56.094002000000003"/>
    <n v="38952000"/>
    <n v="0"/>
    <n v="0.52"/>
    <x v="2"/>
    <n v="9.3236884756413476E-3"/>
    <s v=""/>
  </r>
  <r>
    <s v="Monday, June 24, 2019"/>
    <x v="4"/>
    <x v="201"/>
    <n v="55.980499000000002"/>
    <n v="56.099997999999999"/>
    <n v="55.550499000000002"/>
    <n v="55.776001000000001"/>
    <n v="27912000"/>
    <n v="0"/>
    <n v="-0.32"/>
    <x v="1"/>
    <n v="-5.7013947629555306E-3"/>
    <s v=""/>
  </r>
  <r>
    <s v="Tuesday, June 25, 2019"/>
    <x v="0"/>
    <x v="202"/>
    <n v="55.632998999999998"/>
    <n v="55.717498999999997"/>
    <n v="54.189999"/>
    <n v="54.317501"/>
    <n v="30938000"/>
    <n v="0"/>
    <n v="-1.46"/>
    <x v="1"/>
    <n v="-2.685138257741277E-2"/>
    <s v=""/>
  </r>
  <r>
    <s v="Wednesday, June 26, 2019"/>
    <x v="1"/>
    <x v="203"/>
    <n v="54.325001"/>
    <n v="54.648499000000001"/>
    <n v="53.612000000000002"/>
    <n v="53.990001999999997"/>
    <n v="36218000"/>
    <n v="0"/>
    <n v="-0.33"/>
    <x v="1"/>
    <n v="-6.0659193900382356E-3"/>
    <s v=""/>
  </r>
  <r>
    <s v="Thursday, June 27, 2019"/>
    <x v="2"/>
    <x v="204"/>
    <n v="54.200001"/>
    <n v="54.354999999999997"/>
    <n v="53.764499999999998"/>
    <n v="53.800499000000002"/>
    <n v="20086000"/>
    <n v="0"/>
    <n v="-0.19"/>
    <x v="1"/>
    <n v="-3.5223279248765864E-3"/>
    <s v=""/>
  </r>
  <r>
    <s v="Friday, June 28, 2019"/>
    <x v="3"/>
    <x v="205"/>
    <n v="53.819499999999998"/>
    <n v="54.049999"/>
    <n v="53.668498999999997"/>
    <n v="54.045501999999999"/>
    <n v="33864000"/>
    <n v="0"/>
    <n v="0.25"/>
    <x v="2"/>
    <n v="4.5332727226772172E-3"/>
    <s v=""/>
  </r>
  <r>
    <s v="Monday, July 1, 2019"/>
    <x v="4"/>
    <x v="206"/>
    <n v="54.900002000000001"/>
    <n v="55.379002"/>
    <n v="54.68515"/>
    <n v="54.897499000000003"/>
    <n v="28726000"/>
    <n v="0"/>
    <n v="0.85"/>
    <x v="2"/>
    <n v="1.5519778050362627E-2"/>
    <s v=""/>
  </r>
  <r>
    <s v="Tuesday, July 2, 2019"/>
    <x v="0"/>
    <x v="207"/>
    <n v="55.112000000000002"/>
    <n v="55.588501000000001"/>
    <n v="54.908501000000001"/>
    <n v="55.5625"/>
    <n v="19832000"/>
    <n v="0"/>
    <n v="0.67"/>
    <x v="2"/>
    <n v="1.1968521934758095E-2"/>
    <s v=""/>
  </r>
  <r>
    <s v="Wednesday, July 3, 2019"/>
    <x v="1"/>
    <x v="208"/>
    <n v="55.870499000000002"/>
    <n v="56.338000999999998"/>
    <n v="55.693001000000002"/>
    <n v="56.078999000000003"/>
    <n v="15340000"/>
    <n v="0"/>
    <n v="0.52"/>
    <x v="2"/>
    <n v="9.2102036272081658E-3"/>
    <s v=""/>
  </r>
  <r>
    <s v="Friday, July 5, 2019"/>
    <x v="3"/>
    <x v="209"/>
    <n v="55.889999000000003"/>
    <n v="56.644001000000003"/>
    <n v="55.806998999999998"/>
    <n v="56.579498000000001"/>
    <n v="25286000"/>
    <n v="0"/>
    <n v="0.5"/>
    <x v="2"/>
    <n v="8.8459427476715643E-3"/>
    <s v=""/>
  </r>
  <r>
    <s v="Monday, July 8, 2019"/>
    <x v="4"/>
    <x v="210"/>
    <n v="56.258499"/>
    <n v="56.298999999999999"/>
    <n v="55.560501000000002"/>
    <n v="55.817501"/>
    <n v="24728000"/>
    <n v="0"/>
    <n v="-0.76"/>
    <x v="1"/>
    <n v="-1.3651578561354814E-2"/>
    <s v=""/>
  </r>
  <r>
    <s v="Tuesday, July 9, 2019"/>
    <x v="0"/>
    <x v="211"/>
    <n v="55.59"/>
    <n v="56.401249"/>
    <n v="55.358500999999997"/>
    <n v="56.241501"/>
    <n v="26608000"/>
    <n v="0"/>
    <n v="0.42"/>
    <x v="2"/>
    <n v="7.538916857855545E-3"/>
    <s v=""/>
  </r>
  <r>
    <s v="Wednesday, July 10, 2019"/>
    <x v="1"/>
    <x v="212"/>
    <n v="56.561000999999997"/>
    <n v="57.102500999999997"/>
    <n v="56.548499999999997"/>
    <n v="57.023997999999999"/>
    <n v="24190000"/>
    <n v="0"/>
    <n v="0.78"/>
    <x v="2"/>
    <n v="1.372224023997755E-2"/>
    <s v=""/>
  </r>
  <r>
    <s v="Thursday, July 11, 2019"/>
    <x v="2"/>
    <x v="213"/>
    <n v="57.162497999999999"/>
    <n v="57.653500000000001"/>
    <n v="56.978999999999999"/>
    <n v="57.210498999999999"/>
    <n v="23910000"/>
    <n v="0"/>
    <n v="0.19"/>
    <x v="2"/>
    <n v="3.2599086401955664E-3"/>
    <s v=""/>
  </r>
  <r>
    <s v="Friday, July 12, 2019"/>
    <x v="3"/>
    <x v="214"/>
    <n v="57.199500999999998"/>
    <n v="57.367001000000002"/>
    <n v="56.938999000000003"/>
    <n v="57.244999"/>
    <n v="17280000"/>
    <n v="0"/>
    <n v="0.03"/>
    <x v="2"/>
    <n v="6.02672733036493E-4"/>
    <s v=""/>
  </r>
  <r>
    <s v="Monday, July 15, 2019"/>
    <x v="4"/>
    <x v="215"/>
    <n v="57.342998999999999"/>
    <n v="57.540999999999997"/>
    <n v="56.970001000000003"/>
    <n v="57.516998000000001"/>
    <n v="18076000"/>
    <n v="0"/>
    <n v="0.27"/>
    <x v="2"/>
    <n v="4.7290194109226805E-3"/>
    <s v=""/>
  </r>
  <r>
    <s v="Tuesday, July 16, 2019"/>
    <x v="0"/>
    <x v="216"/>
    <n v="57.299999"/>
    <n v="57.929001"/>
    <n v="57.25"/>
    <n v="57.679001"/>
    <n v="24776000"/>
    <n v="0"/>
    <n v="0.16"/>
    <x v="2"/>
    <n v="2.8086998247420854E-3"/>
    <s v=""/>
  </r>
  <r>
    <s v="Wednesday, July 17, 2019"/>
    <x v="1"/>
    <x v="217"/>
    <n v="57.548499999999997"/>
    <n v="57.917999000000002"/>
    <n v="57.288502000000001"/>
    <n v="57.317501"/>
    <n v="23400000"/>
    <n v="0"/>
    <n v="-0.36"/>
    <x v="1"/>
    <n v="-6.306974199730018E-3"/>
    <s v=""/>
  </r>
  <r>
    <s v="Thursday, July 18, 2019"/>
    <x v="2"/>
    <x v="218"/>
    <n v="57.087001999999998"/>
    <n v="57.380248999999999"/>
    <n v="56.636501000000003"/>
    <n v="57.316502"/>
    <n v="25814000"/>
    <n v="0"/>
    <n v="0"/>
    <x v="0"/>
    <n v="-1.7429535389305408E-5"/>
    <s v=""/>
  </r>
  <r>
    <s v="Friday, July 19, 2019"/>
    <x v="3"/>
    <x v="219"/>
    <n v="57.409500000000001"/>
    <n v="57.556998999999998"/>
    <n v="56.480998999999997"/>
    <n v="56.505001"/>
    <n v="32944000"/>
    <n v="0"/>
    <n v="-0.81"/>
    <x v="1"/>
    <n v="-1.4361578367196202E-2"/>
    <s v=""/>
  </r>
  <r>
    <s v="Monday, July 22, 2019"/>
    <x v="4"/>
    <x v="220"/>
    <n v="56.672500999999997"/>
    <n v="56.962502000000001"/>
    <n v="56.212001999999998"/>
    <n v="56.903500000000001"/>
    <n v="26030000"/>
    <n v="0"/>
    <n v="0.4"/>
    <x v="2"/>
    <n v="7.0030665952006653E-3"/>
    <s v=""/>
  </r>
  <r>
    <s v="Tuesday, July 23, 2019"/>
    <x v="0"/>
    <x v="221"/>
    <n v="57.200001"/>
    <n v="57.345001000000003"/>
    <n v="56.59"/>
    <n v="57.310501000000002"/>
    <n v="21874000"/>
    <n v="0"/>
    <n v="0.41"/>
    <x v="2"/>
    <n v="7.101682813765684E-3"/>
    <s v=""/>
  </r>
  <r>
    <s v="Wednesday, July 24, 2019"/>
    <x v="1"/>
    <x v="222"/>
    <n v="56.595001000000003"/>
    <n v="57.200001"/>
    <n v="56.349499000000002"/>
    <n v="56.890498999999998"/>
    <n v="31796000"/>
    <n v="0"/>
    <n v="-0.42"/>
    <x v="1"/>
    <n v="-7.3826387073877443E-3"/>
    <s v=""/>
  </r>
  <r>
    <s v="Thursday, July 25, 2019"/>
    <x v="2"/>
    <x v="223"/>
    <n v="56.890999000000001"/>
    <n v="57.084999000000003"/>
    <n v="56.046000999999997"/>
    <n v="56.605998999999997"/>
    <n v="44196000"/>
    <n v="0"/>
    <n v="-0.28000000000000003"/>
    <x v="1"/>
    <n v="-5.0259690673421613E-3"/>
    <s v=""/>
  </r>
  <r>
    <s v="Friday, July 26, 2019"/>
    <x v="3"/>
    <x v="224"/>
    <n v="61.201999999999998"/>
    <n v="63.277500000000003"/>
    <n v="61.200001"/>
    <n v="62.520499999999998"/>
    <n v="96116000"/>
    <n v="0"/>
    <n v="5.91"/>
    <x v="2"/>
    <n v="9.4600986876304596E-2"/>
    <n v="9.4600986876304596E-2"/>
  </r>
  <r>
    <s v="Monday, July 29, 2019"/>
    <x v="4"/>
    <x v="225"/>
    <n v="62.052501999999997"/>
    <n v="62.368499999999997"/>
    <n v="61.411498999999999"/>
    <n v="61.970500999999999"/>
    <n v="44474000"/>
    <n v="0"/>
    <n v="-0.55000000000000004"/>
    <x v="1"/>
    <n v="-8.8751743349630118E-3"/>
    <s v=""/>
  </r>
  <r>
    <s v="Tuesday, July 30, 2019"/>
    <x v="0"/>
    <x v="226"/>
    <n v="61.270499999999998"/>
    <n v="61.743499999999997"/>
    <n v="61.165000999999997"/>
    <n v="61.256999999999998"/>
    <n v="29066000"/>
    <n v="0"/>
    <n v="-0.71"/>
    <x v="1"/>
    <n v="-1.1647664756680883E-2"/>
    <s v=""/>
  </r>
  <r>
    <s v="Wednesday, July 31, 2019"/>
    <x v="1"/>
    <x v="227"/>
    <n v="61.150002000000001"/>
    <n v="61.700001"/>
    <n v="60.388199"/>
    <n v="60.834000000000003"/>
    <n v="34510000"/>
    <n v="0"/>
    <n v="-0.42"/>
    <x v="1"/>
    <n v="-6.9533484564551842E-3"/>
    <s v=""/>
  </r>
  <r>
    <s v="Thursday, August 1, 2019"/>
    <x v="2"/>
    <x v="228"/>
    <n v="60.701500000000003"/>
    <n v="61.705502000000003"/>
    <n v="60.285998999999997"/>
    <n v="60.450499999999998"/>
    <n v="33970000"/>
    <n v="0"/>
    <n v="-0.38"/>
    <x v="1"/>
    <n v="-6.3440335481096946E-3"/>
    <s v=""/>
  </r>
  <r>
    <s v="Friday, August 2, 2019"/>
    <x v="3"/>
    <x v="229"/>
    <n v="60.036999000000002"/>
    <n v="60.345001000000003"/>
    <n v="59.446998999999998"/>
    <n v="59.699500999999998"/>
    <n v="32902000"/>
    <n v="0"/>
    <n v="-0.75"/>
    <x v="1"/>
    <n v="-1.2579652885205862E-2"/>
    <s v=""/>
  </r>
  <r>
    <s v="Monday, August 5, 2019"/>
    <x v="4"/>
    <x v="230"/>
    <n v="58.501998999999998"/>
    <n v="58.762000999999998"/>
    <n v="57.006999999999998"/>
    <n v="57.616000999999997"/>
    <n v="51950000"/>
    <n v="0"/>
    <n v="-2.08"/>
    <x v="1"/>
    <n v="-3.6161829419573931E-2"/>
    <s v=""/>
  </r>
  <r>
    <s v="Tuesday, August 6, 2019"/>
    <x v="0"/>
    <x v="231"/>
    <n v="58.165500999999999"/>
    <n v="58.998001000000002"/>
    <n v="58"/>
    <n v="58.497501"/>
    <n v="34188000"/>
    <n v="0"/>
    <n v="0.88"/>
    <x v="2"/>
    <n v="1.506901978599056E-2"/>
    <s v=""/>
  </r>
  <r>
    <s v="Wednesday, August 7, 2019"/>
    <x v="1"/>
    <x v="232"/>
    <n v="57.799999"/>
    <n v="58.922249000000001"/>
    <n v="57.481200999999999"/>
    <n v="58.699500999999998"/>
    <n v="28886000"/>
    <n v="0"/>
    <n v="0.2"/>
    <x v="2"/>
    <n v="3.4412558294149415E-3"/>
    <s v=""/>
  </r>
  <r>
    <s v="Thursday, August 8, 2019"/>
    <x v="2"/>
    <x v="233"/>
    <n v="59.141499000000003"/>
    <n v="60.250500000000002"/>
    <n v="58.651001000000001"/>
    <n v="60.240001999999997"/>
    <n v="29360000"/>
    <n v="0"/>
    <n v="1.54"/>
    <x v="2"/>
    <n v="2.557272491458415E-2"/>
    <s v=""/>
  </r>
  <r>
    <s v="Friday, August 9, 2019"/>
    <x v="3"/>
    <x v="234"/>
    <n v="59.899501999999998"/>
    <n v="60.194000000000003"/>
    <n v="59.180149"/>
    <n v="59.400500999999998"/>
    <n v="21314000"/>
    <n v="0"/>
    <n v="-0.84"/>
    <x v="1"/>
    <n v="-1.4132894266329479E-2"/>
    <s v=""/>
  </r>
  <r>
    <s v="Monday, August 12, 2019"/>
    <x v="4"/>
    <x v="235"/>
    <n v="58.960498999999999"/>
    <n v="59.248001000000002"/>
    <n v="58.383597999999999"/>
    <n v="58.735500000000002"/>
    <n v="20060000"/>
    <n v="0"/>
    <n v="-0.67"/>
    <x v="1"/>
    <n v="-1.1321960313609259E-2"/>
    <s v=""/>
  </r>
  <r>
    <s v="Tuesday, August 13, 2019"/>
    <x v="0"/>
    <x v="236"/>
    <n v="58.573002000000002"/>
    <n v="60.238998000000002"/>
    <n v="58.573002000000002"/>
    <n v="59.863498999999997"/>
    <n v="25888000"/>
    <n v="0"/>
    <n v="1.1299999999999999"/>
    <x v="2"/>
    <n v="1.8842851133709967E-2"/>
    <s v=""/>
  </r>
  <r>
    <s v="Wednesday, August 14, 2019"/>
    <x v="1"/>
    <x v="237"/>
    <n v="58.815497999999998"/>
    <n v="59.115001999999997"/>
    <n v="58.027000000000001"/>
    <n v="58.214500000000001"/>
    <n v="31574000"/>
    <n v="0"/>
    <n v="-1.65"/>
    <x v="1"/>
    <n v="-2.8326258921746238E-2"/>
    <s v=""/>
  </r>
  <r>
    <s v="Thursday, August 15, 2019"/>
    <x v="2"/>
    <x v="238"/>
    <n v="58.174999"/>
    <n v="58.792000000000002"/>
    <n v="58.105499000000002"/>
    <n v="58.362999000000002"/>
    <n v="24374000"/>
    <n v="0"/>
    <n v="0.15"/>
    <x v="2"/>
    <n v="2.5444031757175644E-3"/>
    <s v=""/>
  </r>
  <r>
    <s v="Friday, August 16, 2019"/>
    <x v="3"/>
    <x v="239"/>
    <n v="58.977500999999997"/>
    <n v="59.136001999999998"/>
    <n v="58.590499999999999"/>
    <n v="58.880001"/>
    <n v="26266000"/>
    <n v="0"/>
    <n v="0.52"/>
    <x v="2"/>
    <n v="8.7806044704380696E-3"/>
    <s v=""/>
  </r>
  <r>
    <s v="Monday, August 19, 2019"/>
    <x v="4"/>
    <x v="240"/>
    <n v="59.504500999999998"/>
    <n v="60.349499000000002"/>
    <n v="59.504500999999998"/>
    <n v="59.922500999999997"/>
    <n v="24632000"/>
    <n v="0"/>
    <n v="1.04"/>
    <x v="2"/>
    <n v="1.7397471443990578E-2"/>
    <s v=""/>
  </r>
  <r>
    <s v="Tuesday, August 20, 2019"/>
    <x v="0"/>
    <x v="241"/>
    <n v="59.762501"/>
    <n v="59.803001000000002"/>
    <n v="59.105499000000002"/>
    <n v="59.134498999999998"/>
    <n v="18310000"/>
    <n v="0"/>
    <n v="-0.79"/>
    <x v="1"/>
    <n v="-1.3325588502914328E-2"/>
    <s v=""/>
  </r>
  <r>
    <s v="Wednesday, August 21, 2019"/>
    <x v="1"/>
    <x v="242"/>
    <n v="59.657501000000003"/>
    <n v="59.950001"/>
    <n v="59.371498000000003"/>
    <n v="59.5625"/>
    <n v="14814000"/>
    <n v="0"/>
    <n v="0.43"/>
    <x v="2"/>
    <n v="7.1857460650577437E-3"/>
    <s v=""/>
  </r>
  <r>
    <s v="Thursday, August 22, 2019"/>
    <x v="2"/>
    <x v="243"/>
    <n v="59.703499000000001"/>
    <n v="59.900599999999997"/>
    <n v="58.929001"/>
    <n v="59.476500999999999"/>
    <n v="18950000"/>
    <n v="0"/>
    <n v="-0.09"/>
    <x v="1"/>
    <n v="-1.4459324027820844E-3"/>
    <s v=""/>
  </r>
  <r>
    <s v="Friday, August 23, 2019"/>
    <x v="3"/>
    <x v="244"/>
    <n v="59.099499000000002"/>
    <n v="59.703999000000003"/>
    <n v="57.387501"/>
    <n v="57.564498999999998"/>
    <n v="33740000"/>
    <n v="0"/>
    <n v="-1.91"/>
    <x v="1"/>
    <n v="-3.3214950763316833E-2"/>
    <s v=""/>
  </r>
  <r>
    <s v="Monday, August 26, 2019"/>
    <x v="4"/>
    <x v="245"/>
    <n v="57.862999000000002"/>
    <n v="58.473498999999997"/>
    <n v="57.647998999999999"/>
    <n v="58.444499999999998"/>
    <n v="24522000"/>
    <n v="0"/>
    <n v="0.88"/>
    <x v="2"/>
    <n v="1.5057037018025649E-2"/>
    <s v=""/>
  </r>
  <r>
    <s v="Tuesday, August 27, 2019"/>
    <x v="0"/>
    <x v="246"/>
    <n v="59.026501000000003"/>
    <n v="59.119999"/>
    <n v="58.072498000000003"/>
    <n v="58.391998000000001"/>
    <n v="21544000"/>
    <n v="0"/>
    <n v="-0.05"/>
    <x v="1"/>
    <n v="-8.9913004860695022E-4"/>
    <s v=""/>
  </r>
  <r>
    <s v="Wednesday, August 28, 2019"/>
    <x v="1"/>
    <x v="247"/>
    <n v="58.085498999999999"/>
    <n v="58.820999"/>
    <n v="57.865001999999997"/>
    <n v="58.550998999999997"/>
    <n v="16040000"/>
    <n v="0"/>
    <n v="0.16"/>
    <x v="2"/>
    <n v="2.715598413615392E-3"/>
    <s v=""/>
  </r>
  <r>
    <s v="Thursday, August 29, 2019"/>
    <x v="2"/>
    <x v="248"/>
    <n v="59.055999999999997"/>
    <n v="59.803001000000002"/>
    <n v="59.055999999999997"/>
    <n v="59.642502"/>
    <n v="21768000"/>
    <n v="0"/>
    <n v="1.0900000000000001"/>
    <x v="2"/>
    <n v="1.8300758073496029E-2"/>
    <s v=""/>
  </r>
  <r>
    <s v="Friday, August 30, 2019"/>
    <x v="3"/>
    <x v="249"/>
    <n v="59.924999"/>
    <n v="59.924999"/>
    <n v="59.190151"/>
    <n v="59.404998999999997"/>
    <n v="22596000"/>
    <n v="0"/>
    <n v="-0.24"/>
    <x v="1"/>
    <n v="-3.998030536117067E-3"/>
    <s v=""/>
  </r>
  <r>
    <s v="Tuesday, September 3, 2019"/>
    <x v="0"/>
    <x v="250"/>
    <n v="58.851500999999999"/>
    <n v="59.344501000000001"/>
    <n v="58.16"/>
    <n v="58.419497999999997"/>
    <n v="29598000"/>
    <n v="0"/>
    <n v="-0.99"/>
    <x v="1"/>
    <n v="-1.6869384944047265E-2"/>
    <s v=""/>
  </r>
  <r>
    <s v="Wednesday, September 4, 2019"/>
    <x v="1"/>
    <x v="251"/>
    <n v="58.835498999999999"/>
    <n v="59.173999999999999"/>
    <n v="58.549999"/>
    <n v="59.070498999999998"/>
    <n v="21378000"/>
    <n v="0"/>
    <n v="0.65"/>
    <x v="2"/>
    <n v="1.1020746582824717E-2"/>
    <s v=""/>
  </r>
  <r>
    <s v="Thursday, September 5, 2019"/>
    <x v="2"/>
    <x v="252"/>
    <n v="59.576500000000003"/>
    <n v="60.652000000000001"/>
    <n v="59.576500000000003"/>
    <n v="60.569000000000003"/>
    <n v="28162000"/>
    <n v="0"/>
    <n v="1.5"/>
    <x v="2"/>
    <n v="2.4740395251696485E-2"/>
    <s v=""/>
  </r>
  <r>
    <s v="Friday, September 6, 2019"/>
    <x v="3"/>
    <x v="253"/>
    <n v="60.406502000000003"/>
    <n v="60.600749999999998"/>
    <n v="60.126099000000004"/>
    <n v="60.246498000000003"/>
    <n v="21442000"/>
    <n v="0"/>
    <n v="-0.32"/>
    <x v="1"/>
    <n v="-5.3530414332132641E-3"/>
    <s v=""/>
  </r>
  <r>
    <s v="Monday, September 9, 2019"/>
    <x v="4"/>
    <x v="254"/>
    <n v="60.200001"/>
    <n v="61"/>
    <n v="60.126099000000004"/>
    <n v="60.220500999999999"/>
    <n v="29438000"/>
    <n v="0"/>
    <n v="-0.03"/>
    <x v="1"/>
    <n v="-4.3169684025052901E-4"/>
    <s v=""/>
  </r>
  <r>
    <s v="Tuesday, September 10, 2019"/>
    <x v="0"/>
    <x v="255"/>
    <n v="59.7575"/>
    <n v="60.5"/>
    <n v="59.728999999999999"/>
    <n v="60.299999"/>
    <n v="25202000"/>
    <n v="0"/>
    <n v="0.08"/>
    <x v="2"/>
    <n v="1.3183748145667623E-3"/>
    <s v=""/>
  </r>
  <r>
    <s v="Wednesday, September 11, 2019"/>
    <x v="1"/>
    <x v="256"/>
    <n v="60.170501999999999"/>
    <n v="61.130001"/>
    <n v="60.110000999999997"/>
    <n v="61.008499"/>
    <n v="26140000"/>
    <n v="0"/>
    <n v="0.71"/>
    <x v="2"/>
    <n v="1.1613136064862058E-2"/>
    <s v=""/>
  </r>
  <r>
    <s v="Thursday, September 12, 2019"/>
    <x v="2"/>
    <x v="257"/>
    <n v="61.215000000000003"/>
    <n v="62.092998999999999"/>
    <n v="61.151001000000001"/>
    <n v="61.712502000000001"/>
    <n v="34518000"/>
    <n v="0"/>
    <n v="0.7"/>
    <x v="2"/>
    <n v="1.1407785735214563E-2"/>
    <s v=""/>
  </r>
  <r>
    <s v="Friday, September 13, 2019"/>
    <x v="3"/>
    <x v="258"/>
    <n v="61.567501"/>
    <n v="62.043998999999999"/>
    <n v="61.350498000000002"/>
    <n v="61.978000999999999"/>
    <n v="26028000"/>
    <n v="0"/>
    <n v="0.27"/>
    <x v="2"/>
    <n v="4.2837619109399542E-3"/>
    <s v=""/>
  </r>
  <r>
    <s v="Monday, September 16, 2019"/>
    <x v="4"/>
    <x v="259"/>
    <n v="61.476002000000001"/>
    <n v="61.978000999999999"/>
    <n v="61.280498999999999"/>
    <n v="61.564999"/>
    <n v="21066000"/>
    <n v="0"/>
    <n v="-0.41"/>
    <x v="1"/>
    <n v="-6.7083896159894152E-3"/>
    <s v=""/>
  </r>
  <r>
    <s v="Tuesday, September 17, 2019"/>
    <x v="0"/>
    <x v="260"/>
    <n v="61.52"/>
    <n v="61.75"/>
    <n v="61.184502000000002"/>
    <n v="61.457500000000003"/>
    <n v="19102000"/>
    <n v="0"/>
    <n v="-0.11"/>
    <x v="1"/>
    <n v="-1.7491599886099681E-3"/>
    <s v=""/>
  </r>
  <r>
    <s v="Wednesday, September 18, 2019"/>
    <x v="1"/>
    <x v="261"/>
    <n v="61.375500000000002"/>
    <n v="61.780498999999999"/>
    <n v="60.826500000000003"/>
    <n v="61.620499000000002"/>
    <n v="22702000"/>
    <n v="0"/>
    <n v="0.16"/>
    <x v="2"/>
    <n v="2.6452074008683252E-3"/>
    <s v=""/>
  </r>
  <r>
    <s v="Thursday, September 19, 2019"/>
    <x v="2"/>
    <x v="262"/>
    <n v="61.603000999999999"/>
    <n v="62.222000000000001"/>
    <n v="61.601002000000001"/>
    <n v="61.935501000000002"/>
    <n v="19920000"/>
    <n v="0"/>
    <n v="0.32"/>
    <x v="2"/>
    <n v="5.0859683850785313E-3"/>
    <s v=""/>
  </r>
  <r>
    <s v="Friday, September 20, 2019"/>
    <x v="3"/>
    <x v="263"/>
    <n v="61.655997999999997"/>
    <n v="62.165999999999997"/>
    <n v="61.153998999999999"/>
    <n v="61.496498000000003"/>
    <n v="45400000"/>
    <n v="0"/>
    <n v="-0.44"/>
    <x v="1"/>
    <n v="-7.138666660335676E-3"/>
    <s v=""/>
  </r>
  <r>
    <s v="Monday, September 23, 2019"/>
    <x v="4"/>
    <x v="264"/>
    <n v="61.299999"/>
    <n v="61.954498000000001"/>
    <n v="61.208500000000001"/>
    <n v="61.701500000000003"/>
    <n v="21248000"/>
    <n v="0"/>
    <n v="0.21"/>
    <x v="2"/>
    <n v="3.3224800045379829E-3"/>
    <s v=""/>
  </r>
  <r>
    <s v="Tuesday, September 24, 2019"/>
    <x v="0"/>
    <x v="265"/>
    <n v="62"/>
    <n v="62.337001999999998"/>
    <n v="60.533999999999999"/>
    <n v="60.938000000000002"/>
    <n v="31664000"/>
    <n v="0"/>
    <n v="-0.76"/>
    <x v="1"/>
    <n v="-1.2529127966129516E-2"/>
    <s v=""/>
  </r>
  <r>
    <s v="Wednesday, September 25, 2019"/>
    <x v="1"/>
    <x v="266"/>
    <n v="60.790999999999997"/>
    <n v="62.415000999999997"/>
    <n v="60.504500999999998"/>
    <n v="62.326000000000001"/>
    <n v="29060000"/>
    <n v="0"/>
    <n v="1.39"/>
    <x v="2"/>
    <n v="2.2269999679106603E-2"/>
    <s v=""/>
  </r>
  <r>
    <s v="Thursday, September 26, 2019"/>
    <x v="2"/>
    <x v="267"/>
    <n v="62.097999999999999"/>
    <n v="62.25"/>
    <n v="61.613399999999999"/>
    <n v="62.069499999999998"/>
    <n v="30760000"/>
    <n v="0"/>
    <n v="-0.26"/>
    <x v="1"/>
    <n v="-4.1324644148898028E-3"/>
    <s v=""/>
  </r>
  <r>
    <s v="Friday, September 27, 2019"/>
    <x v="3"/>
    <x v="268"/>
    <n v="62.150500999999998"/>
    <n v="62.201000000000001"/>
    <n v="60.722499999999997"/>
    <n v="61.254500999999998"/>
    <n v="27078000"/>
    <n v="0"/>
    <n v="-0.81"/>
    <x v="1"/>
    <n v="-1.3305128385585906E-2"/>
    <s v=""/>
  </r>
  <r>
    <s v="Monday, September 30, 2019"/>
    <x v="4"/>
    <x v="269"/>
    <n v="61.048499999999997"/>
    <n v="61.299999"/>
    <n v="60.615001999999997"/>
    <n v="60.950001"/>
    <n v="28082000"/>
    <n v="0"/>
    <n v="-0.3"/>
    <x v="1"/>
    <n v="-4.9958981953092552E-3"/>
    <s v=""/>
  </r>
  <r>
    <s v="Tuesday, October 1, 2019"/>
    <x v="0"/>
    <x v="270"/>
    <n v="60.950001"/>
    <n v="61.561501"/>
    <n v="60.179001"/>
    <n v="60.255001"/>
    <n v="25470000"/>
    <n v="0"/>
    <n v="-0.7"/>
    <x v="1"/>
    <n v="-1.1534312313761313E-2"/>
    <s v=""/>
  </r>
  <r>
    <s v="Wednesday, October 2, 2019"/>
    <x v="1"/>
    <x v="271"/>
    <n v="59.848998999999999"/>
    <n v="59.848998999999999"/>
    <n v="58.564498999999998"/>
    <n v="58.831501000000003"/>
    <n v="32302000"/>
    <n v="0"/>
    <n v="-1.42"/>
    <x v="1"/>
    <n v="-2.4196221000718596E-2"/>
    <s v=""/>
  </r>
  <r>
    <s v="Thursday, October 3, 2019"/>
    <x v="2"/>
    <x v="272"/>
    <n v="59"/>
    <n v="59.452998999999998"/>
    <n v="58.121498000000003"/>
    <n v="59.391499000000003"/>
    <n v="32424000"/>
    <n v="0"/>
    <n v="0.56000000000000005"/>
    <x v="2"/>
    <n v="9.4289251732811146E-3"/>
    <s v=""/>
  </r>
  <r>
    <s v="Friday, October 4, 2019"/>
    <x v="3"/>
    <x v="273"/>
    <n v="59.594501000000001"/>
    <n v="60.571998999999998"/>
    <n v="59.458500000000001"/>
    <n v="60.450001"/>
    <n v="23248000"/>
    <n v="0"/>
    <n v="1.06"/>
    <x v="2"/>
    <n v="1.7510371918769647E-2"/>
    <s v=""/>
  </r>
  <r>
    <s v="Monday, October 7, 2019"/>
    <x v="4"/>
    <x v="274"/>
    <n v="60.220001000000003"/>
    <n v="60.910198000000001"/>
    <n v="60.1875"/>
    <n v="60.383999000000003"/>
    <n v="16858000"/>
    <n v="0"/>
    <n v="-7.0000000000000007E-2"/>
    <x v="1"/>
    <n v="-1.0930379089334153E-3"/>
    <s v=""/>
  </r>
  <r>
    <s v="Tuesday, October 8, 2019"/>
    <x v="0"/>
    <x v="275"/>
    <n v="59.879500999999998"/>
    <n v="60.304001"/>
    <n v="59.450499999999998"/>
    <n v="59.456501000000003"/>
    <n v="20786000"/>
    <n v="0"/>
    <n v="-0.93"/>
    <x v="1"/>
    <n v="-1.5599606172586575E-2"/>
    <s v=""/>
  </r>
  <r>
    <s v="Wednesday, October 9, 2019"/>
    <x v="1"/>
    <x v="276"/>
    <n v="59.967498999999997"/>
    <n v="60.417499999999997"/>
    <n v="59.881500000000003"/>
    <n v="60.115501000000002"/>
    <n v="17354000"/>
    <n v="0"/>
    <n v="0.66"/>
    <x v="2"/>
    <n v="1.0962230856231223E-2"/>
    <s v=""/>
  </r>
  <r>
    <s v="Thursday, October 10, 2019"/>
    <x v="2"/>
    <x v="277"/>
    <n v="59.929001"/>
    <n v="60.75"/>
    <n v="59.867001000000002"/>
    <n v="60.433498"/>
    <n v="16932000"/>
    <n v="0"/>
    <n v="0.32"/>
    <x v="2"/>
    <n v="5.2619327115567315E-3"/>
    <s v=""/>
  </r>
  <r>
    <s v="Friday, October 11, 2019"/>
    <x v="3"/>
    <x v="278"/>
    <n v="61.110500000000002"/>
    <n v="61.419497999999997"/>
    <n v="60.686999999999998"/>
    <n v="60.772499000000003"/>
    <n v="25454000"/>
    <n v="0"/>
    <n v="0.34"/>
    <x v="2"/>
    <n v="5.578197467245887E-3"/>
    <s v=""/>
  </r>
  <r>
    <s v="Monday, October 14, 2019"/>
    <x v="4"/>
    <x v="279"/>
    <n v="60.617001000000002"/>
    <n v="61.316502"/>
    <n v="60.588000999999998"/>
    <n v="60.856997999999997"/>
    <n v="17350000"/>
    <n v="0"/>
    <n v="0.08"/>
    <x v="2"/>
    <n v="1.38848452564147E-3"/>
    <s v=""/>
  </r>
  <r>
    <s v="Tuesday, October 15, 2019"/>
    <x v="0"/>
    <x v="280"/>
    <n v="61.02"/>
    <n v="62.366501"/>
    <n v="61.02"/>
    <n v="62.150500999999998"/>
    <n v="27634000"/>
    <n v="0"/>
    <n v="1.29"/>
    <x v="2"/>
    <n v="2.0812430779922453E-2"/>
    <s v=""/>
  </r>
  <r>
    <s v="Wednesday, October 16, 2019"/>
    <x v="1"/>
    <x v="281"/>
    <n v="62.058498"/>
    <n v="62.737000000000002"/>
    <n v="61.922500999999997"/>
    <n v="62.181998999999998"/>
    <n v="21892000"/>
    <n v="0"/>
    <n v="0.03"/>
    <x v="2"/>
    <n v="5.0654531064527432E-4"/>
    <s v=""/>
  </r>
  <r>
    <s v="Thursday, October 17, 2019"/>
    <x v="2"/>
    <x v="282"/>
    <n v="62.546500999999999"/>
    <n v="63.166248000000003"/>
    <n v="62.497002000000002"/>
    <n v="62.653500000000001"/>
    <n v="19048000"/>
    <n v="0"/>
    <n v="0.47"/>
    <x v="2"/>
    <n v="7.5255332902392285E-3"/>
    <s v=""/>
  </r>
  <r>
    <s v="Friday, October 18, 2019"/>
    <x v="3"/>
    <x v="283"/>
    <n v="62.673000000000002"/>
    <n v="62.944499999999998"/>
    <n v="62.054001"/>
    <n v="62.274501999999998"/>
    <n v="27056000"/>
    <n v="0"/>
    <n v="-0.38"/>
    <x v="1"/>
    <n v="-6.0859258256292896E-3"/>
    <s v=""/>
  </r>
  <r>
    <s v="Monday, October 21, 2019"/>
    <x v="4"/>
    <x v="284"/>
    <n v="62.612999000000002"/>
    <n v="62.731448999999998"/>
    <n v="62.029998999999997"/>
    <n v="62.307499"/>
    <n v="20544000"/>
    <n v="0"/>
    <n v="0.03"/>
    <x v="2"/>
    <n v="5.2958312449680764E-4"/>
    <s v=""/>
  </r>
  <r>
    <s v="Tuesday, October 22, 2019"/>
    <x v="0"/>
    <x v="285"/>
    <n v="62.392502"/>
    <n v="62.529998999999997"/>
    <n v="62.069000000000003"/>
    <n v="62.139999000000003"/>
    <n v="20476000"/>
    <n v="0"/>
    <n v="-0.17"/>
    <x v="1"/>
    <n v="-2.6955262744693133E-3"/>
    <s v=""/>
  </r>
  <r>
    <s v="Wednesday, October 23, 2019"/>
    <x v="1"/>
    <x v="286"/>
    <n v="62.118000000000002"/>
    <n v="62.994498999999998"/>
    <n v="62.118000000000002"/>
    <n v="62.956501000000003"/>
    <n v="18230000"/>
    <n v="0"/>
    <n v="0.82"/>
    <x v="2"/>
    <n v="1.2969303996103592E-2"/>
    <s v=""/>
  </r>
  <r>
    <s v="Thursday, October 24, 2019"/>
    <x v="2"/>
    <x v="287"/>
    <n v="63.044998"/>
    <n v="63.200001"/>
    <n v="62.685749000000001"/>
    <n v="63.049500000000002"/>
    <n v="20562000"/>
    <n v="0"/>
    <n v="0.09"/>
    <x v="2"/>
    <n v="1.4750156622970673E-3"/>
    <s v=""/>
  </r>
  <r>
    <s v="Friday, October 25, 2019"/>
    <x v="3"/>
    <x v="288"/>
    <n v="62.551498000000002"/>
    <n v="63.48"/>
    <n v="62.500500000000002"/>
    <n v="63.256500000000003"/>
    <n v="24262000"/>
    <n v="0"/>
    <n v="0.21"/>
    <x v="2"/>
    <n v="3.2723909795831373E-3"/>
    <s v=""/>
  </r>
  <r>
    <s v="Monday, October 28, 2019"/>
    <x v="4"/>
    <x v="289"/>
    <n v="63.772499000000003"/>
    <n v="64.965500000000006"/>
    <n v="63.626998999999998"/>
    <n v="64.5"/>
    <n v="52264000"/>
    <n v="0"/>
    <n v="1.24"/>
    <x v="2"/>
    <n v="1.9279069767441821E-2"/>
    <s v=""/>
  </r>
  <r>
    <s v="Tuesday, October 29, 2019"/>
    <x v="0"/>
    <x v="290"/>
    <n v="63.811501"/>
    <n v="64.079498000000001"/>
    <n v="62.860599999999998"/>
    <n v="63.131000999999998"/>
    <n v="37728000"/>
    <n v="0"/>
    <n v="-1.37"/>
    <x v="1"/>
    <n v="-2.1685051374363641E-2"/>
    <s v=""/>
  </r>
  <r>
    <s v="Wednesday, October 30, 2019"/>
    <x v="1"/>
    <x v="291"/>
    <n v="62.648499000000001"/>
    <n v="63.467998999999999"/>
    <n v="62.599997999999999"/>
    <n v="63.064498999999998"/>
    <n v="28178000"/>
    <n v="0"/>
    <n v="-7.0000000000000007E-2"/>
    <x v="1"/>
    <n v="-1.0545077032959517E-3"/>
    <s v=""/>
  </r>
  <r>
    <s v="Thursday, October 31, 2019"/>
    <x v="2"/>
    <x v="292"/>
    <n v="63.063999000000003"/>
    <n v="63.383499"/>
    <n v="62.542149000000002"/>
    <n v="63.005501000000002"/>
    <n v="29114000"/>
    <n v="0"/>
    <n v="-0.06"/>
    <x v="1"/>
    <n v="-9.3639442689290645E-4"/>
    <s v=""/>
  </r>
  <r>
    <s v="Friday, November 1, 2019"/>
    <x v="3"/>
    <x v="293"/>
    <n v="63.25"/>
    <n v="63.730998999999997"/>
    <n v="63.025002000000001"/>
    <n v="63.686999999999998"/>
    <n v="33402000"/>
    <n v="0"/>
    <n v="0.68"/>
    <x v="2"/>
    <n v="1.0700755256174654E-2"/>
    <s v=""/>
  </r>
  <r>
    <s v="Monday, November 4, 2019"/>
    <x v="4"/>
    <x v="294"/>
    <n v="63.822498000000003"/>
    <n v="64.706496999999999"/>
    <n v="63.817748999999999"/>
    <n v="64.568496999999994"/>
    <n v="30020000"/>
    <n v="0"/>
    <n v="0.88"/>
    <x v="2"/>
    <n v="1.3652122024770006E-2"/>
    <s v=""/>
  </r>
  <r>
    <s v="Tuesday, November 5, 2019"/>
    <x v="0"/>
    <x v="295"/>
    <n v="64.644501000000005"/>
    <n v="64.946503000000007"/>
    <n v="64.561447000000001"/>
    <n v="64.601500999999999"/>
    <n v="25654000"/>
    <n v="0"/>
    <n v="0.03"/>
    <x v="2"/>
    <n v="5.1088596223182741E-4"/>
    <s v=""/>
  </r>
  <r>
    <s v="Wednesday, November 6, 2019"/>
    <x v="1"/>
    <x v="296"/>
    <n v="64.472999999999999"/>
    <n v="64.686501000000007"/>
    <n v="64.125"/>
    <n v="64.589995999999999"/>
    <n v="23060000"/>
    <n v="0"/>
    <n v="-0.01"/>
    <x v="1"/>
    <n v="-1.7812355956795003E-4"/>
    <s v=""/>
  </r>
  <r>
    <s v="Thursday, November 7, 2019"/>
    <x v="2"/>
    <x v="297"/>
    <n v="64.713997000000006"/>
    <n v="66.186995999999994"/>
    <n v="64.712249999999997"/>
    <n v="65.443000999999995"/>
    <n v="40600000"/>
    <n v="0"/>
    <n v="0.85"/>
    <x v="2"/>
    <n v="1.303431974337479E-2"/>
    <s v=""/>
  </r>
  <r>
    <s v="Friday, November 8, 2019"/>
    <x v="3"/>
    <x v="298"/>
    <n v="65.263999999999996"/>
    <n v="65.900002000000001"/>
    <n v="65.218245999999994"/>
    <n v="65.568496999999994"/>
    <n v="25028000"/>
    <n v="0"/>
    <n v="0.13"/>
    <x v="2"/>
    <n v="1.9139679227357963E-3"/>
    <s v=""/>
  </r>
  <r>
    <s v="Monday, November 11, 2019"/>
    <x v="4"/>
    <x v="299"/>
    <n v="65.158996999999999"/>
    <n v="65.321251000000004"/>
    <n v="64.870498999999995"/>
    <n v="64.959502999999998"/>
    <n v="20238000"/>
    <n v="0"/>
    <n v="-0.61"/>
    <x v="1"/>
    <n v="-9.3749793621419122E-3"/>
    <s v=""/>
  </r>
  <r>
    <s v="Tuesday, November 12, 2019"/>
    <x v="0"/>
    <x v="300"/>
    <n v="65"/>
    <n v="65.5"/>
    <n v="64.788498000000004"/>
    <n v="64.940002000000007"/>
    <n v="21718000"/>
    <n v="0"/>
    <n v="-0.02"/>
    <x v="1"/>
    <n v="-3.0029256851564473E-4"/>
    <s v=""/>
  </r>
  <r>
    <s v="Wednesday, November 13, 2019"/>
    <x v="1"/>
    <x v="301"/>
    <n v="64.703498999999994"/>
    <n v="65.214995999999999"/>
    <n v="64.675499000000002"/>
    <n v="64.900002000000001"/>
    <n v="16534000"/>
    <n v="0"/>
    <n v="-0.04"/>
    <x v="1"/>
    <n v="-6.1633280072943993E-4"/>
    <s v=""/>
  </r>
  <r>
    <s v="Thursday, November 14, 2019"/>
    <x v="2"/>
    <x v="302"/>
    <n v="64.875"/>
    <n v="65.849997999999999"/>
    <n v="64.782500999999996"/>
    <n v="65.572997999999998"/>
    <n v="23870000"/>
    <n v="0"/>
    <n v="0.67"/>
    <x v="2"/>
    <n v="1.0263309906922324E-2"/>
    <s v=""/>
  </r>
  <r>
    <s v="Friday, November 15, 2019"/>
    <x v="3"/>
    <x v="303"/>
    <n v="65.946999000000005"/>
    <n v="66.744003000000006"/>
    <n v="65.713997000000006"/>
    <n v="66.743499999999997"/>
    <n v="35652000"/>
    <n v="0"/>
    <n v="1.17"/>
    <x v="2"/>
    <n v="1.7537318240727549E-2"/>
    <s v=""/>
  </r>
  <r>
    <s v="Monday, November 18, 2019"/>
    <x v="4"/>
    <x v="304"/>
    <n v="66.611000000000004"/>
    <n v="66.776450999999994"/>
    <n v="65.875"/>
    <n v="66.035004000000001"/>
    <n v="29748000"/>
    <n v="0"/>
    <n v="-0.71"/>
    <x v="1"/>
    <n v="-1.0729097555593344E-2"/>
    <s v=""/>
  </r>
  <r>
    <s v="Tuesday, November 19, 2019"/>
    <x v="0"/>
    <x v="305"/>
    <n v="66.385002"/>
    <n v="66.385002"/>
    <n v="65.639999000000003"/>
    <n v="65.773003000000003"/>
    <n v="25384000"/>
    <n v="0"/>
    <n v="-0.26"/>
    <x v="1"/>
    <n v="-3.9834124648375551E-3"/>
    <s v=""/>
  </r>
  <r>
    <s v="Wednesday, November 20, 2019"/>
    <x v="1"/>
    <x v="306"/>
    <n v="65.586997999999994"/>
    <n v="65.75"/>
    <n v="64.557502999999997"/>
    <n v="65.152495999999999"/>
    <n v="26172000"/>
    <n v="0"/>
    <n v="-0.62"/>
    <x v="1"/>
    <n v="-9.5239175487613469E-3"/>
    <s v=""/>
  </r>
  <r>
    <s v="Thursday, November 21, 2019"/>
    <x v="2"/>
    <x v="307"/>
    <n v="65.073997000000006"/>
    <n v="65.629501000000005"/>
    <n v="64.650002000000001"/>
    <n v="65.067497000000003"/>
    <n v="19910000"/>
    <n v="0"/>
    <n v="-0.08"/>
    <x v="1"/>
    <n v="-1.3063204198556504E-3"/>
    <s v=""/>
  </r>
  <r>
    <s v="Friday, November 22, 2019"/>
    <x v="3"/>
    <x v="308"/>
    <n v="65.280997999999997"/>
    <n v="65.436501000000007"/>
    <n v="64.570503000000002"/>
    <n v="64.766998000000001"/>
    <n v="27714000"/>
    <n v="0"/>
    <n v="-0.3"/>
    <x v="1"/>
    <n v="-4.6396931968346296E-3"/>
    <s v=""/>
  </r>
  <r>
    <s v="Monday, November 25, 2019"/>
    <x v="4"/>
    <x v="309"/>
    <n v="64.959000000000003"/>
    <n v="65.565498000000005"/>
    <n v="64.906502000000003"/>
    <n v="64.766998000000001"/>
    <n v="20724000"/>
    <n v="0"/>
    <n v="0"/>
    <x v="0"/>
    <n v="0"/>
    <s v=""/>
  </r>
  <r>
    <s v="Tuesday, November 26, 2019"/>
    <x v="0"/>
    <x v="310"/>
    <n v="65.492996000000005"/>
    <n v="65.739998"/>
    <n v="65.254501000000005"/>
    <n v="65.677498"/>
    <n v="21394000"/>
    <n v="0"/>
    <n v="0.91"/>
    <x v="2"/>
    <n v="1.3863195580318833E-2"/>
    <s v=""/>
  </r>
  <r>
    <s v="Wednesday, November 27, 2019"/>
    <x v="1"/>
    <x v="311"/>
    <n v="65.75"/>
    <n v="65.917998999999995"/>
    <n v="65.481498999999999"/>
    <n v="65.649497999999994"/>
    <n v="19912000"/>
    <n v="0"/>
    <n v="-0.03"/>
    <x v="1"/>
    <n v="-4.2650745021699635E-4"/>
    <s v=""/>
  </r>
  <r>
    <s v="Friday, November 29, 2019"/>
    <x v="3"/>
    <x v="312"/>
    <n v="65.356003000000001"/>
    <n v="65.510245999999995"/>
    <n v="65.198502000000005"/>
    <n v="65.248001000000002"/>
    <n v="11740000"/>
    <n v="0"/>
    <n v="-0.4"/>
    <x v="1"/>
    <n v="-6.1533992436027581E-3"/>
    <s v=""/>
  </r>
  <r>
    <s v="Monday, December 2, 2019"/>
    <x v="4"/>
    <x v="313"/>
    <n v="65.050003000000004"/>
    <n v="65.291495999999995"/>
    <n v="64.050003000000004"/>
    <n v="64.496002000000004"/>
    <n v="30218000"/>
    <n v="0"/>
    <n v="-0.75"/>
    <x v="1"/>
    <n v="-1.1659621940597152E-2"/>
    <s v=""/>
  </r>
  <r>
    <s v="Tuesday, December 3, 2019"/>
    <x v="0"/>
    <x v="314"/>
    <n v="63.978499999999997"/>
    <n v="64.923050000000003"/>
    <n v="63.950001"/>
    <n v="64.763999999999996"/>
    <n v="22876000"/>
    <n v="0"/>
    <n v="0.27"/>
    <x v="2"/>
    <n v="4.1380705330120362E-3"/>
    <s v=""/>
  </r>
  <r>
    <s v="Wednesday, December 4, 2019"/>
    <x v="1"/>
    <x v="315"/>
    <n v="65.350502000000006"/>
    <n v="66.290001000000004"/>
    <n v="65.243499999999997"/>
    <n v="66.027000000000001"/>
    <n v="30750000"/>
    <n v="0"/>
    <n v="1.26"/>
    <x v="2"/>
    <n v="1.9128538325230666E-2"/>
    <s v=""/>
  </r>
  <r>
    <s v="Thursday, December 5, 2019"/>
    <x v="2"/>
    <x v="316"/>
    <n v="66.400002000000001"/>
    <n v="66.467903000000007"/>
    <n v="65.821999000000005"/>
    <n v="66.406502000000003"/>
    <n v="24254000"/>
    <n v="0"/>
    <n v="0.38"/>
    <x v="2"/>
    <n v="5.7148319602800673E-3"/>
    <s v=""/>
  </r>
  <r>
    <s v="Friday, December 6, 2019"/>
    <x v="3"/>
    <x v="317"/>
    <n v="66.671997000000005"/>
    <n v="67.199996999999996"/>
    <n v="66.671997000000005"/>
    <n v="67.030997999999997"/>
    <n v="26296000"/>
    <n v="0"/>
    <n v="0.62"/>
    <x v="2"/>
    <n v="9.3165254678140626E-3"/>
    <s v=""/>
  </r>
  <r>
    <s v="Monday, December 9, 2019"/>
    <x v="4"/>
    <x v="318"/>
    <n v="66.902000000000001"/>
    <n v="67.972504000000001"/>
    <n v="66.891998000000001"/>
    <n v="67.178000999999995"/>
    <n v="27086000"/>
    <n v="0"/>
    <n v="0.15"/>
    <x v="2"/>
    <n v="2.1882610052656672E-3"/>
    <s v=""/>
  </r>
  <r>
    <s v="Tuesday, December 10, 2019"/>
    <x v="0"/>
    <x v="319"/>
    <n v="67.074996999999996"/>
    <n v="67.498749000000004"/>
    <n v="66.802002000000002"/>
    <n v="67.233001999999999"/>
    <n v="21882000"/>
    <n v="0"/>
    <n v="0.06"/>
    <x v="2"/>
    <n v="8.1806550895948836E-4"/>
    <s v=""/>
  </r>
  <r>
    <s v="Wednesday, December 11, 2019"/>
    <x v="1"/>
    <x v="320"/>
    <n v="67.542000000000002"/>
    <n v="67.559997999999993"/>
    <n v="67.133499"/>
    <n v="67.250998999999993"/>
    <n v="17008000"/>
    <n v="0"/>
    <n v="0.02"/>
    <x v="2"/>
    <n v="2.6760940755681634E-4"/>
    <s v=""/>
  </r>
  <r>
    <s v="Thursday, December 12, 2019"/>
    <x v="2"/>
    <x v="321"/>
    <n v="67.296997000000005"/>
    <n v="67.788749999999993"/>
    <n v="67.025002000000001"/>
    <n v="67.513496000000004"/>
    <n v="25620000"/>
    <n v="0"/>
    <n v="0.26"/>
    <x v="2"/>
    <n v="3.8880670614362851E-3"/>
    <s v=""/>
  </r>
  <r>
    <s v="Friday, December 13, 2019"/>
    <x v="3"/>
    <x v="322"/>
    <n v="67.397498999999996"/>
    <n v="67.654647999999995"/>
    <n v="67.193496999999994"/>
    <n v="67.391502000000003"/>
    <n v="30992000"/>
    <n v="0"/>
    <n v="-0.12"/>
    <x v="1"/>
    <n v="-1.8102282391628669E-3"/>
    <s v=""/>
  </r>
  <r>
    <s v="Monday, December 16, 2019"/>
    <x v="4"/>
    <x v="323"/>
    <n v="67.824996999999996"/>
    <n v="68.234001000000006"/>
    <n v="67.633499"/>
    <n v="68.058502000000004"/>
    <n v="27946000"/>
    <n v="0"/>
    <n v="0.67"/>
    <x v="2"/>
    <n v="9.8003920215581821E-3"/>
    <s v=""/>
  </r>
  <r>
    <s v="Tuesday, December 17, 2019"/>
    <x v="0"/>
    <x v="324"/>
    <n v="68.144501000000005"/>
    <n v="68.25"/>
    <n v="67.566147000000001"/>
    <n v="67.755996999999994"/>
    <n v="37080000"/>
    <n v="0"/>
    <n v="-0.3"/>
    <x v="1"/>
    <n v="-4.4646232568906147E-3"/>
    <s v=""/>
  </r>
  <r>
    <s v="Wednesday, December 18, 2019"/>
    <x v="1"/>
    <x v="325"/>
    <n v="67.830001999999993"/>
    <n v="68.023499000000001"/>
    <n v="67.550003000000004"/>
    <n v="67.630996999999994"/>
    <n v="30452000"/>
    <n v="0"/>
    <n v="-0.13"/>
    <x v="1"/>
    <n v="-1.8482649309457912E-3"/>
    <s v=""/>
  </r>
  <r>
    <s v="Thursday, December 19, 2019"/>
    <x v="2"/>
    <x v="326"/>
    <n v="67.591003000000001"/>
    <n v="67.904999000000004"/>
    <n v="67.449248999999995"/>
    <n v="67.802002000000002"/>
    <n v="29398000"/>
    <n v="0"/>
    <n v="0.17"/>
    <x v="2"/>
    <n v="2.5221231668057244E-3"/>
    <s v=""/>
  </r>
  <r>
    <s v="Friday, December 20, 2019"/>
    <x v="3"/>
    <x v="327"/>
    <n v="68.167502999999996"/>
    <n v="68.181999000000005"/>
    <n v="67.449996999999996"/>
    <n v="67.479500000000002"/>
    <n v="66300000"/>
    <n v="0"/>
    <n v="-0.32"/>
    <x v="1"/>
    <n v="-4.7792588860320548E-3"/>
    <s v=""/>
  </r>
  <r>
    <s v="Monday, December 23, 2019"/>
    <x v="4"/>
    <x v="328"/>
    <n v="67.793503000000001"/>
    <n v="67.989998"/>
    <n v="67.325500000000005"/>
    <n v="67.442001000000005"/>
    <n v="17662000"/>
    <n v="0"/>
    <n v="-0.04"/>
    <x v="1"/>
    <n v="-5.5601849654485843E-4"/>
    <s v=""/>
  </r>
  <r>
    <s v="Tuesday, December 24, 2019"/>
    <x v="0"/>
    <x v="329"/>
    <n v="67.425003000000004"/>
    <n v="67.513000000000005"/>
    <n v="67.138999999999996"/>
    <n v="67.178000999999995"/>
    <n v="6950000"/>
    <n v="0"/>
    <n v="-0.26"/>
    <x v="1"/>
    <n v="-3.9298579307236311E-3"/>
    <s v=""/>
  </r>
  <r>
    <s v="Thursday, December 26, 2019"/>
    <x v="2"/>
    <x v="330"/>
    <n v="67.308502000000004"/>
    <n v="68.066353000000007"/>
    <n v="67.223502999999994"/>
    <n v="68.019997000000004"/>
    <n v="13350000"/>
    <n v="0"/>
    <n v="0.84"/>
    <x v="2"/>
    <n v="1.2378653883210387E-2"/>
    <s v=""/>
  </r>
  <r>
    <s v="Friday, December 27, 2019"/>
    <x v="3"/>
    <x v="331"/>
    <n v="68.149497999999994"/>
    <n v="68.226500999999999"/>
    <n v="67.465500000000006"/>
    <n v="67.594498000000002"/>
    <n v="20768000"/>
    <n v="0"/>
    <n v="-0.43"/>
    <x v="1"/>
    <n v="-6.294876248655653E-3"/>
    <s v=""/>
  </r>
  <r>
    <s v="Monday, December 30, 2019"/>
    <x v="4"/>
    <x v="332"/>
    <n v="67.5"/>
    <n v="67.650002000000001"/>
    <n v="66.700996000000004"/>
    <n v="66.806999000000005"/>
    <n v="21018000"/>
    <n v="0"/>
    <n v="-0.79"/>
    <x v="1"/>
    <n v="-1.1787672126987725E-2"/>
    <s v=""/>
  </r>
  <r>
    <s v="Tuesday, December 31, 2019"/>
    <x v="0"/>
    <x v="333"/>
    <n v="66.505500999999995"/>
    <n v="66.900002000000001"/>
    <n v="66.454246999999995"/>
    <n v="66.850998000000004"/>
    <n v="19236000"/>
    <n v="0"/>
    <n v="0.04"/>
    <x v="2"/>
    <n v="6.5816519298634039E-4"/>
    <s v=""/>
  </r>
  <r>
    <s v="Thursday, January 2, 2020"/>
    <x v="2"/>
    <x v="334"/>
    <n v="67.077499000000003"/>
    <n v="68.406998000000002"/>
    <n v="67.077499000000003"/>
    <n v="68.368499999999997"/>
    <n v="28132000"/>
    <n v="0"/>
    <n v="1.52"/>
    <x v="2"/>
    <n v="2.2195923561289091E-2"/>
    <s v=""/>
  </r>
  <r>
    <s v="Friday, January 3, 2020"/>
    <x v="3"/>
    <x v="335"/>
    <n v="67.392998000000006"/>
    <n v="68.625"/>
    <n v="67.277198999999996"/>
    <n v="68.032996999999995"/>
    <n v="23728000"/>
    <n v="0"/>
    <n v="-0.34"/>
    <x v="1"/>
    <n v="-4.9314746489854443E-3"/>
    <s v=""/>
  </r>
  <r>
    <s v="Monday, January 6, 2020"/>
    <x v="4"/>
    <x v="336"/>
    <n v="67.5"/>
    <n v="69.824996999999996"/>
    <n v="67.5"/>
    <n v="69.710503000000003"/>
    <n v="34646000"/>
    <n v="0"/>
    <n v="1.68"/>
    <x v="2"/>
    <n v="2.4063891778259124E-2"/>
    <s v=""/>
  </r>
  <r>
    <s v="Tuesday, January 7, 2020"/>
    <x v="0"/>
    <x v="337"/>
    <n v="69.897002999999998"/>
    <n v="70.149497999999994"/>
    <n v="69.518996999999999"/>
    <n v="69.667000000000002"/>
    <n v="30054000"/>
    <n v="0"/>
    <n v="-0.04"/>
    <x v="1"/>
    <n v="-6.244419883158623E-4"/>
    <s v=""/>
  </r>
  <r>
    <s v="Wednesday, January 8, 2020"/>
    <x v="1"/>
    <x v="338"/>
    <n v="69.603995999999995"/>
    <n v="70.579002000000003"/>
    <n v="69.542000000000002"/>
    <n v="70.216003000000001"/>
    <n v="30560000"/>
    <n v="0"/>
    <n v="0.55000000000000004"/>
    <x v="2"/>
    <n v="7.8187731648581456E-3"/>
    <s v=""/>
  </r>
  <r>
    <s v="Thursday, January 9, 2020"/>
    <x v="2"/>
    <x v="339"/>
    <n v="71.028503000000001"/>
    <n v="71.366501"/>
    <n v="70.513496000000004"/>
    <n v="70.991501"/>
    <n v="30018000"/>
    <n v="0"/>
    <n v="0.78"/>
    <x v="2"/>
    <n v="1.0923814669026352E-2"/>
    <s v=""/>
  </r>
  <r>
    <s v="Friday, January 10, 2020"/>
    <x v="3"/>
    <x v="340"/>
    <n v="71.377998000000005"/>
    <n v="71.746452000000005"/>
    <n v="70.917502999999996"/>
    <n v="71.486503999999996"/>
    <n v="36414000"/>
    <n v="0"/>
    <n v="0.5"/>
    <x v="2"/>
    <n v="6.9244259028249161E-3"/>
    <s v=""/>
  </r>
  <r>
    <s v="Monday, January 13, 2020"/>
    <x v="4"/>
    <x v="341"/>
    <n v="71.806503000000006"/>
    <n v="72.026000999999994"/>
    <n v="71.301002999999994"/>
    <n v="71.961501999999996"/>
    <n v="33046000"/>
    <n v="0"/>
    <n v="0.47"/>
    <x v="2"/>
    <n v="6.6007238147975204E-3"/>
    <s v=""/>
  </r>
  <r>
    <s v="Tuesday, January 14, 2020"/>
    <x v="0"/>
    <x v="342"/>
    <n v="71.950500000000005"/>
    <n v="72.089995999999999"/>
    <n v="71.418503000000001"/>
    <n v="71.543998999999999"/>
    <n v="31178000"/>
    <n v="0"/>
    <n v="-0.42"/>
    <x v="1"/>
    <n v="-5.8356117331377633E-3"/>
    <s v=""/>
  </r>
  <r>
    <s v="Wednesday, January 15, 2020"/>
    <x v="1"/>
    <x v="343"/>
    <n v="71.510497999999998"/>
    <n v="72.069748000000004"/>
    <n v="71.510497999999998"/>
    <n v="71.959998999999996"/>
    <n v="25654000"/>
    <n v="0"/>
    <n v="0.42"/>
    <x v="2"/>
    <n v="5.7809895189130959E-3"/>
    <s v=""/>
  </r>
  <r>
    <s v="Thursday, January 16, 2020"/>
    <x v="2"/>
    <x v="344"/>
    <n v="72.372001999999995"/>
    <n v="72.599502999999999"/>
    <n v="72.045997999999997"/>
    <n v="72.584998999999996"/>
    <n v="23474000"/>
    <n v="0"/>
    <n v="0.63"/>
    <x v="2"/>
    <n v="8.6105945940703268E-3"/>
    <s v=""/>
  </r>
  <r>
    <s v="Friday, January 17, 2020"/>
    <x v="3"/>
    <x v="345"/>
    <n v="73.145499999999998"/>
    <n v="74.064751000000001"/>
    <n v="72.911002999999994"/>
    <n v="74.019501000000005"/>
    <n v="47924000"/>
    <n v="0"/>
    <n v="1.43"/>
    <x v="2"/>
    <n v="1.9380054993886123E-2"/>
    <s v=""/>
  </r>
  <r>
    <s v="Tuesday, January 21, 2020"/>
    <x v="0"/>
    <x v="346"/>
    <n v="73.956001000000001"/>
    <n v="74.592499000000004"/>
    <n v="73.559997999999993"/>
    <n v="74.220000999999996"/>
    <n v="40734000"/>
    <n v="0"/>
    <n v="0.2"/>
    <x v="2"/>
    <n v="2.7014281500749512E-3"/>
    <s v=""/>
  </r>
  <r>
    <s v="Wednesday, January 22, 2020"/>
    <x v="1"/>
    <x v="347"/>
    <n v="74.550003000000004"/>
    <n v="75.160697999999996"/>
    <n v="74.246498000000003"/>
    <n v="74.297500999999997"/>
    <n v="32216000"/>
    <n v="0"/>
    <n v="0.08"/>
    <x v="2"/>
    <n v="1.0431037243096583E-3"/>
    <s v=""/>
  </r>
  <r>
    <s v="Thursday, January 23, 2020"/>
    <x v="2"/>
    <x v="348"/>
    <n v="74.382003999999995"/>
    <n v="74.776000999999994"/>
    <n v="74.105002999999996"/>
    <n v="74.332497000000004"/>
    <n v="27024000"/>
    <n v="0"/>
    <n v="0.03"/>
    <x v="2"/>
    <n v="4.7080350334533611E-4"/>
    <s v=""/>
  </r>
  <r>
    <s v="Friday, January 24, 2020"/>
    <x v="3"/>
    <x v="349"/>
    <n v="74.679496999999998"/>
    <n v="74.774749999999997"/>
    <n v="73.262496999999996"/>
    <n v="73.335503000000003"/>
    <n v="35692000"/>
    <n v="0"/>
    <n v="-1"/>
    <x v="1"/>
    <n v="-1.3594970501531854E-2"/>
    <s v=""/>
  </r>
  <r>
    <s v="Monday, January 27, 2020"/>
    <x v="4"/>
    <x v="350"/>
    <n v="71.550003000000004"/>
    <n v="71.903503000000001"/>
    <n v="71.059997999999993"/>
    <n v="71.694999999999993"/>
    <n v="35104000"/>
    <n v="0"/>
    <n v="-1.64"/>
    <x v="1"/>
    <n v="-2.2881693284050628E-2"/>
    <s v=""/>
  </r>
  <r>
    <s v="Tuesday, January 28, 2020"/>
    <x v="0"/>
    <x v="351"/>
    <n v="72.150002000000001"/>
    <n v="72.800003000000004"/>
    <n v="71.623497"/>
    <n v="72.627998000000005"/>
    <n v="31548000"/>
    <n v="0"/>
    <n v="0.93"/>
    <x v="2"/>
    <n v="1.2846257995436029E-2"/>
    <s v=""/>
  </r>
  <r>
    <s v="Wednesday, January 29, 2020"/>
    <x v="1"/>
    <x v="352"/>
    <n v="72.940002000000007"/>
    <n v="73.271500000000003"/>
    <n v="72.336997999999994"/>
    <n v="72.931503000000006"/>
    <n v="21554000"/>
    <n v="0"/>
    <n v="0.3"/>
    <x v="2"/>
    <n v="4.1615075449631311E-3"/>
    <s v=""/>
  </r>
  <r>
    <s v="Thursday, January 30, 2020"/>
    <x v="2"/>
    <x v="353"/>
    <n v="71.998001000000002"/>
    <n v="72.863997999999995"/>
    <n v="71.819999999999993"/>
    <n v="72.792000000000002"/>
    <n v="26788000"/>
    <n v="0"/>
    <n v="-0.14000000000000001"/>
    <x v="1"/>
    <n v="-1.9164606000660076E-3"/>
    <s v=""/>
  </r>
  <r>
    <s v="Friday, January 31, 2020"/>
    <x v="3"/>
    <x v="354"/>
    <n v="73.444999999999993"/>
    <n v="73.506500000000003"/>
    <n v="71.426497999999995"/>
    <n v="71.711501999999996"/>
    <n v="48344000"/>
    <n v="0"/>
    <n v="-1.08"/>
    <x v="1"/>
    <n v="-1.5067290042258574E-2"/>
    <s v=""/>
  </r>
  <r>
    <s v="Monday, February 3, 2020"/>
    <x v="4"/>
    <x v="355"/>
    <n v="73.099997999999999"/>
    <n v="74.5"/>
    <n v="72.949500999999998"/>
    <n v="74.296997000000005"/>
    <n v="60736000"/>
    <n v="0"/>
    <n v="2.59"/>
    <x v="2"/>
    <n v="3.4799454949706897E-2"/>
    <s v=""/>
  </r>
  <r>
    <s v="Tuesday, February 4, 2020"/>
    <x v="0"/>
    <x v="356"/>
    <n v="72.853499999999997"/>
    <n v="73.474997999999999"/>
    <n v="71.315002000000007"/>
    <n v="72.353499999999997"/>
    <n v="78660000"/>
    <n v="0"/>
    <n v="-1.94"/>
    <x v="1"/>
    <n v="-2.6861133186369807E-2"/>
    <s v=""/>
  </r>
  <r>
    <s v="Wednesday, February 5, 2020"/>
    <x v="1"/>
    <x v="357"/>
    <n v="73.121002000000004"/>
    <n v="73.192001000000005"/>
    <n v="71.528000000000006"/>
    <n v="72.411499000000006"/>
    <n v="39724000"/>
    <n v="0"/>
    <n v="0.06"/>
    <x v="2"/>
    <n v="8.0096394634793374E-4"/>
    <s v=""/>
  </r>
  <r>
    <s v="Thursday, February 6, 2020"/>
    <x v="2"/>
    <x v="358"/>
    <n v="72.516502000000003"/>
    <n v="74.099997999999999"/>
    <n v="72.478499999999997"/>
    <n v="73.811501000000007"/>
    <n v="33588000"/>
    <n v="0"/>
    <n v="1.4"/>
    <x v="2"/>
    <n v="1.896726094216673E-2"/>
    <s v=""/>
  </r>
  <r>
    <s v="Friday, February 7, 2020"/>
    <x v="3"/>
    <x v="359"/>
    <n v="73.364998"/>
    <n v="74.292000000000002"/>
    <n v="73.317497000000003"/>
    <n v="73.961501999999996"/>
    <n v="23446000"/>
    <n v="0"/>
    <n v="0.15"/>
    <x v="2"/>
    <n v="2.0280956435956231E-3"/>
    <s v=""/>
  </r>
  <r>
    <s v="Monday, February 10, 2020"/>
    <x v="4"/>
    <x v="360"/>
    <n v="73.716003000000001"/>
    <n v="75.474997999999999"/>
    <n v="73.716003000000001"/>
    <n v="75.433998000000003"/>
    <n v="28398000"/>
    <n v="0"/>
    <n v="1.47"/>
    <x v="2"/>
    <n v="1.9520322918586481E-2"/>
    <s v=""/>
  </r>
  <r>
    <s v="Tuesday, February 11, 2020"/>
    <x v="0"/>
    <x v="361"/>
    <n v="75.590500000000006"/>
    <n v="76.481498999999999"/>
    <n v="75.281897999999998"/>
    <n v="75.439498999999998"/>
    <n v="26892000"/>
    <n v="0"/>
    <n v="0.01"/>
    <x v="2"/>
    <n v="7.2919360188159718E-5"/>
    <s v=""/>
  </r>
  <r>
    <s v="Wednesday, February 12, 2020"/>
    <x v="1"/>
    <x v="362"/>
    <n v="75.723999000000006"/>
    <n v="76.034751999999997"/>
    <n v="75.405501999999998"/>
    <n v="75.913498000000004"/>
    <n v="23352000"/>
    <n v="0"/>
    <n v="0.47"/>
    <x v="2"/>
    <n v="6.2439356963896759E-3"/>
    <s v=""/>
  </r>
  <r>
    <s v="Thursday, February 13, 2020"/>
    <x v="2"/>
    <x v="363"/>
    <n v="75.634499000000005"/>
    <n v="76.359001000000006"/>
    <n v="75.230002999999996"/>
    <n v="75.733001999999999"/>
    <n v="18590000"/>
    <n v="0"/>
    <n v="-0.18"/>
    <x v="1"/>
    <n v="-2.3833202861812488E-3"/>
    <s v=""/>
  </r>
  <r>
    <s v="Friday, February 14, 2020"/>
    <x v="3"/>
    <x v="364"/>
    <n v="75.779999000000004"/>
    <n v="76.037002999999999"/>
    <n v="75.366996999999998"/>
    <n v="76.037002999999999"/>
    <n v="23956000"/>
    <n v="0"/>
    <n v="0.3"/>
    <x v="2"/>
    <n v="3.9980665729289662E-3"/>
    <s v=""/>
  </r>
  <r>
    <s v="Tuesday, February 18, 2020"/>
    <x v="0"/>
    <x v="365"/>
    <n v="75.75"/>
    <n v="76.581496999999999"/>
    <n v="75.629501000000005"/>
    <n v="75.983497999999997"/>
    <n v="22414000"/>
    <n v="0"/>
    <n v="-0.05"/>
    <x v="1"/>
    <n v="-7.0416605458202585E-4"/>
    <s v=""/>
  </r>
  <r>
    <s v="Wednesday, February 19, 2020"/>
    <x v="1"/>
    <x v="366"/>
    <n v="76.253501999999997"/>
    <n v="76.605300999999997"/>
    <n v="76.069999999999993"/>
    <n v="76.334502999999998"/>
    <n v="18986000"/>
    <n v="0"/>
    <n v="0.35"/>
    <x v="2"/>
    <n v="4.5982483176709842E-3"/>
    <s v=""/>
  </r>
  <r>
    <s v="Thursday, February 20, 2020"/>
    <x v="2"/>
    <x v="367"/>
    <n v="76.099997999999999"/>
    <n v="76.482001999999994"/>
    <n v="75.341003000000001"/>
    <n v="75.907500999999996"/>
    <n v="21932000"/>
    <n v="0"/>
    <n v="-0.43"/>
    <x v="1"/>
    <n v="-5.6252938691790377E-3"/>
    <s v=""/>
  </r>
  <r>
    <s v="Friday, February 21, 2020"/>
    <x v="3"/>
    <x v="368"/>
    <n v="75.401497000000006"/>
    <n v="75.610748000000001"/>
    <n v="74.022002999999998"/>
    <n v="74.255500999999995"/>
    <n v="34634000"/>
    <n v="0"/>
    <n v="-1.65"/>
    <x v="1"/>
    <n v="-2.2247509985825847E-2"/>
    <s v=""/>
  </r>
  <r>
    <s v="Monday, February 24, 2020"/>
    <x v="4"/>
    <x v="369"/>
    <n v="71.305496000000005"/>
    <n v="71.848502999999994"/>
    <n v="70.569503999999995"/>
    <n v="71.079498000000001"/>
    <n v="57342000"/>
    <n v="0"/>
    <n v="-3.18"/>
    <x v="1"/>
    <n v="-4.4682406170060376E-2"/>
    <s v=""/>
  </r>
  <r>
    <s v="Tuesday, February 25, 2020"/>
    <x v="0"/>
    <x v="370"/>
    <n v="71.650002000000001"/>
    <n v="71.906998000000002"/>
    <n v="69.120002999999997"/>
    <n v="69.422500999999997"/>
    <n v="49566000"/>
    <n v="0"/>
    <n v="-1.66"/>
    <x v="1"/>
    <n v="-2.3868298838729596E-2"/>
    <s v=""/>
  </r>
  <r>
    <s v="Wednesday, February 26, 2020"/>
    <x v="1"/>
    <x v="371"/>
    <n v="69.806999000000005"/>
    <n v="70.785004000000001"/>
    <n v="68.949996999999996"/>
    <n v="69.658996999999999"/>
    <n v="44048000"/>
    <n v="0"/>
    <n v="0.24"/>
    <x v="2"/>
    <n v="3.3950531903294916E-3"/>
    <s v=""/>
  </r>
  <r>
    <s v="Thursday, February 27, 2020"/>
    <x v="2"/>
    <x v="372"/>
    <n v="68.102997000000002"/>
    <n v="68.585196999999994"/>
    <n v="65.858497999999997"/>
    <n v="65.904503000000005"/>
    <n v="59566000"/>
    <n v="0"/>
    <n v="-3.75"/>
    <x v="1"/>
    <n v="-5.6968702123434474E-2"/>
    <s v=""/>
  </r>
  <r>
    <s v="Friday, February 28, 2020"/>
    <x v="3"/>
    <x v="373"/>
    <n v="63.875"/>
    <n v="67.056999000000005"/>
    <n v="63.549999"/>
    <n v="66.966498999999999"/>
    <n v="75782000"/>
    <n v="0"/>
    <n v="1.06"/>
    <x v="2"/>
    <n v="1.5858616111915802E-2"/>
    <s v=""/>
  </r>
  <r>
    <s v="Monday, March 2, 2020"/>
    <x v="4"/>
    <x v="374"/>
    <n v="67.580498000000006"/>
    <n v="69.543503000000001"/>
    <n v="66.340751999999995"/>
    <n v="69.455498000000006"/>
    <n v="48630000"/>
    <n v="0"/>
    <n v="2.4900000000000002"/>
    <x v="2"/>
    <n v="3.5835881559729173E-2"/>
    <s v=""/>
  </r>
  <r>
    <s v="Tuesday, March 3, 2020"/>
    <x v="0"/>
    <x v="375"/>
    <n v="69.971001000000001"/>
    <n v="70.507499999999993"/>
    <n v="66.599997999999999"/>
    <n v="67.069503999999995"/>
    <n v="48046000"/>
    <n v="0"/>
    <n v="-2.39"/>
    <x v="1"/>
    <n v="-3.5574946252771023E-2"/>
    <s v=""/>
  </r>
  <r>
    <s v="Wednesday, March 4, 2020"/>
    <x v="1"/>
    <x v="376"/>
    <n v="67.961501999999996"/>
    <n v="69.404503000000005"/>
    <n v="67.155501999999998"/>
    <n v="69.325996000000004"/>
    <n v="38266000"/>
    <n v="0"/>
    <n v="2.2599999999999998"/>
    <x v="2"/>
    <n v="3.2549002253065479E-2"/>
    <s v=""/>
  </r>
  <r>
    <s v="Thursday, March 5, 2020"/>
    <x v="2"/>
    <x v="377"/>
    <n v="67.510002"/>
    <n v="67.945503000000002"/>
    <n v="65.254997000000003"/>
    <n v="65.952003000000005"/>
    <n v="51226000"/>
    <n v="0"/>
    <n v="-3.37"/>
    <x v="1"/>
    <n v="-5.1158309778703739E-2"/>
    <s v=""/>
  </r>
  <r>
    <s v="Friday, March 6, 2020"/>
    <x v="3"/>
    <x v="378"/>
    <n v="63.853000999999999"/>
    <n v="65.310997"/>
    <n v="63.052501999999997"/>
    <n v="64.920501999999999"/>
    <n v="53212000"/>
    <n v="0"/>
    <n v="-1.03"/>
    <x v="1"/>
    <n v="-1.5888678741270451E-2"/>
    <s v=""/>
  </r>
  <r>
    <s v="Monday, March 9, 2020"/>
    <x v="4"/>
    <x v="379"/>
    <n v="60.264999000000003"/>
    <n v="62.737999000000002"/>
    <n v="60"/>
    <n v="60.777999999999999"/>
    <n v="67308000"/>
    <n v="0"/>
    <n v="-4.1399999999999997"/>
    <x v="1"/>
    <n v="-6.8157918983842838E-2"/>
    <s v=""/>
  </r>
  <r>
    <s v="Tuesday, March 10, 2020"/>
    <x v="0"/>
    <x v="380"/>
    <n v="63"/>
    <n v="64.057502999999997"/>
    <n v="60.938499"/>
    <n v="64.019501000000005"/>
    <n v="52228000"/>
    <n v="0"/>
    <n v="3.24"/>
    <x v="2"/>
    <n v="5.0633025084028789E-2"/>
    <n v="5.0633025084028789E-2"/>
  </r>
  <r>
    <s v="Wednesday, March 11, 2020"/>
    <x v="1"/>
    <x v="381"/>
    <n v="62.485000999999997"/>
    <n v="63.048000000000002"/>
    <n v="59.803500999999997"/>
    <n v="60.770499999999998"/>
    <n v="52170000"/>
    <n v="0"/>
    <n v="-3.25"/>
    <x v="1"/>
    <n v="-5.3463456775902897E-2"/>
    <s v=""/>
  </r>
  <r>
    <s v="Thursday, March 12, 2020"/>
    <x v="2"/>
    <x v="382"/>
    <n v="56.299999"/>
    <n v="59.693500999999998"/>
    <n v="55.665000999999997"/>
    <n v="55.745499000000002"/>
    <n v="84534000"/>
    <n v="0"/>
    <n v="-5.03"/>
    <x v="1"/>
    <n v="-9.0141824723822025E-2"/>
    <s v=""/>
  </r>
  <r>
    <s v="Friday, March 13, 2020"/>
    <x v="3"/>
    <x v="383"/>
    <n v="58.950001"/>
    <n v="60.987999000000002"/>
    <n v="55.857151000000002"/>
    <n v="60.986499999999999"/>
    <n v="74002000"/>
    <n v="0"/>
    <n v="5.24"/>
    <x v="2"/>
    <n v="8.5937068039648068E-2"/>
    <n v="8.5937068039648068E-2"/>
  </r>
  <r>
    <s v="Monday, March 16, 2020"/>
    <x v="4"/>
    <x v="384"/>
    <n v="54.799999"/>
    <n v="57.613349999999997"/>
    <n v="53.722000000000001"/>
    <n v="54.216498999999999"/>
    <n v="85048000"/>
    <n v="0"/>
    <n v="-6.77"/>
    <x v="1"/>
    <n v="-0.1248697559759438"/>
    <s v=""/>
  </r>
  <r>
    <s v="Tuesday, March 17, 2020"/>
    <x v="0"/>
    <x v="385"/>
    <n v="54.655498999999999"/>
    <n v="56.542999000000002"/>
    <n v="52.800499000000002"/>
    <n v="55.990001999999997"/>
    <n v="77230000"/>
    <n v="0"/>
    <n v="1.77"/>
    <x v="2"/>
    <n v="3.1675351610096353E-2"/>
    <s v=""/>
  </r>
  <r>
    <s v="Wednesday, March 18, 2020"/>
    <x v="1"/>
    <x v="386"/>
    <n v="52.825499999999998"/>
    <n v="55.325001"/>
    <n v="51.863998000000002"/>
    <n v="54.84"/>
    <n v="84668000"/>
    <n v="0"/>
    <n v="-1.1499999999999999"/>
    <x v="1"/>
    <n v="-2.0970131291028326E-2"/>
    <s v=""/>
  </r>
  <r>
    <s v="Thursday, March 19, 2020"/>
    <x v="2"/>
    <x v="387"/>
    <n v="54.652500000000003"/>
    <n v="57.898499000000001"/>
    <n v="53.005401999999997"/>
    <n v="55.764499999999998"/>
    <n v="73022000"/>
    <n v="0"/>
    <n v="0.92"/>
    <x v="2"/>
    <n v="1.6578647705977723E-2"/>
    <s v=""/>
  </r>
  <r>
    <s v="Friday, March 20, 2020"/>
    <x v="3"/>
    <x v="388"/>
    <n v="56.785998999999997"/>
    <n v="57.199500999999998"/>
    <n v="53.274501999999998"/>
    <n v="53.616000999999997"/>
    <n v="72036000"/>
    <n v="0"/>
    <n v="-2.15"/>
    <x v="1"/>
    <n v="-4.007197403625834E-2"/>
    <s v=""/>
  </r>
  <r>
    <s v="Monday, March 23, 2020"/>
    <x v="4"/>
    <x v="389"/>
    <n v="53.066001999999997"/>
    <n v="53.566001999999997"/>
    <n v="50.6768"/>
    <n v="52.831001000000001"/>
    <n v="80882000"/>
    <n v="0"/>
    <n v="-0.78"/>
    <x v="1"/>
    <n v="-1.4858700102994388E-2"/>
    <s v=""/>
  </r>
  <r>
    <s v="Tuesday, March 24, 2020"/>
    <x v="0"/>
    <x v="390"/>
    <n v="55.188499"/>
    <n v="56.75"/>
    <n v="54.530997999999997"/>
    <n v="56.722999999999999"/>
    <n v="66890000"/>
    <n v="0"/>
    <n v="3.89"/>
    <x v="2"/>
    <n v="6.8614124781834498E-2"/>
    <n v="6.8614124781834498E-2"/>
  </r>
  <r>
    <s v="Wednesday, March 25, 2020"/>
    <x v="1"/>
    <x v="391"/>
    <n v="56.323501999999998"/>
    <n v="57.445"/>
    <n v="54.300499000000002"/>
    <n v="55.124499999999998"/>
    <n v="81630000"/>
    <n v="0"/>
    <n v="-1.6"/>
    <x v="1"/>
    <n v="-2.8997995446670744E-2"/>
    <s v=""/>
  </r>
  <r>
    <s v="Thursday, March 26, 2020"/>
    <x v="2"/>
    <x v="392"/>
    <n v="55.59"/>
    <n v="58.498500999999997"/>
    <n v="54.676498000000002"/>
    <n v="58.087502000000001"/>
    <n v="71434000"/>
    <n v="0"/>
    <n v="2.96"/>
    <x v="2"/>
    <n v="5.1009285956211424E-2"/>
    <n v="5.1009285956211424E-2"/>
  </r>
  <r>
    <s v="Friday, March 27, 2020"/>
    <x v="3"/>
    <x v="393"/>
    <n v="56.283501000000001"/>
    <n v="57.533501000000001"/>
    <n v="55.295501999999999"/>
    <n v="55.535499999999999"/>
    <n v="64170000"/>
    <n v="0"/>
    <n v="-2.5499999999999998"/>
    <x v="1"/>
    <n v="-4.5952624897588057E-2"/>
    <s v=""/>
  </r>
  <r>
    <s v="Monday, March 30, 2020"/>
    <x v="4"/>
    <x v="394"/>
    <n v="56.251998999999998"/>
    <n v="57.581501000000003"/>
    <n v="54.824001000000003"/>
    <n v="57.341000000000001"/>
    <n v="51482000"/>
    <n v="0"/>
    <n v="1.81"/>
    <x v="2"/>
    <n v="3.1487068589665372E-2"/>
    <s v=""/>
  </r>
  <r>
    <s v="Tuesday, March 31, 2020"/>
    <x v="0"/>
    <x v="395"/>
    <n v="57.365001999999997"/>
    <n v="58.765498999999998"/>
    <n v="56.907001000000001"/>
    <n v="58.140498999999998"/>
    <n v="49728000"/>
    <n v="0"/>
    <n v="0.8"/>
    <x v="2"/>
    <n v="1.3751154767350678E-2"/>
    <s v=""/>
  </r>
  <r>
    <s v="Wednesday, April 1, 2020"/>
    <x v="1"/>
    <x v="396"/>
    <n v="56.099997999999999"/>
    <n v="56.484501000000002"/>
    <n v="54.872501"/>
    <n v="55.280997999999997"/>
    <n v="46884000"/>
    <n v="0"/>
    <n v="-2.86"/>
    <x v="1"/>
    <n v="-5.172665298119259E-2"/>
    <s v=""/>
  </r>
  <r>
    <s v="Thursday, April 2, 2020"/>
    <x v="2"/>
    <x v="397"/>
    <n v="54.912998000000002"/>
    <n v="56.342998999999999"/>
    <n v="54.82"/>
    <n v="56.042000000000002"/>
    <n v="39298000"/>
    <n v="0"/>
    <n v="0.76"/>
    <x v="2"/>
    <n v="1.3579137075764691E-2"/>
    <s v=""/>
  </r>
  <r>
    <s v="Friday, April 3, 2020"/>
    <x v="3"/>
    <x v="398"/>
    <n v="55.950747999999997"/>
    <n v="56.176997999999998"/>
    <n v="53.990501000000002"/>
    <n v="54.894001000000003"/>
    <n v="46268000"/>
    <n v="0"/>
    <n v="-1.1499999999999999"/>
    <x v="1"/>
    <n v="-2.0913013791798461E-2"/>
    <s v=""/>
  </r>
  <r>
    <s v="Monday, April 6, 2020"/>
    <x v="4"/>
    <x v="399"/>
    <n v="56.900002000000001"/>
    <n v="59.733001999999999"/>
    <n v="56.547001000000002"/>
    <n v="59.346001000000001"/>
    <n v="53294000"/>
    <n v="0"/>
    <n v="4.45"/>
    <x v="2"/>
    <n v="7.5017691588014468E-2"/>
    <n v="7.5017691588014468E-2"/>
  </r>
  <r>
    <s v="Tuesday, April 7, 2020"/>
    <x v="0"/>
    <x v="400"/>
    <n v="61.049999"/>
    <n v="61.25"/>
    <n v="59.111499999999999"/>
    <n v="59.325499999999998"/>
    <n v="47746000"/>
    <n v="0"/>
    <n v="-0.02"/>
    <x v="1"/>
    <n v="-3.4556809466423357E-4"/>
    <s v=""/>
  </r>
  <r>
    <s v="Wednesday, April 8, 2020"/>
    <x v="1"/>
    <x v="401"/>
    <n v="60.325001"/>
    <n v="60.953499000000001"/>
    <n v="59.408000999999999"/>
    <n v="60.514000000000003"/>
    <n v="39502000"/>
    <n v="0"/>
    <n v="1.19"/>
    <x v="2"/>
    <n v="1.9640083286512289E-2"/>
    <s v=""/>
  </r>
  <r>
    <s v="Thursday, April 9, 2020"/>
    <x v="2"/>
    <x v="402"/>
    <n v="61.203999000000003"/>
    <n v="61.278500000000001"/>
    <n v="59.836750000000002"/>
    <n v="60.572498000000003"/>
    <n v="43508000"/>
    <n v="0"/>
    <n v="0.06"/>
    <x v="2"/>
    <n v="9.6575181693844218E-4"/>
    <s v=""/>
  </r>
  <r>
    <s v="Monday, April 13, 2020"/>
    <x v="4"/>
    <x v="403"/>
    <n v="60.459000000000003"/>
    <n v="61.025500999999998"/>
    <s v="ABC"/>
    <n v="60.877997999999998"/>
    <n v="34796000"/>
    <n v="0"/>
    <n v="0.31"/>
    <x v="2"/>
    <n v="5.0182333525487319E-3"/>
    <s v=""/>
  </r>
  <r>
    <s v="Tuesday, April 14, 2020"/>
    <x v="0"/>
    <x v="404"/>
    <n v="62.254500999999998"/>
    <n v="64.103499999999997"/>
    <n v="61.846499999999999"/>
    <n v="63.461497999999999"/>
    <n v="49408000"/>
    <n v="0"/>
    <n v="2.58"/>
    <x v="2"/>
    <n v="4.0709722925229418E-2"/>
    <s v=""/>
  </r>
  <r>
    <s v="Wednesday, April 15, 2020"/>
    <x v="1"/>
    <x v="405"/>
    <n v="62.280498999999999"/>
    <n v="64.023003000000003"/>
    <n v="62.02"/>
    <n v="63.123500999999997"/>
    <n v="33434000"/>
    <n v="0"/>
    <n v="-0.34"/>
    <x v="1"/>
    <n v="-5.354535072444753E-3"/>
    <s v=""/>
  </r>
  <r>
    <s v="Thursday, April 16, 2020"/>
    <x v="2"/>
    <x v="406"/>
    <n v="63.705002"/>
    <n v="63.950001"/>
    <n v="62.131000999999998"/>
    <n v="63.173499999999997"/>
    <n v="50362000"/>
    <n v="0"/>
    <n v="0.05"/>
    <x v="2"/>
    <n v="7.9145527792507438E-4"/>
    <s v=""/>
  </r>
  <r>
    <s v="Friday, April 17, 2020"/>
    <x v="3"/>
    <x v="407"/>
    <n v="64.242500000000007"/>
    <n v="64.721496999999999"/>
    <n v="63.561501"/>
    <n v="64.162497999999999"/>
    <n v="38980000"/>
    <n v="0"/>
    <n v="0.99"/>
    <x v="2"/>
    <n v="1.5413957230904605E-2"/>
    <s v=""/>
  </r>
  <r>
    <s v="Monday, April 20, 2020"/>
    <x v="4"/>
    <x v="408"/>
    <n v="63.549999"/>
    <n v="64.080001999999993"/>
    <n v="63.068500999999998"/>
    <n v="63.330502000000003"/>
    <n v="33910000"/>
    <n v="0"/>
    <n v="-0.83"/>
    <x v="1"/>
    <n v="-1.3137366256784078E-2"/>
    <s v=""/>
  </r>
  <r>
    <s v="Tuesday, April 21, 2020"/>
    <x v="0"/>
    <x v="409"/>
    <n v="62.349997999999999"/>
    <n v="62.713501000000001"/>
    <n v="60.485500000000002"/>
    <n v="60.817000999999998"/>
    <n v="43060000"/>
    <n v="0"/>
    <n v="-2.5099999999999998"/>
    <x v="1"/>
    <n v="-4.1328920510237017E-2"/>
    <s v=""/>
  </r>
  <r>
    <s v="Wednesday, April 22, 2020"/>
    <x v="1"/>
    <x v="410"/>
    <n v="62.277000000000001"/>
    <n v="64.280647000000002"/>
    <n v="62.099997999999999"/>
    <n v="63.160499999999999"/>
    <n v="41848000"/>
    <n v="0"/>
    <n v="2.34"/>
    <x v="2"/>
    <n v="3.7103870298683533E-2"/>
    <s v=""/>
  </r>
  <r>
    <s v="Thursday, April 23, 2020"/>
    <x v="2"/>
    <x v="411"/>
    <n v="63.577499000000003"/>
    <n v="64.665497000000002"/>
    <n v="63.283501000000001"/>
    <n v="63.815497999999998"/>
    <n v="31324000"/>
    <n v="0"/>
    <n v="0.65"/>
    <x v="2"/>
    <n v="1.0263933065287669E-2"/>
    <s v=""/>
  </r>
  <r>
    <s v="Friday, April 24, 2020"/>
    <x v="3"/>
    <x v="412"/>
    <n v="63.058498"/>
    <n v="64.019997000000004"/>
    <n v="62.472499999999997"/>
    <n v="63.965499999999999"/>
    <n v="32792000"/>
    <n v="0"/>
    <n v="0.15"/>
    <x v="2"/>
    <n v="2.3450453760230222E-3"/>
    <s v=""/>
  </r>
  <r>
    <s v="Monday, April 27, 2020"/>
    <x v="4"/>
    <x v="413"/>
    <n v="64.800003000000004"/>
    <n v="64.807502999999997"/>
    <n v="63.450001"/>
    <n v="63.793998999999999"/>
    <n v="32012000"/>
    <n v="0"/>
    <n v="-0.17"/>
    <x v="1"/>
    <n v="-2.6883563138908918E-3"/>
    <s v=""/>
  </r>
  <r>
    <s v="Tuesday, April 28, 2020"/>
    <x v="0"/>
    <x v="414"/>
    <n v="64.396500000000003"/>
    <n v="64.402495999999999"/>
    <n v="61.610000999999997"/>
    <n v="61.683498"/>
    <n v="59026000"/>
    <n v="0"/>
    <n v="-2.11"/>
    <x v="1"/>
    <n v="-3.4215001879432959E-2"/>
    <s v=""/>
  </r>
  <r>
    <s v="Wednesday, April 29, 2020"/>
    <x v="1"/>
    <x v="415"/>
    <n v="67.072997999999998"/>
    <n v="67.999495999999994"/>
    <n v="66.266998000000001"/>
    <n v="67.073997000000006"/>
    <n v="75872000"/>
    <n v="0"/>
    <n v="5.39"/>
    <x v="2"/>
    <n v="8.0366449609377014E-2"/>
    <n v="8.0366449609377014E-2"/>
  </r>
  <r>
    <s v="Thursday, April 30, 2020"/>
    <x v="2"/>
    <x v="416"/>
    <n v="66.244003000000006"/>
    <n v="67.640998999999994"/>
    <n v="66.124495999999994"/>
    <n v="67.432998999999995"/>
    <n v="53378000"/>
    <n v="0"/>
    <n v="0.36"/>
    <x v="2"/>
    <n v="5.3238326238462218E-3"/>
    <s v=""/>
  </r>
  <r>
    <s v="Friday, May 1, 2020"/>
    <x v="3"/>
    <x v="417"/>
    <n v="66.425003000000004"/>
    <n v="67.603499999999997"/>
    <n v="65.550003000000004"/>
    <n v="66.030501999999998"/>
    <n v="41450000"/>
    <n v="0"/>
    <n v="-1.4"/>
    <x v="1"/>
    <n v="-2.1240138383318619E-2"/>
    <s v=""/>
  </r>
  <r>
    <s v="Monday, May 4, 2020"/>
    <x v="4"/>
    <x v="418"/>
    <n v="65.411499000000006"/>
    <n v="66.383003000000002"/>
    <n v="64.949996999999996"/>
    <n v="66.339995999999999"/>
    <n v="30080000"/>
    <n v="0"/>
    <n v="0.31"/>
    <x v="2"/>
    <n v="4.6652701034229915E-3"/>
    <s v=""/>
  </r>
  <r>
    <s v="Tuesday, May 5, 2020"/>
    <x v="0"/>
    <x v="419"/>
    <n v="66.896004000000005"/>
    <n v="68.696999000000005"/>
    <n v="66.873001000000002"/>
    <n v="67.555496000000005"/>
    <n v="33030000"/>
    <n v="0"/>
    <n v="1.22"/>
    <x v="2"/>
    <n v="1.7992614546120802E-2"/>
    <s v=""/>
  </r>
  <r>
    <s v="Wednesday, May 6, 2020"/>
    <x v="1"/>
    <x v="420"/>
    <n v="68.084502999999998"/>
    <n v="68.555999999999997"/>
    <n v="67.364502000000002"/>
    <n v="67.364998"/>
    <n v="24308000"/>
    <n v="0"/>
    <n v="-0.19"/>
    <x v="1"/>
    <n v="-2.8278483731270232E-3"/>
    <s v=""/>
  </r>
  <r>
    <s v="Thursday, May 7, 2020"/>
    <x v="2"/>
    <x v="421"/>
    <n v="68.296997000000005"/>
    <n v="68.879997000000003"/>
    <n v="67.763496000000004"/>
    <n v="68.627998000000005"/>
    <n v="27952000"/>
    <n v="0"/>
    <n v="1.26"/>
    <x v="2"/>
    <n v="1.8403567593506153E-2"/>
    <s v=""/>
  </r>
  <r>
    <s v="Friday, May 8, 2020"/>
    <x v="3"/>
    <x v="422"/>
    <n v="69.156502000000003"/>
    <n v="69.938004000000006"/>
    <n v="68.774001999999996"/>
    <n v="69.418503000000001"/>
    <n v="27738000"/>
    <n v="0"/>
    <n v="0.79"/>
    <x v="2"/>
    <n v="1.138752588773048E-2"/>
    <s v=""/>
  </r>
  <r>
    <s v="Monday, May 11, 2020"/>
    <x v="4"/>
    <x v="423"/>
    <n v="68.914000999999999"/>
    <n v="70.826499999999996"/>
    <n v="68.857596999999998"/>
    <n v="70.163002000000006"/>
    <n v="28242000"/>
    <n v="0"/>
    <n v="0.74"/>
    <x v="2"/>
    <n v="1.061099124578513E-2"/>
    <s v=""/>
  </r>
  <r>
    <s v="Tuesday, May 12, 2020"/>
    <x v="0"/>
    <x v="424"/>
    <n v="70.356003000000001"/>
    <n v="70.75"/>
    <n v="68.738502999999994"/>
    <n v="68.787002999999999"/>
    <n v="27812000"/>
    <n v="0"/>
    <n v="-1.38"/>
    <x v="1"/>
    <n v="-2.0003764373918244E-2"/>
    <s v=""/>
  </r>
  <r>
    <s v="Wednesday, May 13, 2020"/>
    <x v="1"/>
    <x v="425"/>
    <n v="68.852501000000004"/>
    <n v="69.274101000000002"/>
    <n v="66.419998000000007"/>
    <n v="67.466498999999999"/>
    <n v="36252000"/>
    <n v="0"/>
    <n v="-1.32"/>
    <x v="1"/>
    <n v="-1.9572736388766811E-2"/>
    <s v=""/>
  </r>
  <r>
    <s v="Thursday, May 14, 2020"/>
    <x v="2"/>
    <x v="426"/>
    <n v="66.750998999999993"/>
    <n v="67.871002000000004"/>
    <n v="66.195503000000002"/>
    <n v="67.806503000000006"/>
    <n v="32062000"/>
    <n v="0"/>
    <n v="0.34"/>
    <x v="2"/>
    <n v="5.0143273131193255E-3"/>
    <s v=""/>
  </r>
  <r>
    <s v="Friday, May 15, 2020"/>
    <x v="3"/>
    <x v="427"/>
    <n v="67.5"/>
    <n v="68.723999000000006"/>
    <n v="66.949996999999996"/>
    <n v="68.659499999999994"/>
    <n v="34154000"/>
    <n v="0"/>
    <n v="0.85"/>
    <x v="2"/>
    <n v="1.2423583043861198E-2"/>
    <s v=""/>
  </r>
  <r>
    <s v="Monday, May 18, 2020"/>
    <x v="4"/>
    <x v="428"/>
    <n v="68.087502000000001"/>
    <n v="69.616248999999996"/>
    <n v="67.712502000000001"/>
    <n v="69.196999000000005"/>
    <n v="36448000"/>
    <n v="0"/>
    <n v="0.54"/>
    <x v="2"/>
    <n v="7.7676634502604801E-3"/>
    <s v=""/>
  </r>
  <r>
    <s v="Tuesday, May 19, 2020"/>
    <x v="0"/>
    <x v="429"/>
    <n v="69.349853999999993"/>
    <n v="69.599997999999999"/>
    <n v="68.674248000000006"/>
    <n v="68.674248000000006"/>
    <n v="25612000"/>
    <n v="0"/>
    <n v="-0.52"/>
    <x v="1"/>
    <n v="-7.61203821263539E-3"/>
    <s v=""/>
  </r>
  <r>
    <s v="Wednesday, May 20, 2020"/>
    <x v="1"/>
    <x v="430"/>
    <n v="69.478995999999995"/>
    <n v="70.521004000000005"/>
    <n v="69.362503000000004"/>
    <n v="70.335999000000001"/>
    <n v="33108000"/>
    <n v="0"/>
    <n v="1.66"/>
    <x v="2"/>
    <n v="2.3625896036537353E-2"/>
    <s v=""/>
  </r>
  <r>
    <s v="Thursday, May 21, 2020"/>
    <x v="2"/>
    <x v="431"/>
    <n v="70.400002000000001"/>
    <n v="70.774497999999994"/>
    <n v="69.672500999999997"/>
    <n v="70.139999000000003"/>
    <n v="27700000"/>
    <n v="0"/>
    <n v="-0.2"/>
    <x v="1"/>
    <n v="-2.7944112174851606E-3"/>
    <s v=""/>
  </r>
  <r>
    <s v="Friday, May 22, 2020"/>
    <x v="3"/>
    <x v="432"/>
    <n v="69.835503000000003"/>
    <n v="70.638000000000005"/>
    <n v="69.591498999999999"/>
    <n v="70.521004000000005"/>
    <n v="26188000"/>
    <n v="0"/>
    <n v="0.38"/>
    <x v="2"/>
    <n v="5.402716614754971E-3"/>
    <s v=""/>
  </r>
  <r>
    <s v="Tuesday, May 26, 2020"/>
    <x v="0"/>
    <x v="433"/>
    <n v="71.863502999999994"/>
    <n v="72.050003000000004"/>
    <n v="70.606498999999999"/>
    <n v="70.850998000000004"/>
    <n v="41212000"/>
    <n v="0"/>
    <n v="0.33"/>
    <x v="2"/>
    <n v="4.6575773004637029E-3"/>
    <s v=""/>
  </r>
  <r>
    <s v="Wednesday, May 27, 2020"/>
    <x v="1"/>
    <x v="434"/>
    <n v="70.862503000000004"/>
    <n v="71.086997999999994"/>
    <n v="69.564498999999998"/>
    <n v="70.891998000000001"/>
    <n v="33716000"/>
    <n v="0"/>
    <n v="0.04"/>
    <x v="2"/>
    <n v="5.7834454038094426E-4"/>
    <s v=""/>
  </r>
  <r>
    <s v="Thursday, May 28, 2020"/>
    <x v="2"/>
    <x v="435"/>
    <n v="69.843001999999998"/>
    <n v="72.042000000000002"/>
    <n v="69.800003000000004"/>
    <n v="70.836501999999996"/>
    <n v="33844000"/>
    <n v="0"/>
    <n v="-0.06"/>
    <x v="1"/>
    <n v="-7.8343789477358866E-4"/>
    <s v=""/>
  </r>
  <r>
    <s v="Friday, May 29, 2020"/>
    <x v="3"/>
    <x v="436"/>
    <n v="70.846999999999994"/>
    <n v="71.628501999999997"/>
    <n v="70.667502999999996"/>
    <n v="71.445999"/>
    <n v="36418000"/>
    <n v="0"/>
    <n v="0.61"/>
    <x v="2"/>
    <n v="8.5308765855454643E-3"/>
    <s v=""/>
  </r>
  <r>
    <s v="Monday, June 1, 2020"/>
    <x v="4"/>
    <x v="437"/>
    <n v="70.919501999999994"/>
    <n v="71.898003000000003"/>
    <n v="70.900002000000001"/>
    <n v="71.591003000000001"/>
    <n v="24342000"/>
    <n v="0"/>
    <n v="0.15"/>
    <x v="2"/>
    <n v="2.0254500415366459E-3"/>
    <s v=""/>
  </r>
  <r>
    <s v="Tuesday, June 2, 2020"/>
    <x v="0"/>
    <x v="438"/>
    <n v="71.527495999999999"/>
    <n v="71.980498999999995"/>
    <n v="70.941497999999996"/>
    <n v="71.960999000000001"/>
    <n v="25562000"/>
    <n v="0"/>
    <n v="0.37"/>
    <x v="2"/>
    <n v="5.1416184480707451E-3"/>
    <s v=""/>
  </r>
  <r>
    <s v="Wednesday, June 3, 2020"/>
    <x v="1"/>
    <x v="439"/>
    <n v="71.915001000000004"/>
    <n v="72.327599000000006"/>
    <n v="71.488853000000006"/>
    <n v="71.819000000000003"/>
    <n v="25124000"/>
    <n v="0"/>
    <n v="-0.14000000000000001"/>
    <x v="1"/>
    <n v="-1.9771787410016628E-3"/>
    <s v=""/>
  </r>
  <r>
    <s v="Thursday, June 4, 2020"/>
    <x v="2"/>
    <x v="440"/>
    <n v="71.519997000000004"/>
    <n v="71.947997999999998"/>
    <n v="70.236503999999996"/>
    <n v="70.609001000000006"/>
    <n v="29686000"/>
    <n v="0"/>
    <n v="-1.21"/>
    <x v="1"/>
    <n v="-1.713661123742561E-2"/>
    <s v=""/>
  </r>
  <r>
    <s v="Friday, June 5, 2020"/>
    <x v="3"/>
    <x v="441"/>
    <n v="70.658501000000001"/>
    <n v="72.252502000000007"/>
    <n v="70.300003000000004"/>
    <n v="71.919501999999994"/>
    <n v="34698000"/>
    <n v="0"/>
    <n v="1.31"/>
    <x v="2"/>
    <n v="1.8221775228643659E-2"/>
    <s v=""/>
  </r>
  <r>
    <s v="Monday, June 8, 2020"/>
    <x v="4"/>
    <x v="442"/>
    <n v="71.116996999999998"/>
    <n v="72.399497999999994"/>
    <n v="71.116996999999998"/>
    <n v="72.330498000000006"/>
    <n v="28084000"/>
    <n v="0"/>
    <n v="0.41"/>
    <x v="2"/>
    <n v="5.6821950818036872E-3"/>
    <s v=""/>
  </r>
  <r>
    <s v="Tuesday, June 9, 2020"/>
    <x v="0"/>
    <x v="443"/>
    <n v="72.267998000000006"/>
    <n v="73.400002000000001"/>
    <n v="72.160499999999999"/>
    <n v="72.807998999999995"/>
    <n v="28184000"/>
    <n v="0"/>
    <n v="0.48"/>
    <x v="2"/>
    <n v="6.5583590616188963E-3"/>
    <s v=""/>
  </r>
  <r>
    <s v="Wednesday, June 10, 2020"/>
    <x v="1"/>
    <x v="444"/>
    <n v="72.976996999999997"/>
    <n v="73.712952000000001"/>
    <n v="72.813498999999993"/>
    <n v="73.292502999999996"/>
    <n v="30504000"/>
    <n v="0"/>
    <n v="0.48"/>
    <x v="2"/>
    <n v="6.6105533331287806E-3"/>
    <s v=""/>
  </r>
  <r>
    <s v="Thursday, June 11, 2020"/>
    <x v="2"/>
    <x v="445"/>
    <n v="72.124001000000007"/>
    <n v="72.723747000000003"/>
    <n v="70.099997999999999"/>
    <n v="70.192001000000005"/>
    <n v="39826000"/>
    <n v="0"/>
    <n v="-3.1"/>
    <x v="1"/>
    <n v="-4.4171728342663884E-2"/>
    <s v=""/>
  </r>
  <r>
    <s v="Friday, June 12, 2020"/>
    <x v="3"/>
    <x v="446"/>
    <n v="71.424499999999995"/>
    <n v="71.849997999999999"/>
    <n v="69.301002999999994"/>
    <n v="70.658996999999999"/>
    <n v="38928000"/>
    <n v="0"/>
    <n v="0.47"/>
    <x v="2"/>
    <n v="6.609151273403932E-3"/>
    <s v=""/>
  </r>
  <r>
    <s v="Monday, June 15, 2020"/>
    <x v="4"/>
    <x v="447"/>
    <n v="69.540001000000004"/>
    <n v="71.239998"/>
    <n v="69.396004000000005"/>
    <n v="70.992500000000007"/>
    <n v="30078000"/>
    <n v="0"/>
    <n v="0.33"/>
    <x v="2"/>
    <n v="4.6977215903089399E-3"/>
    <s v=""/>
  </r>
  <r>
    <s v="Tuesday, June 16, 2020"/>
    <x v="0"/>
    <x v="448"/>
    <n v="72.261002000000005"/>
    <n v="72.750998999999993"/>
    <n v="71.294998000000007"/>
    <n v="72.136002000000005"/>
    <n v="34184000"/>
    <n v="0"/>
    <n v="1.1399999999999999"/>
    <x v="2"/>
    <n v="1.5852029060329651E-2"/>
    <s v=""/>
  </r>
  <r>
    <s v="Wednesday, June 17, 2020"/>
    <x v="1"/>
    <x v="449"/>
    <n v="72.358001999999999"/>
    <n v="73"/>
    <n v="71.569000000000003"/>
    <n v="72.555999999999997"/>
    <n v="30992000"/>
    <n v="0"/>
    <n v="0.42"/>
    <x v="2"/>
    <n v="5.7886046639835792E-3"/>
    <s v=""/>
  </r>
  <r>
    <s v="Thursday, June 18, 2020"/>
    <x v="2"/>
    <x v="450"/>
    <n v="72.457999999999998"/>
    <n v="72.570503000000002"/>
    <n v="71.350502000000006"/>
    <n v="71.797996999999995"/>
    <n v="31638000"/>
    <n v="0"/>
    <n v="-0.76"/>
    <x v="1"/>
    <n v="-1.0557439367006328E-2"/>
    <s v=""/>
  </r>
  <r>
    <s v="Friday, June 19, 2020"/>
    <x v="3"/>
    <x v="451"/>
    <n v="72.199996999999996"/>
    <n v="72.389999000000003"/>
    <n v="71.067497000000003"/>
    <n v="71.585999000000001"/>
    <n v="63158000"/>
    <n v="0"/>
    <n v="-0.21"/>
    <x v="1"/>
    <n v="-2.9614450166434657E-3"/>
    <s v=""/>
  </r>
  <r>
    <s v="Monday, June 22, 2020"/>
    <x v="4"/>
    <x v="452"/>
    <n v="71.449996999999996"/>
    <n v="72.637496999999996"/>
    <n v="71.160499999999999"/>
    <n v="72.593001999999998"/>
    <n v="30848000"/>
    <n v="0"/>
    <n v="1.01"/>
    <x v="2"/>
    <n v="1.387190186734525E-2"/>
    <s v=""/>
  </r>
  <r>
    <s v="Tuesday, June 23, 2020"/>
    <x v="0"/>
    <x v="453"/>
    <n v="72.781998000000002"/>
    <n v="73.797049999999999"/>
    <n v="72.262000999999998"/>
    <n v="73.220496999999995"/>
    <n v="28596000"/>
    <n v="0"/>
    <n v="0.63"/>
    <x v="2"/>
    <n v="8.5699363663155163E-3"/>
    <s v=""/>
  </r>
  <r>
    <s v="Wednesday, June 24, 2020"/>
    <x v="1"/>
    <x v="454"/>
    <n v="73.075500000000005"/>
    <n v="73.771004000000005"/>
    <n v="71.487503000000004"/>
    <n v="71.598502999999994"/>
    <n v="35120000"/>
    <n v="0"/>
    <n v="-1.62"/>
    <x v="1"/>
    <n v="-2.2654021132257486E-2"/>
    <s v=""/>
  </r>
  <r>
    <s v="Thursday, June 25, 2020"/>
    <x v="2"/>
    <x v="455"/>
    <n v="71.495002999999997"/>
    <n v="72.144997000000004"/>
    <n v="71"/>
    <n v="72.066497999999996"/>
    <n v="24610000"/>
    <n v="0"/>
    <n v="0.47"/>
    <x v="2"/>
    <n v="6.4939328673914746E-3"/>
    <s v=""/>
  </r>
  <r>
    <s v="Friday, June 26, 2020"/>
    <x v="3"/>
    <x v="456"/>
    <n v="71.569503999999995"/>
    <n v="71.672500999999997"/>
    <n v="67.599502999999999"/>
    <n v="67.995002999999997"/>
    <n v="85354000"/>
    <n v="0"/>
    <n v="-4.07"/>
    <x v="1"/>
    <n v="-5.9879326720523846E-2"/>
    <s v=""/>
  </r>
  <r>
    <s v="Monday, June 29, 2020"/>
    <x v="4"/>
    <x v="457"/>
    <n v="67.908996999999999"/>
    <n v="69.779999000000004"/>
    <n v="67.350502000000006"/>
    <n v="69.748497"/>
    <n v="36204000"/>
    <n v="0"/>
    <n v="1.75"/>
    <x v="2"/>
    <n v="2.5140240656368603E-2"/>
    <s v=""/>
  </r>
  <r>
    <s v="Tuesday, June 30, 2020"/>
    <x v="0"/>
    <x v="458"/>
    <n v="69.522002999999998"/>
    <n v="70.932502999999997"/>
    <n v="69.197997999999998"/>
    <n v="70.680496000000005"/>
    <n v="40848000"/>
    <n v="0"/>
    <n v="0.93"/>
    <x v="2"/>
    <n v="1.3186084602462391E-2"/>
    <s v=""/>
  </r>
  <r>
    <s v="Wednesday, July 1, 2020"/>
    <x v="1"/>
    <x v="459"/>
    <n v="70.555000000000007"/>
    <n v="72.150002000000001"/>
    <n v="70.490996999999993"/>
    <n v="71.902000000000001"/>
    <n v="35504000"/>
    <n v="0"/>
    <n v="1.22"/>
    <x v="2"/>
    <n v="1.6988456510250004E-2"/>
    <s v=""/>
  </r>
  <r>
    <s v="Thursday, July 2, 2020"/>
    <x v="2"/>
    <x v="460"/>
    <n v="72.346999999999994"/>
    <n v="74.147498999999996"/>
    <n v="72.320999"/>
    <n v="73.235000999999997"/>
    <n v="37182000"/>
    <n v="0"/>
    <n v="1.33"/>
    <x v="2"/>
    <n v="1.8201692930952456E-2"/>
    <s v=""/>
  </r>
  <r>
    <s v="Monday, July 6, 2020"/>
    <x v="4"/>
    <x v="461"/>
    <n v="74.002998000000005"/>
    <n v="75.329498000000001"/>
    <n v="73.642998000000006"/>
    <n v="74.785004000000001"/>
    <n v="31280000"/>
    <n v="0"/>
    <n v="1.55"/>
    <x v="2"/>
    <n v="2.0726120439867914E-2"/>
    <s v=""/>
  </r>
  <r>
    <s v="Tuesday, July 7, 2020"/>
    <x v="0"/>
    <x v="462"/>
    <n v="74.5"/>
    <n v="75.839995999999999"/>
    <n v="74.177498"/>
    <n v="74.259003000000007"/>
    <n v="29164000"/>
    <n v="0"/>
    <n v="-0.53"/>
    <x v="1"/>
    <n v="-7.0833296805775008E-3"/>
    <s v=""/>
  </r>
  <r>
    <s v="Wednesday, July 8, 2020"/>
    <x v="1"/>
    <x v="463"/>
    <n v="74.716003000000001"/>
    <n v="75.293998999999999"/>
    <n v="74.281502000000003"/>
    <n v="74.800003000000004"/>
    <n v="24994000"/>
    <n v="0"/>
    <n v="0.54"/>
    <x v="2"/>
    <n v="7.2326200307772284E-3"/>
    <s v=""/>
  </r>
  <r>
    <s v="Thursday, July 9, 2020"/>
    <x v="2"/>
    <x v="464"/>
    <n v="75.322502"/>
    <n v="76.136002000000005"/>
    <n v="74.404251000000002"/>
    <n v="75.549499999999995"/>
    <n v="28466000"/>
    <n v="0"/>
    <n v="0.75"/>
    <x v="2"/>
    <n v="9.9206083428744207E-3"/>
    <s v=""/>
  </r>
  <r>
    <s v="Friday, July 10, 2020"/>
    <x v="3"/>
    <x v="465"/>
    <n v="75.307502999999997"/>
    <n v="77.191497999999996"/>
    <n v="74.827003000000005"/>
    <n v="77.086997999999994"/>
    <n v="37126000"/>
    <n v="0"/>
    <n v="1.54"/>
    <x v="2"/>
    <n v="1.9944971783698199E-2"/>
    <s v=""/>
  </r>
  <r>
    <s v="Monday, July 13, 2020"/>
    <x v="4"/>
    <x v="466"/>
    <n v="77.5"/>
    <n v="78.856598000000005"/>
    <n v="75.262153999999995"/>
    <n v="75.567001000000005"/>
    <n v="36928000"/>
    <n v="0"/>
    <n v="-1.52"/>
    <x v="1"/>
    <n v="-2.011456032243478E-2"/>
    <s v=""/>
  </r>
  <r>
    <s v="Tuesday, July 14, 2020"/>
    <x v="0"/>
    <x v="467"/>
    <n v="74.515502999999995"/>
    <n v="76.147498999999996"/>
    <n v="74.175003000000004"/>
    <n v="76.028998999999999"/>
    <n v="31700000"/>
    <n v="0"/>
    <n v="0.46"/>
    <x v="2"/>
    <n v="6.0766024290283523E-3"/>
    <s v=""/>
  </r>
  <r>
    <s v="Wednesday, July 15, 2020"/>
    <x v="1"/>
    <x v="468"/>
    <n v="76.156502000000003"/>
    <n v="76.766502000000003"/>
    <n v="74.900002000000001"/>
    <n v="75.681999000000005"/>
    <n v="32214000"/>
    <n v="0"/>
    <n v="-0.35"/>
    <x v="1"/>
    <n v="-4.5849740306145217E-3"/>
    <s v=""/>
  </r>
  <r>
    <s v="Thursday, July 16, 2020"/>
    <x v="2"/>
    <x v="469"/>
    <n v="75"/>
    <n v="75.934501999999995"/>
    <n v="74.315498000000005"/>
    <n v="75.900002000000001"/>
    <n v="30386000"/>
    <n v="0"/>
    <n v="0.22"/>
    <x v="2"/>
    <n v="2.8722397135114166E-3"/>
    <s v=""/>
  </r>
  <r>
    <s v="Friday, July 17, 2020"/>
    <x v="3"/>
    <x v="470"/>
    <n v="76.081001000000001"/>
    <n v="76.171997000000005"/>
    <n v="74.920997999999997"/>
    <n v="75.777495999999999"/>
    <n v="29134000"/>
    <n v="0"/>
    <n v="-0.12"/>
    <x v="1"/>
    <n v="-1.6166541053296527E-3"/>
    <s v=""/>
  </r>
  <r>
    <s v="Monday, July 20, 2020"/>
    <x v="4"/>
    <x v="471"/>
    <n v="75.763000000000005"/>
    <n v="78.514503000000005"/>
    <n v="75.180000000000007"/>
    <n v="78.286002999999994"/>
    <n v="31146000"/>
    <n v="0"/>
    <n v="2.5099999999999998"/>
    <x v="2"/>
    <n v="3.2042854455093264E-2"/>
    <s v=""/>
  </r>
  <r>
    <s v="Tuesday, July 21, 2020"/>
    <x v="0"/>
    <x v="472"/>
    <n v="79.349502999999999"/>
    <n v="79.349502999999999"/>
    <n v="77.713997000000006"/>
    <n v="77.920997999999997"/>
    <n v="24324000"/>
    <n v="0"/>
    <n v="-0.37"/>
    <x v="1"/>
    <n v="-4.6842957529881291E-3"/>
    <s v=""/>
  </r>
  <r>
    <s v="Wednesday, July 22, 2020"/>
    <x v="1"/>
    <x v="473"/>
    <n v="78.025002000000001"/>
    <n v="78.5"/>
    <n v="77.305000000000007"/>
    <n v="78.424499999999995"/>
    <n v="18640000"/>
    <n v="0"/>
    <n v="0.5"/>
    <x v="2"/>
    <n v="6.4202130711703293E-3"/>
    <s v=""/>
  </r>
  <r>
    <s v="Thursday, July 23, 2020"/>
    <x v="2"/>
    <x v="474"/>
    <n v="78.348502999999994"/>
    <n v="78.593497999999997"/>
    <n v="75.369597999999996"/>
    <n v="75.783996999999999"/>
    <n v="32552000"/>
    <n v="0"/>
    <n v="-2.64"/>
    <x v="1"/>
    <n v="-3.4842487919975976E-2"/>
    <s v=""/>
  </r>
  <r>
    <s v="Friday, July 24, 2020"/>
    <x v="3"/>
    <x v="475"/>
    <n v="74.946503000000007"/>
    <n v="75.881798000000003"/>
    <n v="74.419998000000007"/>
    <n v="75.593497999999997"/>
    <n v="30880000"/>
    <n v="0"/>
    <n v="-0.19"/>
    <x v="1"/>
    <n v="-2.5200447795126857E-3"/>
    <s v=""/>
  </r>
  <r>
    <s v="Monday, July 27, 2020"/>
    <x v="4"/>
    <x v="476"/>
    <n v="75.779999000000004"/>
    <n v="77.048500000000004"/>
    <n v="75.760497999999998"/>
    <n v="76.510002"/>
    <n v="24920000"/>
    <n v="0"/>
    <n v="0.92"/>
    <x v="2"/>
    <n v="1.1978878264831353E-2"/>
    <s v=""/>
  </r>
  <r>
    <s v="Tuesday, July 28, 2020"/>
    <x v="0"/>
    <x v="477"/>
    <n v="76.259003000000007"/>
    <n v="76.323997000000006"/>
    <n v="74.883003000000002"/>
    <n v="75.016998000000001"/>
    <n v="34044000"/>
    <n v="0"/>
    <n v="-1.49"/>
    <x v="1"/>
    <n v="-1.9902209363269897E-2"/>
    <s v=""/>
  </r>
  <r>
    <s v="Wednesday, July 29, 2020"/>
    <x v="1"/>
    <x v="478"/>
    <n v="75.316001999999997"/>
    <n v="76.562599000000006"/>
    <n v="75.066497999999996"/>
    <n v="76.100998000000004"/>
    <n v="22130000"/>
    <n v="0"/>
    <n v="1.08"/>
    <x v="2"/>
    <n v="1.4244228439684892E-2"/>
    <s v=""/>
  </r>
  <r>
    <s v="Thursday, July 30, 2020"/>
    <x v="2"/>
    <x v="479"/>
    <n v="74.849997999999999"/>
    <n v="76.893501000000001"/>
    <n v="74.611000000000004"/>
    <n v="76.572502"/>
    <n v="33428000"/>
    <n v="0"/>
    <n v="0.47"/>
    <x v="2"/>
    <n v="6.1576151710439854E-3"/>
    <s v=""/>
  </r>
  <r>
    <s v="Friday, July 31, 2020"/>
    <x v="3"/>
    <x v="480"/>
    <n v="75.250504000000006"/>
    <n v="75.447502"/>
    <n v="72.701499999999996"/>
    <n v="74.148003000000003"/>
    <n v="68798000"/>
    <n v="0"/>
    <n v="-2.42"/>
    <x v="1"/>
    <n v="-3.2698102469462288E-2"/>
    <s v=""/>
  </r>
  <r>
    <s v="Monday, August 3, 2020"/>
    <x v="4"/>
    <x v="481"/>
    <n v="74.332001000000005"/>
    <n v="74.523499000000001"/>
    <n v="73.281998000000002"/>
    <n v="73.722504000000001"/>
    <n v="46604000"/>
    <n v="0"/>
    <n v="-0.43"/>
    <x v="1"/>
    <n v="-5.7716297862047943E-3"/>
    <s v=""/>
  </r>
  <r>
    <s v="Tuesday, August 4, 2020"/>
    <x v="0"/>
    <x v="482"/>
    <n v="73.828498999999994"/>
    <n v="74.278000000000006"/>
    <n v="72.932502999999997"/>
    <n v="73.248497"/>
    <n v="38070000"/>
    <n v="0"/>
    <n v="-0.47"/>
    <x v="1"/>
    <n v="-6.4712181056766297E-3"/>
    <s v=""/>
  </r>
  <r>
    <s v="Wednesday, August 5, 2020"/>
    <x v="1"/>
    <x v="483"/>
    <n v="73.464995999999999"/>
    <n v="74.120498999999995"/>
    <n v="73.172996999999995"/>
    <n v="73.680496000000005"/>
    <n v="39590000"/>
    <n v="0"/>
    <n v="0.43"/>
    <x v="2"/>
    <n v="5.863139140648628E-3"/>
    <s v=""/>
  </r>
  <r>
    <s v="Thursday, August 6, 2020"/>
    <x v="2"/>
    <x v="484"/>
    <n v="73.587502000000001"/>
    <n v="75.119499000000005"/>
    <n v="73.300003000000004"/>
    <n v="75.004997000000003"/>
    <n v="39908000"/>
    <n v="0"/>
    <n v="1.32"/>
    <x v="2"/>
    <n v="1.7658836783901184E-2"/>
    <s v=""/>
  </r>
  <r>
    <s v="Friday, August 7, 2020"/>
    <x v="3"/>
    <x v="485"/>
    <n v="75"/>
    <n v="75.842247"/>
    <n v="74.082001000000005"/>
    <n v="74.724502999999999"/>
    <n v="31556000"/>
    <n v="0"/>
    <n v="-0.28000000000000003"/>
    <x v="1"/>
    <n v="-3.7537084723066605E-3"/>
    <s v=""/>
  </r>
  <r>
    <s v="Monday, August 10, 2020"/>
    <x v="4"/>
    <x v="486"/>
    <n v="74.359001000000006"/>
    <n v="75.203750999999997"/>
    <n v="73.653998999999999"/>
    <n v="74.805000000000007"/>
    <n v="25786000"/>
    <n v="0"/>
    <n v="0.08"/>
    <x v="2"/>
    <n v="1.0760911703764221E-3"/>
    <s v=""/>
  </r>
  <r>
    <s v="Tuesday, August 11, 2020"/>
    <x v="0"/>
    <x v="487"/>
    <n v="74.622001999999995"/>
    <n v="75.5"/>
    <n v="73.900002000000001"/>
    <n v="74.015998999999994"/>
    <n v="29088000"/>
    <n v="0"/>
    <n v="-0.79"/>
    <x v="1"/>
    <n v="-1.0659870982758919E-2"/>
    <s v=""/>
  </r>
  <r>
    <s v="Wednesday, August 12, 2020"/>
    <x v="1"/>
    <x v="488"/>
    <n v="74.278998999999999"/>
    <n v="75.619300999999993"/>
    <n v="74.262496999999996"/>
    <n v="75.331001000000001"/>
    <n v="28740000"/>
    <n v="0"/>
    <n v="1.32"/>
    <x v="2"/>
    <n v="1.7456319211794448E-2"/>
    <s v=""/>
  </r>
  <r>
    <s v="Thursday, August 13, 2020"/>
    <x v="2"/>
    <x v="489"/>
    <n v="75.516998000000001"/>
    <n v="76.862503000000004"/>
    <n v="75.400253000000006"/>
    <n v="75.922500999999997"/>
    <n v="29104000"/>
    <n v="0"/>
    <n v="0.59"/>
    <x v="2"/>
    <n v="7.7908392401351001E-3"/>
    <s v=""/>
  </r>
  <r>
    <s v="Friday, August 14, 2020"/>
    <x v="3"/>
    <x v="490"/>
    <n v="75.782996999999995"/>
    <n v="76.095000999999996"/>
    <n v="75.143996999999999"/>
    <n v="75.386497000000006"/>
    <n v="27096000"/>
    <n v="0"/>
    <n v="-0.54"/>
    <x v="1"/>
    <n v="-7.110079673817331E-3"/>
    <s v=""/>
  </r>
  <r>
    <s v="Monday, August 17, 2020"/>
    <x v="4"/>
    <x v="491"/>
    <n v="75.733497999999997"/>
    <n v="76.280501999999998"/>
    <n v="75.398499000000001"/>
    <n v="75.899001999999996"/>
    <n v="27566000"/>
    <n v="0"/>
    <n v="0.51"/>
    <x v="2"/>
    <n v="6.7524603287931273E-3"/>
    <s v=""/>
  </r>
  <r>
    <s v="Tuesday, August 18, 2020"/>
    <x v="0"/>
    <x v="492"/>
    <n v="76.308998000000003"/>
    <n v="78.123497"/>
    <n v="76.185501000000002"/>
    <n v="77.930000000000007"/>
    <n v="40542000"/>
    <n v="0"/>
    <n v="2.0299999999999998"/>
    <x v="2"/>
    <n v="2.6061824714487498E-2"/>
    <s v=""/>
  </r>
  <r>
    <s v="Wednesday, August 19, 2020"/>
    <x v="1"/>
    <x v="493"/>
    <n v="77.665497000000002"/>
    <n v="78.683998000000003"/>
    <n v="77.197502"/>
    <n v="77.376503"/>
    <n v="33212000"/>
    <n v="0"/>
    <n v="-0.55000000000000004"/>
    <x v="1"/>
    <n v="-7.1532956199895368E-3"/>
    <s v=""/>
  </r>
  <r>
    <s v="Thursday, August 20, 2020"/>
    <x v="2"/>
    <x v="494"/>
    <n v="77.172500999999997"/>
    <n v="79.293503000000001"/>
    <n v="76.910004000000001"/>
    <n v="79.087502000000001"/>
    <n v="34138000"/>
    <n v="0"/>
    <n v="1.71"/>
    <x v="2"/>
    <n v="2.1634252653472366E-2"/>
    <s v=""/>
  </r>
  <r>
    <s v="Friday, August 21, 2020"/>
    <x v="3"/>
    <x v="495"/>
    <n v="78.851500999999999"/>
    <n v="79.886002000000005"/>
    <n v="78.400253000000006"/>
    <n v="79.021004000000005"/>
    <n v="28930000"/>
    <n v="0"/>
    <n v="-7.0000000000000007E-2"/>
    <x v="1"/>
    <n v="-8.4152309682114035E-4"/>
    <s v=""/>
  </r>
  <r>
    <s v="Monday, August 24, 2020"/>
    <x v="4"/>
    <x v="496"/>
    <n v="79.698997000000006"/>
    <n v="80.708504000000005"/>
    <n v="79.028503000000001"/>
    <n v="79.410004000000001"/>
    <n v="28198000"/>
    <n v="0"/>
    <n v="0.39"/>
    <x v="2"/>
    <n v="4.8986271301534731E-3"/>
    <s v=""/>
  </r>
  <r>
    <s v="Tuesday, August 25, 2020"/>
    <x v="0"/>
    <x v="497"/>
    <n v="79.103499999999997"/>
    <n v="80.581001000000001"/>
    <n v="79.103499999999997"/>
    <n v="80.411002999999994"/>
    <n v="44942000"/>
    <n v="0"/>
    <n v="1"/>
    <x v="2"/>
    <n v="1.2448532696451917E-2"/>
    <s v=""/>
  </r>
  <r>
    <s v="Wednesday, August 26, 2020"/>
    <x v="1"/>
    <x v="498"/>
    <n v="80.400002000000001"/>
    <n v="82.960999000000001"/>
    <n v="80.180000000000007"/>
    <n v="82.619003000000006"/>
    <n v="79868000"/>
    <n v="0"/>
    <n v="2.21"/>
    <x v="2"/>
    <n v="2.6725086479196709E-2"/>
    <s v=""/>
  </r>
  <r>
    <s v="Thursday, August 27, 2020"/>
    <x v="2"/>
    <x v="499"/>
    <n v="82.683998000000003"/>
    <n v="82.75"/>
    <n v="81.287497999999999"/>
    <n v="81.716498999999999"/>
    <n v="37232000"/>
    <n v="0"/>
    <n v="-0.9"/>
    <x v="1"/>
    <n v="-1.1044330227608106E-2"/>
    <s v=""/>
  </r>
  <r>
    <s v="Friday, August 28, 2020"/>
    <x v="3"/>
    <x v="500"/>
    <n v="81.674499999999995"/>
    <n v="82.358497999999997"/>
    <n v="81.537497999999999"/>
    <n v="82.220496999999995"/>
    <n v="29980000"/>
    <n v="0"/>
    <n v="0.5"/>
    <x v="2"/>
    <n v="6.1298340242335898E-3"/>
    <s v=""/>
  </r>
  <r>
    <s v="Monday, August 31, 2020"/>
    <x v="4"/>
    <x v="501"/>
    <n v="82.394501000000005"/>
    <n v="82.398246999999998"/>
    <n v="81.515502999999995"/>
    <n v="81.709000000000003"/>
    <n v="36468000"/>
    <n v="0"/>
    <n v="-0.51"/>
    <x v="1"/>
    <n v="-6.2599836003376791E-3"/>
    <s v=""/>
  </r>
  <r>
    <s v="Tuesday, September 1, 2020"/>
    <x v="0"/>
    <x v="502"/>
    <n v="81.831496999999999"/>
    <n v="83.286499000000006"/>
    <n v="81.611000000000004"/>
    <n v="83.035499999999999"/>
    <n v="36506000"/>
    <n v="0"/>
    <n v="1.33"/>
    <x v="2"/>
    <n v="1.5975094989492396E-2"/>
    <s v=""/>
  </r>
  <r>
    <s v="Wednesday, September 2, 2020"/>
    <x v="1"/>
    <x v="503"/>
    <n v="83.688750999999996"/>
    <n v="86.658996999999999"/>
    <n v="83.316497999999996"/>
    <n v="86.414000999999999"/>
    <n v="50224000"/>
    <n v="0"/>
    <n v="3.38"/>
    <x v="2"/>
    <n v="3.9096685269786317E-2"/>
    <s v=""/>
  </r>
  <r>
    <s v="Thursday, September 3, 2020"/>
    <x v="2"/>
    <x v="504"/>
    <n v="85.485703000000001"/>
    <n v="85.485703000000001"/>
    <n v="80.752998000000005"/>
    <n v="82.092003000000005"/>
    <n v="62156000"/>
    <n v="0"/>
    <n v="-4.32"/>
    <x v="1"/>
    <n v="-5.2648222019871939E-2"/>
    <s v=""/>
  </r>
  <r>
    <s v="Friday, September 4, 2020"/>
    <x v="3"/>
    <x v="505"/>
    <n v="81.212997000000001"/>
    <n v="82.255500999999995"/>
    <n v="77.380652999999995"/>
    <n v="79.552002000000002"/>
    <n v="52172000"/>
    <n v="0"/>
    <n v="-2.54"/>
    <x v="1"/>
    <n v="-3.1928813054887088E-2"/>
    <s v=""/>
  </r>
  <r>
    <s v="Tuesday, September 8, 2020"/>
    <x v="0"/>
    <x v="506"/>
    <n v="76.675499000000002"/>
    <n v="78.193252999999999"/>
    <n v="76.400497000000001"/>
    <n v="76.619499000000005"/>
    <n v="52218000"/>
    <n v="0"/>
    <n v="-2.93"/>
    <x v="1"/>
    <n v="-3.8273586205516651E-2"/>
    <s v=""/>
  </r>
  <r>
    <s v="Wednesday, September 9, 2020"/>
    <x v="1"/>
    <x v="507"/>
    <n v="77.876503"/>
    <n v="78.449996999999996"/>
    <n v="76.802550999999994"/>
    <n v="77.847999999999999"/>
    <n v="35494000"/>
    <n v="0"/>
    <n v="1.23"/>
    <x v="2"/>
    <n v="1.5780765080669952E-2"/>
    <s v=""/>
  </r>
  <r>
    <s v="Thursday, September 10, 2020"/>
    <x v="2"/>
    <x v="508"/>
    <n v="78.031998000000002"/>
    <n v="79.204048"/>
    <n v="76.290253000000007"/>
    <n v="76.600998000000004"/>
    <n v="32372000"/>
    <n v="0"/>
    <n v="-1.25"/>
    <x v="1"/>
    <n v="-1.6279187380822308E-2"/>
    <s v=""/>
  </r>
  <r>
    <s v="Friday, September 11, 2020"/>
    <x v="3"/>
    <x v="509"/>
    <n v="76.800003000000004"/>
    <n v="78.760002"/>
    <n v="74.867996000000005"/>
    <n v="76.036002999999994"/>
    <n v="31942000"/>
    <n v="0"/>
    <n v="-0.56000000000000005"/>
    <x v="1"/>
    <n v="-7.4306246739457146E-3"/>
    <s v=""/>
  </r>
  <r>
    <s v="Monday, September 14, 2020"/>
    <x v="4"/>
    <x v="510"/>
    <n v="76.950248999999999"/>
    <n v="78.199996999999996"/>
    <n v="75.787002999999999"/>
    <n v="75.963997000000006"/>
    <n v="33932000"/>
    <n v="0"/>
    <n v="-7.0000000000000007E-2"/>
    <x v="1"/>
    <n v="-9.4789640940020009E-4"/>
    <s v=""/>
  </r>
  <r>
    <s v="Tuesday, September 15, 2020"/>
    <x v="0"/>
    <x v="511"/>
    <n v="76.800003000000004"/>
    <n v="77.978499999999997"/>
    <n v="76.591751000000002"/>
    <n v="77.071999000000005"/>
    <n v="26622000"/>
    <n v="0"/>
    <n v="1.1100000000000001"/>
    <x v="2"/>
    <n v="1.4376193875547448E-2"/>
    <s v=""/>
  </r>
  <r>
    <s v="Wednesday, September 16, 2020"/>
    <x v="1"/>
    <x v="512"/>
    <n v="77.777000000000001"/>
    <n v="78.099997999999999"/>
    <n v="75.990996999999993"/>
    <n v="76.044998000000007"/>
    <n v="26234000"/>
    <n v="0"/>
    <n v="-1.03"/>
    <x v="1"/>
    <n v="-1.3505174922879193E-2"/>
    <s v=""/>
  </r>
  <r>
    <s v="Thursday, September 17, 2020"/>
    <x v="2"/>
    <x v="513"/>
    <n v="74.800003000000004"/>
    <n v="75.414901999999998"/>
    <n v="73.5"/>
    <n v="74.776497000000006"/>
    <n v="37596000"/>
    <n v="0"/>
    <n v="-1.27"/>
    <x v="1"/>
    <n v="-1.6963899766526912E-2"/>
    <s v=""/>
  </r>
  <r>
    <s v="Friday, September 18, 2020"/>
    <x v="3"/>
    <x v="514"/>
    <n v="74.900497000000001"/>
    <n v="75.150146000000007"/>
    <n v="71.856498999999999"/>
    <n v="72.999495999999994"/>
    <n v="62078000"/>
    <n v="0"/>
    <n v="-1.78"/>
    <x v="1"/>
    <n v="-2.4342647516361112E-2"/>
    <s v=""/>
  </r>
  <r>
    <s v="Monday, September 21, 2020"/>
    <x v="4"/>
    <x v="515"/>
    <n v="72.002998000000005"/>
    <n v="72.417998999999995"/>
    <n v="70.327499000000003"/>
    <n v="71.557998999999995"/>
    <n v="57776000"/>
    <n v="0"/>
    <n v="-1.44"/>
    <x v="1"/>
    <n v="-2.0144456526795813E-2"/>
    <s v=""/>
  </r>
  <r>
    <s v="Tuesday, September 22, 2020"/>
    <x v="0"/>
    <x v="516"/>
    <n v="72.504501000000005"/>
    <n v="73.475998000000004"/>
    <n v="71.726500999999999"/>
    <n v="73.273003000000003"/>
    <n v="31664000"/>
    <n v="0"/>
    <n v="1.72"/>
    <x v="2"/>
    <n v="2.3405673710411561E-2"/>
    <s v=""/>
  </r>
  <r>
    <s v="Wednesday, September 23, 2020"/>
    <x v="1"/>
    <x v="517"/>
    <n v="72.939003"/>
    <n v="73.047996999999995"/>
    <n v="70.385002"/>
    <n v="70.760497999999998"/>
    <n v="33148000"/>
    <n v="0"/>
    <n v="-2.5099999999999998"/>
    <x v="1"/>
    <n v="-3.5507169551011422E-2"/>
    <s v=""/>
  </r>
  <r>
    <s v="Thursday, September 24, 2020"/>
    <x v="2"/>
    <x v="518"/>
    <n v="70.551497999999995"/>
    <n v="72.185447999999994"/>
    <n v="70.492500000000007"/>
    <n v="71.414496999999997"/>
    <n v="29004000"/>
    <n v="0"/>
    <n v="0.65"/>
    <x v="2"/>
    <n v="9.1577904693496467E-3"/>
    <s v=""/>
  </r>
  <r>
    <s v="Friday, September 25, 2020"/>
    <x v="3"/>
    <x v="519"/>
    <n v="71.631500000000003"/>
    <n v="72.5"/>
    <n v="70.667000000000002"/>
    <n v="72.248001000000002"/>
    <n v="26460000"/>
    <n v="0"/>
    <n v="0.83"/>
    <x v="2"/>
    <n v="1.1536706738778902E-2"/>
    <s v=""/>
  </r>
  <r>
    <s v="Monday, September 28, 2020"/>
    <x v="4"/>
    <x v="520"/>
    <n v="73.710503000000003"/>
    <n v="73.839995999999999"/>
    <n v="72.465050000000005"/>
    <n v="73.225998000000004"/>
    <n v="40158000"/>
    <n v="0"/>
    <n v="0.98"/>
    <x v="2"/>
    <n v="1.3355871230324536E-2"/>
    <s v=""/>
  </r>
  <r>
    <s v="Tuesday, September 29, 2020"/>
    <x v="0"/>
    <x v="521"/>
    <n v="73.519501000000005"/>
    <n v="73.833152999999996"/>
    <n v="72.940246999999999"/>
    <n v="73.466498999999999"/>
    <n v="19564000"/>
    <n v="0"/>
    <n v="0.24"/>
    <x v="2"/>
    <n v="3.2736145491293217E-3"/>
    <s v=""/>
  </r>
  <r>
    <s v="Wednesday, September 30, 2020"/>
    <x v="1"/>
    <x v="522"/>
    <n v="73.339995999999999"/>
    <n v="74.487503000000004"/>
    <n v="72.994003000000006"/>
    <n v="73.480002999999996"/>
    <n v="34032000"/>
    <n v="0"/>
    <n v="0.01"/>
    <x v="2"/>
    <n v="1.8377789124474477E-4"/>
    <s v=""/>
  </r>
  <r>
    <s v="Thursday, October 1, 2020"/>
    <x v="2"/>
    <x v="523"/>
    <n v="74.213500999999994"/>
    <n v="74.952003000000005"/>
    <n v="73.960503000000003"/>
    <n v="74.504501000000005"/>
    <n v="35590000"/>
    <n v="0"/>
    <n v="1.02"/>
    <x v="2"/>
    <n v="1.3750820235679563E-2"/>
    <s v=""/>
  </r>
  <r>
    <s v="Friday, October 2, 2020"/>
    <x v="3"/>
    <x v="524"/>
    <n v="73.101500999999999"/>
    <n v="74.160004000000001"/>
    <n v="72.545997999999997"/>
    <n v="72.920997999999997"/>
    <n v="25682000"/>
    <n v="0"/>
    <n v="-1.58"/>
    <x v="1"/>
    <n v="-2.1715322656445369E-2"/>
    <s v=""/>
  </r>
  <r>
    <s v="Monday, October 5, 2020"/>
    <x v="4"/>
    <x v="525"/>
    <n v="73.310501000000002"/>
    <n v="74.410499999999999"/>
    <n v="73.213500999999994"/>
    <n v="74.301002999999994"/>
    <n v="22266000"/>
    <n v="0"/>
    <n v="1.38"/>
    <x v="2"/>
    <n v="1.8573167848084059E-2"/>
    <s v=""/>
  </r>
  <r>
    <s v="Tuesday, October 6, 2020"/>
    <x v="0"/>
    <x v="526"/>
    <n v="73.778998999999999"/>
    <n v="74.337997000000001"/>
    <n v="72.429496999999998"/>
    <n v="72.671997000000005"/>
    <n v="24908000"/>
    <n v="0"/>
    <n v="-1.63"/>
    <x v="1"/>
    <n v="-2.2415869485463424E-2"/>
    <s v=""/>
  </r>
  <r>
    <s v="Wednesday, October 7, 2020"/>
    <x v="1"/>
    <x v="527"/>
    <n v="73.214500000000001"/>
    <n v="73.447997999999998"/>
    <n v="71.800003000000004"/>
    <n v="73.014503000000005"/>
    <n v="34924000"/>
    <n v="0"/>
    <n v="0.34"/>
    <x v="2"/>
    <n v="4.6909310606414751E-3"/>
    <s v=""/>
  </r>
  <r>
    <s v="Thursday, October 8, 2020"/>
    <x v="2"/>
    <x v="528"/>
    <n v="73.254501000000005"/>
    <n v="74.5"/>
    <n v="73.254501000000005"/>
    <n v="74.296501000000006"/>
    <n v="23756000"/>
    <n v="0"/>
    <n v="1.28"/>
    <x v="2"/>
    <n v="1.7255159835858239E-2"/>
    <s v=""/>
  </r>
  <r>
    <s v="Friday, October 9, 2020"/>
    <x v="3"/>
    <x v="529"/>
    <n v="74.735000999999997"/>
    <n v="75.825996000000004"/>
    <n v="74.472504000000001"/>
    <n v="75.761002000000005"/>
    <n v="28706000"/>
    <n v="0"/>
    <n v="1.46"/>
    <x v="2"/>
    <n v="1.933053894931324E-2"/>
    <s v=""/>
  </r>
  <r>
    <s v="Monday, October 12, 2020"/>
    <x v="4"/>
    <x v="530"/>
    <n v="77.150002000000001"/>
    <n v="79.693000999999995"/>
    <n v="76.628501999999997"/>
    <n v="78.457497000000004"/>
    <n v="49652000"/>
    <n v="0"/>
    <n v="2.7"/>
    <x v="2"/>
    <n v="3.4368863436976566E-2"/>
    <s v=""/>
  </r>
  <r>
    <s v="Tuesday, October 13, 2020"/>
    <x v="0"/>
    <x v="531"/>
    <n v="79.186501000000007"/>
    <n v="79.5"/>
    <n v="78.160004000000001"/>
    <n v="78.584000000000003"/>
    <n v="32020000"/>
    <n v="0"/>
    <n v="0.13"/>
    <x v="2"/>
    <n v="1.6097806169194694E-3"/>
    <s v=""/>
  </r>
  <r>
    <s v="Wednesday, October 14, 2020"/>
    <x v="1"/>
    <x v="532"/>
    <n v="78.929496999999998"/>
    <n v="79.384201000000004"/>
    <n v="77.526497000000006"/>
    <n v="78.403998999999999"/>
    <n v="38586000"/>
    <n v="0"/>
    <n v="-0.18"/>
    <x v="1"/>
    <n v="-2.2958140183640926E-3"/>
    <s v=""/>
  </r>
  <r>
    <s v="Thursday, October 15, 2020"/>
    <x v="2"/>
    <x v="533"/>
    <n v="77.357498000000007"/>
    <n v="78.755249000000006"/>
    <n v="77.251503"/>
    <n v="77.956496999999999"/>
    <n v="30800000"/>
    <n v="0"/>
    <n v="-0.45"/>
    <x v="1"/>
    <n v="-5.7404067296661634E-3"/>
    <s v=""/>
  </r>
  <r>
    <s v="Friday, October 16, 2020"/>
    <x v="3"/>
    <x v="534"/>
    <n v="78.292502999999996"/>
    <n v="79.056503000000006"/>
    <n v="78.150002000000001"/>
    <n v="78.650497000000001"/>
    <n v="28694000"/>
    <n v="0"/>
    <n v="0.69"/>
    <x v="2"/>
    <n v="8.8238476102700612E-3"/>
    <s v=""/>
  </r>
  <r>
    <s v="Monday, October 19, 2020"/>
    <x v="4"/>
    <x v="535"/>
    <n v="79.023003000000003"/>
    <n v="79.407500999999996"/>
    <n v="76.400002000000001"/>
    <n v="76.730498999999995"/>
    <n v="32142000"/>
    <n v="0"/>
    <n v="-1.92"/>
    <x v="1"/>
    <n v="-2.502261845058517E-2"/>
    <s v=""/>
  </r>
  <r>
    <s v="Tuesday, October 20, 2020"/>
    <x v="0"/>
    <x v="536"/>
    <n v="76.352501000000004"/>
    <n v="78.875"/>
    <n v="76.283501000000001"/>
    <n v="77.796501000000006"/>
    <n v="44834000"/>
    <n v="0"/>
    <n v="1.07"/>
    <x v="2"/>
    <n v="1.3702441450419623E-2"/>
    <s v=""/>
  </r>
  <r>
    <s v="Wednesday, October 21, 2020"/>
    <x v="1"/>
    <x v="537"/>
    <n v="78.666495999999995"/>
    <n v="80.936501000000007"/>
    <n v="78.581496999999999"/>
    <n v="79.665497000000002"/>
    <n v="51366000"/>
    <n v="0"/>
    <n v="1.87"/>
    <x v="2"/>
    <n v="2.3460545284742222E-2"/>
    <s v=""/>
  </r>
  <r>
    <s v="Thursday, October 22, 2020"/>
    <x v="2"/>
    <x v="538"/>
    <n v="79.652495999999999"/>
    <n v="81.099502999999999"/>
    <n v="79.25"/>
    <n v="80.766502000000003"/>
    <n v="28672000"/>
    <n v="0"/>
    <n v="1.1000000000000001"/>
    <x v="2"/>
    <n v="1.3631951028410276E-2"/>
    <s v=""/>
  </r>
  <r>
    <s v="Friday, October 23, 2020"/>
    <x v="3"/>
    <x v="539"/>
    <n v="81.303496999999993"/>
    <n v="82.117996000000005"/>
    <n v="81.025497000000001"/>
    <n v="82.050003000000004"/>
    <n v="27516000"/>
    <n v="0"/>
    <n v="1.28"/>
    <x v="2"/>
    <n v="1.5642912286060504E-2"/>
    <s v=""/>
  </r>
  <r>
    <s v="Monday, October 26, 2020"/>
    <x v="4"/>
    <x v="540"/>
    <n v="81.250504000000006"/>
    <n v="81.912002999999999"/>
    <n v="78.824996999999996"/>
    <n v="79.522498999999996"/>
    <n v="37066000"/>
    <n v="0"/>
    <n v="-2.5299999999999998"/>
    <x v="1"/>
    <n v="-3.1783508211933931E-2"/>
    <s v=""/>
  </r>
  <r>
    <s v="Tuesday, October 27, 2020"/>
    <x v="0"/>
    <x v="541"/>
    <n v="79.783501000000001"/>
    <n v="80.342247"/>
    <n v="79.138999999999996"/>
    <n v="80.212997000000001"/>
    <n v="24580000"/>
    <n v="0"/>
    <n v="0.69"/>
    <x v="2"/>
    <n v="8.6083057088616848E-3"/>
    <s v=""/>
  </r>
  <r>
    <s v="Wednesday, October 28, 2020"/>
    <x v="1"/>
    <x v="542"/>
    <n v="77.986999999999995"/>
    <n v="78.067497000000003"/>
    <n v="75.731003000000001"/>
    <n v="75.831001000000001"/>
    <n v="36680000"/>
    <n v="0"/>
    <n v="-4.38"/>
    <x v="1"/>
    <n v="-5.7786339916573184E-2"/>
    <s v=""/>
  </r>
  <r>
    <s v="Thursday, October 29, 2020"/>
    <x v="2"/>
    <x v="543"/>
    <n v="76.117996000000005"/>
    <n v="79.685501000000002"/>
    <n v="76.111999999999995"/>
    <n v="78.361999999999995"/>
    <n v="40062000"/>
    <n v="0"/>
    <n v="2.5299999999999998"/>
    <x v="2"/>
    <n v="3.2298805543503159E-2"/>
    <s v=""/>
  </r>
  <r>
    <s v="Friday, October 30, 2020"/>
    <x v="3"/>
    <x v="544"/>
    <n v="83.605498999999995"/>
    <n v="84.349997999999999"/>
    <n v="80.222999999999999"/>
    <n v="81.050499000000002"/>
    <n v="86582000"/>
    <n v="0"/>
    <n v="2.69"/>
    <x v="2"/>
    <n v="3.3170665611818223E-2"/>
    <s v=""/>
  </r>
  <r>
    <s v="Monday, November 2, 2020"/>
    <x v="4"/>
    <x v="545"/>
    <n v="81.407996999999995"/>
    <n v="83.038498000000004"/>
    <n v="80.801497999999995"/>
    <n v="81.301497999999995"/>
    <n v="50708000"/>
    <n v="0"/>
    <n v="0.25"/>
    <x v="2"/>
    <n v="3.0872616885852843E-3"/>
    <s v=""/>
  </r>
  <r>
    <s v="Tuesday, November 3, 2020"/>
    <x v="0"/>
    <x v="546"/>
    <n v="81.588997000000006"/>
    <n v="83.084998999999996"/>
    <n v="80.831001000000001"/>
    <n v="82.510497999999998"/>
    <n v="33234000"/>
    <n v="0"/>
    <n v="1.21"/>
    <x v="2"/>
    <n v="1.465268092309906E-2"/>
    <s v=""/>
  </r>
  <r>
    <s v="Wednesday, November 4, 2020"/>
    <x v="1"/>
    <x v="547"/>
    <n v="85.513999999999996"/>
    <n v="88.568252999999999"/>
    <n v="85.301497999999995"/>
    <n v="87.456496999999999"/>
    <n v="71418000"/>
    <n v="0"/>
    <n v="4.95"/>
    <x v="2"/>
    <n v="5.6553820123849699E-2"/>
    <n v="5.6553820123849699E-2"/>
  </r>
  <r>
    <s v="Thursday, November 5, 2020"/>
    <x v="2"/>
    <x v="548"/>
    <n v="89.050003000000004"/>
    <n v="89.681999000000005"/>
    <n v="87.525497000000001"/>
    <n v="88.168503000000001"/>
    <n v="41316000"/>
    <n v="0"/>
    <n v="0.71"/>
    <x v="2"/>
    <n v="8.0755142230327127E-3"/>
    <s v=""/>
  </r>
  <r>
    <s v="Friday, November 6, 2020"/>
    <x v="3"/>
    <x v="549"/>
    <n v="87.697502"/>
    <n v="88.621498000000003"/>
    <n v="87.017501999999993"/>
    <n v="88.087502000000001"/>
    <n v="33218000"/>
    <n v="0"/>
    <n v="-0.08"/>
    <x v="1"/>
    <n v="-9.1955156135544119E-4"/>
    <s v=""/>
  </r>
  <r>
    <s v="Monday, November 9, 2020"/>
    <x v="4"/>
    <x v="550"/>
    <n v="89.544998000000007"/>
    <n v="90.903000000000006"/>
    <n v="88.000998999999993"/>
    <n v="88.150002000000001"/>
    <n v="45366000"/>
    <n v="0"/>
    <n v="0.06"/>
    <x v="2"/>
    <n v="7.0901870200751663E-4"/>
    <s v=""/>
  </r>
  <r>
    <s v="Tuesday, November 10, 2020"/>
    <x v="0"/>
    <x v="551"/>
    <n v="86.554496999999998"/>
    <n v="88.150002000000001"/>
    <n v="85.864998"/>
    <n v="87.019501000000005"/>
    <n v="52722000"/>
    <n v="0"/>
    <n v="-1.1299999999999999"/>
    <x v="1"/>
    <n v="-1.2991352363650019E-2"/>
    <s v=""/>
  </r>
  <r>
    <s v="Wednesday, November 11, 2020"/>
    <x v="1"/>
    <x v="552"/>
    <n v="87.5"/>
    <n v="88.210999000000001"/>
    <n v="87.368247999999994"/>
    <n v="87.635497999999998"/>
    <n v="25280000"/>
    <n v="0"/>
    <n v="0.62"/>
    <x v="2"/>
    <n v="7.029080841190553E-3"/>
    <s v=""/>
  </r>
  <r>
    <s v="Thursday, November 12, 2020"/>
    <x v="2"/>
    <x v="553"/>
    <n v="87.381500000000003"/>
    <n v="88.413498000000004"/>
    <n v="87.279999000000004"/>
    <n v="87.491996999999998"/>
    <n v="24950000"/>
    <n v="0"/>
    <n v="-0.14000000000000001"/>
    <x v="1"/>
    <n v="-1.6401614424231344E-3"/>
    <s v=""/>
  </r>
  <r>
    <s v="Friday, November 13, 2020"/>
    <x v="3"/>
    <x v="554"/>
    <n v="87.881500000000003"/>
    <n v="89.052002000000002"/>
    <n v="87.227501000000004"/>
    <n v="88.850998000000004"/>
    <n v="29998000"/>
    <n v="0"/>
    <n v="1.36"/>
    <x v="2"/>
    <n v="1.5295281207758705E-2"/>
    <s v=""/>
  </r>
  <r>
    <s v="Monday, November 16, 2020"/>
    <x v="4"/>
    <x v="555"/>
    <n v="88.584998999999996"/>
    <n v="89.953498999999994"/>
    <n v="88.384499000000005"/>
    <n v="89.069000000000003"/>
    <n v="24936000"/>
    <n v="0"/>
    <n v="0.22"/>
    <x v="2"/>
    <n v="2.4475631252175107E-3"/>
    <s v=""/>
  </r>
  <r>
    <s v="Tuesday, November 17, 2020"/>
    <x v="0"/>
    <x v="556"/>
    <n v="88.846999999999994"/>
    <n v="89.25"/>
    <n v="88.349997999999999"/>
    <n v="88.507499999999993"/>
    <n v="22942000"/>
    <n v="0"/>
    <n v="-0.56000000000000005"/>
    <x v="1"/>
    <n v="-6.3440951331809109E-3"/>
    <s v=""/>
  </r>
  <r>
    <s v="Wednesday, November 18, 2020"/>
    <x v="1"/>
    <x v="557"/>
    <n v="88.261497000000006"/>
    <n v="88.673500000000004"/>
    <n v="87.306999000000005"/>
    <n v="87.338997000000006"/>
    <n v="23470000"/>
    <n v="0"/>
    <n v="-1.17"/>
    <x v="1"/>
    <n v="-1.3378937704081797E-2"/>
    <s v=""/>
  </r>
  <r>
    <s v="Thursday, November 19, 2020"/>
    <x v="2"/>
    <x v="558"/>
    <n v="86.918998999999999"/>
    <n v="88.479500000000002"/>
    <n v="86.850250000000003"/>
    <n v="88.195999"/>
    <n v="24998000"/>
    <n v="0"/>
    <n v="0.86"/>
    <x v="2"/>
    <n v="9.7170167549209836E-3"/>
    <s v=""/>
  </r>
  <r>
    <s v="Friday, November 20, 2020"/>
    <x v="3"/>
    <x v="559"/>
    <n v="88.260497999999998"/>
    <n v="88.699996999999996"/>
    <n v="87.093001999999998"/>
    <n v="87.109497000000005"/>
    <n v="46270000"/>
    <n v="0"/>
    <n v="-1.0900000000000001"/>
    <x v="1"/>
    <n v="-1.2472830603074149E-2"/>
    <s v=""/>
  </r>
  <r>
    <s v="Monday, November 23, 2020"/>
    <x v="4"/>
    <x v="560"/>
    <n v="87.480002999999996"/>
    <n v="87.694999999999993"/>
    <n v="85.886002000000005"/>
    <n v="86.742996000000005"/>
    <n v="43232000"/>
    <n v="0"/>
    <n v="-0.37"/>
    <x v="1"/>
    <n v="-4.2251365170739488E-3"/>
    <s v=""/>
  </r>
  <r>
    <s v="Tuesday, November 24, 2020"/>
    <x v="0"/>
    <x v="561"/>
    <n v="86.525002000000001"/>
    <n v="88.580001999999993"/>
    <n v="86.384499000000005"/>
    <n v="88.444000000000003"/>
    <n v="31560000"/>
    <n v="0"/>
    <n v="1.7"/>
    <x v="2"/>
    <n v="1.9232553932431791E-2"/>
    <s v=""/>
  </r>
  <r>
    <s v="Wednesday, November 25, 2020"/>
    <x v="1"/>
    <x v="562"/>
    <n v="88.644501000000005"/>
    <n v="88.927002000000002"/>
    <n v="87.827003000000005"/>
    <n v="88.571503000000007"/>
    <n v="20916000"/>
    <n v="0"/>
    <n v="0.13"/>
    <x v="2"/>
    <n v="1.4395487903146947E-3"/>
    <s v=""/>
  </r>
  <r>
    <s v="Friday, November 27, 2020"/>
    <x v="3"/>
    <x v="563"/>
    <n v="88.654503000000005"/>
    <n v="90.199996999999996"/>
    <n v="88.622001999999995"/>
    <n v="89.659499999999994"/>
    <n v="17698000"/>
    <n v="0"/>
    <n v="1.0900000000000001"/>
    <x v="2"/>
    <n v="1.2134765418053717E-2"/>
    <s v=""/>
  </r>
  <r>
    <s v="Monday, November 30, 2020"/>
    <x v="4"/>
    <x v="564"/>
    <n v="89.059196"/>
    <n v="89.403251999999995"/>
    <n v="87.75"/>
    <n v="88.037002999999999"/>
    <n v="36476000"/>
    <n v="0"/>
    <n v="-1.62"/>
    <x v="1"/>
    <n v="-1.8429716422763684E-2"/>
    <s v=""/>
  </r>
  <r>
    <s v="Tuesday, December 1, 2020"/>
    <x v="0"/>
    <x v="565"/>
    <n v="88.718497999999997"/>
    <n v="91.241501"/>
    <n v="88.468497999999997"/>
    <n v="89.904999000000004"/>
    <n v="34738000"/>
    <n v="0"/>
    <n v="1.87"/>
    <x v="2"/>
    <n v="2.0777443087452847E-2"/>
    <s v=""/>
  </r>
  <r>
    <s v="Wednesday, December 2, 2020"/>
    <x v="1"/>
    <x v="566"/>
    <n v="89.904999000000004"/>
    <n v="91.782500999999996"/>
    <n v="89.473647999999997"/>
    <n v="91.397498999999996"/>
    <n v="24440000"/>
    <n v="0"/>
    <n v="1.49"/>
    <x v="2"/>
    <n v="1.6329768498369882E-2"/>
    <s v=""/>
  </r>
  <r>
    <s v="Thursday, December 3, 2020"/>
    <x v="2"/>
    <x v="567"/>
    <n v="91.200500000000005"/>
    <n v="92.360000999999997"/>
    <n v="91.132499999999993"/>
    <n v="91.338500999999994"/>
    <n v="24546000"/>
    <n v="0"/>
    <n v="-0.06"/>
    <x v="1"/>
    <n v="-6.4592695691384895E-4"/>
    <s v=""/>
  </r>
  <r>
    <s v="Friday, December 4, 2020"/>
    <x v="3"/>
    <x v="568"/>
    <n v="91.225998000000004"/>
    <n v="91.657996999999995"/>
    <n v="90.849502999999999"/>
    <n v="91.399497999999994"/>
    <n v="27564000"/>
    <n v="0"/>
    <n v="0.06"/>
    <x v="2"/>
    <n v="6.67366903918886E-4"/>
    <s v=""/>
  </r>
  <r>
    <s v="Monday, December 7, 2020"/>
    <x v="4"/>
    <x v="569"/>
    <n v="90.949996999999996"/>
    <n v="91.618499999999997"/>
    <n v="90.289000999999999"/>
    <n v="90.973999000000006"/>
    <n v="26418000"/>
    <n v="0"/>
    <n v="-0.43"/>
    <x v="1"/>
    <n v="-4.6771495666579179E-3"/>
    <s v=""/>
  </r>
  <r>
    <s v="Tuesday, December 8, 2020"/>
    <x v="0"/>
    <x v="570"/>
    <n v="90.504997000000003"/>
    <n v="91.095000999999996"/>
    <n v="89.810248999999999"/>
    <n v="90.927498"/>
    <n v="21926000"/>
    <n v="0"/>
    <n v="-0.05"/>
    <x v="1"/>
    <n v="-5.1140745124215721E-4"/>
    <s v=""/>
  </r>
  <r>
    <s v="Wednesday, December 9, 2020"/>
    <x v="1"/>
    <x v="571"/>
    <n v="90.600502000000006"/>
    <n v="91.713500999999994"/>
    <n v="88.390502999999995"/>
    <n v="89.206496999999999"/>
    <n v="30152000"/>
    <n v="0"/>
    <n v="-1.72"/>
    <x v="1"/>
    <n v="-1.9292328001625277E-2"/>
    <s v=""/>
  </r>
  <r>
    <s v="Thursday, December 10, 2020"/>
    <x v="2"/>
    <x v="572"/>
    <n v="88.489998"/>
    <n v="89.065498000000005"/>
    <n v="87.015998999999994"/>
    <n v="88.766502000000003"/>
    <n v="27256000"/>
    <n v="0"/>
    <n v="-0.44"/>
    <x v="1"/>
    <n v="-4.9567684890860757E-3"/>
    <s v=""/>
  </r>
  <r>
    <s v="Friday, December 11, 2020"/>
    <x v="3"/>
    <x v="573"/>
    <n v="88.153000000000006"/>
    <n v="89.222504000000001"/>
    <n v="88"/>
    <n v="89.088500999999994"/>
    <n v="24414000"/>
    <n v="0"/>
    <n v="0.32"/>
    <x v="2"/>
    <n v="3.6143721848007192E-3"/>
    <s v=""/>
  </r>
  <r>
    <s v="Monday, December 14, 2020"/>
    <x v="4"/>
    <x v="574"/>
    <n v="88.75"/>
    <n v="89.869499000000005"/>
    <n v="87.860748000000001"/>
    <n v="88.002998000000005"/>
    <n v="32004000"/>
    <n v="0"/>
    <n v="-1.0900000000000001"/>
    <x v="1"/>
    <n v="-1.2334841138025644E-2"/>
    <s v=""/>
  </r>
  <r>
    <s v="Tuesday, December 15, 2020"/>
    <x v="0"/>
    <x v="575"/>
    <n v="88.221001000000001"/>
    <n v="88.570999"/>
    <n v="87.497497999999993"/>
    <n v="88.388496000000004"/>
    <n v="29646000"/>
    <n v="0"/>
    <n v="0.39"/>
    <x v="2"/>
    <n v="4.3614046787264979E-3"/>
    <s v=""/>
  </r>
  <r>
    <s v="Wednesday, December 16, 2020"/>
    <x v="1"/>
    <x v="576"/>
    <n v="88.643996999999999"/>
    <n v="88.650002000000001"/>
    <n v="87.804001"/>
    <n v="88.150002000000001"/>
    <n v="30270000"/>
    <n v="0"/>
    <n v="-0.24"/>
    <x v="1"/>
    <n v="-2.7055473010653237E-3"/>
    <s v=""/>
  </r>
  <r>
    <s v="Thursday, December 17, 2020"/>
    <x v="2"/>
    <x v="577"/>
    <n v="88.425499000000002"/>
    <n v="88.589202999999998"/>
    <n v="86.932998999999995"/>
    <n v="87.394997000000004"/>
    <n v="32494000"/>
    <n v="0"/>
    <n v="-0.76"/>
    <x v="1"/>
    <n v="-8.6389956624175757E-3"/>
    <s v=""/>
  </r>
  <r>
    <s v="Friday, December 18, 2020"/>
    <x v="3"/>
    <x v="578"/>
    <n v="87.709000000000003"/>
    <n v="87.755500999999995"/>
    <n v="86.011002000000005"/>
    <n v="86.550499000000002"/>
    <n v="80328000"/>
    <n v="0"/>
    <n v="-0.84"/>
    <x v="1"/>
    <n v="-9.7572863213648432E-3"/>
    <s v=""/>
  </r>
  <r>
    <s v="Monday, December 21, 2020"/>
    <x v="4"/>
    <x v="579"/>
    <n v="85.675499000000002"/>
    <n v="87.042502999999996"/>
    <n v="84.949996999999996"/>
    <n v="86.968497999999997"/>
    <n v="36568000"/>
    <n v="0"/>
    <n v="0.42"/>
    <x v="2"/>
    <n v="4.8063265390646936E-3"/>
    <s v=""/>
  </r>
  <r>
    <s v="Tuesday, December 22, 2020"/>
    <x v="0"/>
    <x v="580"/>
    <n v="86.721496999999999"/>
    <n v="86.870247000000006"/>
    <n v="85.628754000000001"/>
    <n v="86.175003000000004"/>
    <n v="18734000"/>
    <n v="0"/>
    <n v="-0.79"/>
    <x v="1"/>
    <n v="-9.2079486205529099E-3"/>
    <s v=""/>
  </r>
  <r>
    <s v="Wednesday, December 23, 2020"/>
    <x v="1"/>
    <x v="581"/>
    <n v="86.405501999999998"/>
    <n v="87.399497999999994"/>
    <n v="86.251998999999998"/>
    <n v="86.619003000000006"/>
    <n v="20676000"/>
    <n v="0"/>
    <n v="0.44"/>
    <x v="2"/>
    <n v="5.1258959884357318E-3"/>
    <s v=""/>
  </r>
  <r>
    <s v="Thursday, December 24, 2020"/>
    <x v="2"/>
    <x v="582"/>
    <n v="86.75"/>
    <n v="87.300003000000004"/>
    <n v="86.455498000000006"/>
    <n v="86.942497000000003"/>
    <n v="6936000"/>
    <n v="0"/>
    <n v="0.32"/>
    <x v="2"/>
    <n v="3.7207811043199809E-3"/>
    <s v=""/>
  </r>
  <r>
    <s v="Monday, December 28, 2020"/>
    <x v="4"/>
    <x v="583"/>
    <n v="87.581749000000002"/>
    <n v="89.5364"/>
    <n v="87.316749999999999"/>
    <n v="88.804496999999998"/>
    <n v="27860000"/>
    <n v="0"/>
    <n v="1.86"/>
    <x v="2"/>
    <n v="2.096740663932813E-2"/>
    <s v=""/>
  </r>
  <r>
    <s v="Tuesday, December 29, 2020"/>
    <x v="0"/>
    <x v="584"/>
    <n v="89.389503000000005"/>
    <n v="89.622001999999995"/>
    <n v="87.804496999999998"/>
    <n v="87.935997"/>
    <n v="25988000"/>
    <n v="0"/>
    <n v="-0.87"/>
    <x v="1"/>
    <n v="-9.8765014286469888E-3"/>
    <s v=""/>
  </r>
  <r>
    <s v="Wednesday, December 30, 2020"/>
    <x v="1"/>
    <x v="585"/>
    <n v="88.100502000000006"/>
    <n v="88.254752999999994"/>
    <n v="86.279999000000004"/>
    <n v="86.975998000000004"/>
    <n v="26122000"/>
    <n v="0"/>
    <n v="-0.96"/>
    <x v="1"/>
    <n v="-1.1037516350200388E-2"/>
    <s v=""/>
  </r>
  <r>
    <s v="Thursday, December 31, 2020"/>
    <x v="2"/>
    <x v="586"/>
    <n v="86.771004000000005"/>
    <n v="87.946503000000007"/>
    <n v="86.771004000000005"/>
    <n v="87.594002000000003"/>
    <n v="20238000"/>
    <n v="0"/>
    <n v="0.62"/>
    <x v="2"/>
    <n v="7.0553232628873279E-3"/>
    <s v=""/>
  </r>
  <r>
    <s v="Monday, January 4, 2021"/>
    <x v="4"/>
    <x v="587"/>
    <n v="87.876998999999998"/>
    <n v="88.032500999999996"/>
    <n v="85.392501999999993"/>
    <n v="86.412002999999999"/>
    <n v="38038000"/>
    <n v="0"/>
    <n v="-1.18"/>
    <x v="1"/>
    <n v="-1.3678643694904338E-2"/>
    <s v=""/>
  </r>
  <r>
    <s v="Tuesday, January 5, 2021"/>
    <x v="0"/>
    <x v="588"/>
    <n v="86.25"/>
    <n v="87.383499"/>
    <n v="85.900749000000005"/>
    <n v="87.045997999999997"/>
    <n v="22906000"/>
    <n v="0"/>
    <n v="0.63"/>
    <x v="2"/>
    <n v="7.2834479995277758E-3"/>
    <s v=""/>
  </r>
  <r>
    <s v="Wednesday, January 6, 2021"/>
    <x v="1"/>
    <x v="589"/>
    <n v="85.131500000000003"/>
    <n v="87.400002000000001"/>
    <n v="84.949996999999996"/>
    <n v="86.764503000000005"/>
    <n v="52042000"/>
    <n v="0"/>
    <n v="-0.28000000000000003"/>
    <x v="1"/>
    <n v="-3.2443567388381455E-3"/>
    <s v=""/>
  </r>
  <r>
    <s v="Thursday, January 7, 2021"/>
    <x v="2"/>
    <x v="590"/>
    <n v="87.002998000000005"/>
    <n v="89.419998000000007"/>
    <n v="86.852501000000004"/>
    <n v="89.362503000000004"/>
    <n v="45300000"/>
    <n v="0"/>
    <n v="2.6"/>
    <x v="2"/>
    <n v="2.9072596590093262E-2"/>
    <s v=""/>
  </r>
  <r>
    <s v="Friday, January 8, 2021"/>
    <x v="3"/>
    <x v="591"/>
    <n v="89.399001999999996"/>
    <n v="90.491996999999998"/>
    <n v="88.676749999999998"/>
    <n v="90.360496999999995"/>
    <n v="41012000"/>
    <n v="0"/>
    <n v="1"/>
    <x v="2"/>
    <n v="1.1044582899981078E-2"/>
    <s v=""/>
  </r>
  <r>
    <s v="Monday, January 11, 2021"/>
    <x v="4"/>
    <x v="592"/>
    <n v="89.303496999999993"/>
    <n v="89.715751999999995"/>
    <n v="88.026000999999994"/>
    <n v="88.335999000000001"/>
    <n v="24194000"/>
    <n v="0"/>
    <n v="-2.02"/>
    <x v="1"/>
    <n v="-2.2918153673679449E-2"/>
    <s v=""/>
  </r>
  <r>
    <s v="Tuesday, January 12, 2021"/>
    <x v="0"/>
    <x v="593"/>
    <n v="87.695999"/>
    <n v="88.902000000000001"/>
    <n v="86.265502999999995"/>
    <n v="87.327499000000003"/>
    <n v="27140000"/>
    <n v="0"/>
    <n v="-1.01"/>
    <x v="1"/>
    <n v="-1.1548481423932659E-2"/>
    <s v=""/>
  </r>
  <r>
    <s v="Wednesday, January 13, 2021"/>
    <x v="1"/>
    <x v="594"/>
    <n v="86.929001"/>
    <n v="88.251746999999995"/>
    <n v="86.900497000000001"/>
    <n v="87.720000999999996"/>
    <n v="21882000"/>
    <n v="0"/>
    <n v="0.39"/>
    <x v="2"/>
    <n v="4.4744869530951468E-3"/>
    <s v=""/>
  </r>
  <r>
    <s v="Thursday, January 14, 2021"/>
    <x v="2"/>
    <x v="595"/>
    <n v="87.680999999999997"/>
    <n v="88.750504000000006"/>
    <n v="86.669998000000007"/>
    <n v="87.009003000000007"/>
    <n v="23590000"/>
    <n v="0"/>
    <n v="-0.71"/>
    <x v="1"/>
    <n v="-8.1715451905590656E-3"/>
    <s v=""/>
  </r>
  <r>
    <s v="Friday, January 15, 2021"/>
    <x v="3"/>
    <x v="596"/>
    <n v="86.909499999999994"/>
    <n v="87.800003000000004"/>
    <n v="86.077499000000003"/>
    <n v="86.809501999999995"/>
    <n v="26844000"/>
    <n v="0"/>
    <n v="-0.2"/>
    <x v="1"/>
    <n v="-2.2981470392493689E-3"/>
    <s v=""/>
  </r>
  <r>
    <s v="Tuesday, January 19, 2021"/>
    <x v="0"/>
    <x v="597"/>
    <n v="87.612503000000004"/>
    <n v="90.463752999999997"/>
    <n v="87.072997999999998"/>
    <n v="89.542998999999995"/>
    <n v="34692000"/>
    <n v="0"/>
    <n v="2.73"/>
    <x v="2"/>
    <n v="3.0527199563642044E-2"/>
    <s v=""/>
  </r>
  <r>
    <s v="Wednesday, January 20, 2021"/>
    <x v="1"/>
    <x v="598"/>
    <n v="91.572997999999998"/>
    <n v="95.185501000000002"/>
    <n v="91.276497000000006"/>
    <n v="94.345000999999996"/>
    <n v="49806000"/>
    <n v="0"/>
    <n v="4.8"/>
    <x v="2"/>
    <n v="5.0898319456268826E-2"/>
    <n v="5.0898319456268826E-2"/>
  </r>
  <r>
    <s v="Thursday, January 21, 2021"/>
    <x v="2"/>
    <x v="599"/>
    <n v="94.900002000000001"/>
    <n v="96.742996000000005"/>
    <n v="94.355498999999995"/>
    <n v="94.5625"/>
    <n v="41278000"/>
    <n v="0"/>
    <n v="0.22"/>
    <x v="2"/>
    <n v="2.300055518836787E-3"/>
    <s v=""/>
  </r>
  <r>
    <s v="Friday, January 22, 2021"/>
    <x v="3"/>
    <x v="600"/>
    <n v="94.783996999999999"/>
    <n v="95.547500999999997"/>
    <n v="94.087997000000001"/>
    <n v="95.052498"/>
    <n v="25442000"/>
    <n v="0"/>
    <n v="0.49"/>
    <x v="2"/>
    <n v="5.1550249631524669E-3"/>
    <s v=""/>
  </r>
  <r>
    <s v="Monday, January 25, 2021"/>
    <x v="4"/>
    <x v="601"/>
    <n v="96.033501000000001"/>
    <n v="96.478995999999995"/>
    <n v="93.376503"/>
    <n v="94.970000999999996"/>
    <n v="38546000"/>
    <n v="0"/>
    <n v="-0.08"/>
    <x v="1"/>
    <n v="-8.6866377941813018E-4"/>
    <s v=""/>
  </r>
  <r>
    <s v="Tuesday, January 26, 2021"/>
    <x v="0"/>
    <x v="602"/>
    <n v="94.442001000000005"/>
    <n v="96.25"/>
    <n v="94.212249999999997"/>
    <n v="95.861999999999995"/>
    <n v="26262000"/>
    <n v="0"/>
    <n v="0.89"/>
    <x v="2"/>
    <n v="9.3050322338361236E-3"/>
    <s v=""/>
  </r>
  <r>
    <s v="Wednesday, January 27, 2021"/>
    <x v="1"/>
    <x v="603"/>
    <n v="94.126503"/>
    <n v="94.5"/>
    <n v="90.449996999999996"/>
    <n v="91.539496999999997"/>
    <n v="54966000"/>
    <n v="0"/>
    <n v="-4.32"/>
    <x v="1"/>
    <n v="-4.7220086865891318E-2"/>
    <s v=""/>
  </r>
  <r>
    <s v="Thursday, January 28, 2021"/>
    <x v="2"/>
    <x v="604"/>
    <n v="92.196999000000005"/>
    <n v="94.941497999999996"/>
    <n v="92.132003999999995"/>
    <n v="93.155501999999998"/>
    <n v="35462000"/>
    <n v="0"/>
    <n v="1.62"/>
    <x v="2"/>
    <n v="1.7347391891033997E-2"/>
    <s v=""/>
  </r>
  <r>
    <s v="Friday, January 29, 2021"/>
    <x v="3"/>
    <x v="605"/>
    <n v="92.308502000000004"/>
    <n v="92.863997999999995"/>
    <n v="90.510002"/>
    <n v="91.787002999999999"/>
    <n v="32252000"/>
    <n v="0"/>
    <n v="-1.37"/>
    <x v="1"/>
    <n v="-1.4909507395072045E-2"/>
    <s v=""/>
  </r>
  <r>
    <s v="Monday, February 1, 2021"/>
    <x v="4"/>
    <x v="606"/>
    <n v="92.678496999999993"/>
    <n v="96.119597999999996"/>
    <n v="92.546501000000006"/>
    <n v="95.067497000000003"/>
    <n v="32044000"/>
    <n v="0"/>
    <n v="3.28"/>
    <x v="2"/>
    <n v="3.4506998748478721E-2"/>
    <s v=""/>
  </r>
  <r>
    <s v="Tuesday, February 2, 2021"/>
    <x v="0"/>
    <x v="607"/>
    <n v="96.127998000000005"/>
    <n v="97.788002000000006"/>
    <n v="95.724502999999999"/>
    <n v="96.375504000000006"/>
    <n v="45474000"/>
    <n v="0"/>
    <n v="1.31"/>
    <x v="2"/>
    <n v="1.3571986093063683E-2"/>
    <s v=""/>
  </r>
  <r>
    <s v="Wednesday, February 3, 2021"/>
    <x v="1"/>
    <x v="608"/>
    <n v="103.650002"/>
    <n v="105.824997"/>
    <n v="100.918999"/>
    <n v="103.503502"/>
    <n v="82364000"/>
    <n v="0"/>
    <n v="7.13"/>
    <x v="2"/>
    <n v="6.88672157199086E-2"/>
    <n v="6.88672157199086E-2"/>
  </r>
  <r>
    <s v="Thursday, February 4, 2021"/>
    <x v="2"/>
    <x v="609"/>
    <n v="103.44450399999999"/>
    <n v="103.927498"/>
    <n v="102.129501"/>
    <n v="103.1185"/>
    <n v="37046000"/>
    <n v="0"/>
    <n v="-0.39"/>
    <x v="1"/>
    <n v="-3.7335880564593167E-3"/>
    <s v=""/>
  </r>
  <r>
    <s v="Friday, February 5, 2021"/>
    <x v="3"/>
    <x v="610"/>
    <n v="103.5"/>
    <n v="105.12550400000001"/>
    <n v="102.966499"/>
    <n v="104.900002"/>
    <n v="30702000"/>
    <n v="0"/>
    <n v="1.78"/>
    <x v="2"/>
    <n v="1.6982859542748179E-2"/>
    <s v=""/>
  </r>
  <r>
    <s v="Monday, February 8, 2021"/>
    <x v="4"/>
    <x v="611"/>
    <n v="105.295502"/>
    <n v="106.177353"/>
    <n v="103.599998"/>
    <n v="104.6455"/>
    <n v="24838000"/>
    <n v="0"/>
    <n v="-0.25"/>
    <x v="1"/>
    <n v="-2.4320396003650632E-3"/>
    <s v=""/>
  </r>
  <r>
    <s v="Tuesday, February 9, 2021"/>
    <x v="0"/>
    <x v="612"/>
    <n v="103.927002"/>
    <n v="105.2565"/>
    <n v="103.927002"/>
    <n v="104.175499"/>
    <n v="17798000"/>
    <n v="0"/>
    <n v="-0.47"/>
    <x v="1"/>
    <n v="-4.5116270573371227E-3"/>
    <s v=""/>
  </r>
  <r>
    <s v="Wednesday, February 10, 2021"/>
    <x v="1"/>
    <x v="613"/>
    <n v="104.710503"/>
    <n v="105.418503"/>
    <n v="103.15450300000001"/>
    <n v="104.768997"/>
    <n v="22710000"/>
    <n v="0"/>
    <n v="0.59"/>
    <x v="2"/>
    <n v="5.664824680912014E-3"/>
    <s v=""/>
  </r>
  <r>
    <s v="Thursday, February 11, 2021"/>
    <x v="2"/>
    <x v="614"/>
    <n v="104.97550200000001"/>
    <n v="105.101501"/>
    <n v="103.86599699999999"/>
    <n v="104.79450199999999"/>
    <n v="18914000"/>
    <n v="0"/>
    <n v="0.03"/>
    <x v="2"/>
    <n v="2.4338108882845255E-4"/>
    <s v=""/>
  </r>
  <r>
    <s v="Friday, February 12, 2021"/>
    <x v="3"/>
    <x v="615"/>
    <n v="104.512497"/>
    <n v="105.441002"/>
    <n v="104.156502"/>
    <n v="105.20549800000001"/>
    <n v="17114000"/>
    <n v="0"/>
    <n v="0.41"/>
    <x v="2"/>
    <n v="3.9066019154247187E-3"/>
    <s v=""/>
  </r>
  <r>
    <s v="Tuesday, February 16, 2021"/>
    <x v="0"/>
    <x v="616"/>
    <n v="105.218002"/>
    <n v="107.63400300000001"/>
    <n v="105.218002"/>
    <n v="106.095001"/>
    <n v="22676000"/>
    <n v="0"/>
    <n v="0.89"/>
    <x v="2"/>
    <n v="8.3840236732736408E-3"/>
    <s v=""/>
  </r>
  <r>
    <s v="Wednesday, February 17, 2021"/>
    <x v="1"/>
    <x v="617"/>
    <n v="105"/>
    <n v="106.682999"/>
    <n v="104.945999"/>
    <n v="106.415497"/>
    <n v="21418000"/>
    <n v="0"/>
    <n v="0.32"/>
    <x v="2"/>
    <n v="3.0117417954642982E-3"/>
    <s v=""/>
  </r>
  <r>
    <s v="Thursday, February 18, 2021"/>
    <x v="2"/>
    <x v="618"/>
    <n v="105.51950100000001"/>
    <n v="106.63674899999999"/>
    <n v="105.185501"/>
    <n v="105.860001"/>
    <n v="22432000"/>
    <n v="0"/>
    <n v="-0.56000000000000005"/>
    <x v="1"/>
    <n v="-5.2474588584219368E-3"/>
    <s v=""/>
  </r>
  <r>
    <s v="Friday, February 19, 2021"/>
    <x v="3"/>
    <x v="619"/>
    <n v="105.96350099999999"/>
    <n v="106.52649700000001"/>
    <n v="104.870499"/>
    <n v="105.056999"/>
    <n v="29148000"/>
    <n v="0"/>
    <n v="-0.8"/>
    <x v="1"/>
    <n v="-7.6434888455170153E-3"/>
    <s v=""/>
  </r>
  <r>
    <s v="Monday, February 22, 2021"/>
    <x v="4"/>
    <x v="620"/>
    <n v="103.349998"/>
    <n v="104.570999"/>
    <n v="103.10700199999999"/>
    <n v="103.24400300000001"/>
    <n v="27350000"/>
    <n v="0"/>
    <n v="-1.81"/>
    <x v="1"/>
    <n v="-1.7560303236208288E-2"/>
    <s v=""/>
  </r>
  <r>
    <s v="Tuesday, February 23, 2021"/>
    <x v="0"/>
    <x v="621"/>
    <n v="101.25050400000001"/>
    <n v="104.10050200000001"/>
    <n v="100.100998"/>
    <n v="103.54299899999999"/>
    <n v="33348000"/>
    <n v="0"/>
    <n v="0.3"/>
    <x v="2"/>
    <n v="2.8876505692093028E-3"/>
    <s v=""/>
  </r>
  <r>
    <s v="Wednesday, February 24, 2021"/>
    <x v="1"/>
    <x v="622"/>
    <n v="102.091499"/>
    <n v="105.039001"/>
    <n v="101.906502"/>
    <n v="104.758499"/>
    <n v="24966000"/>
    <n v="0"/>
    <n v="1.22"/>
    <x v="2"/>
    <n v="1.1602877204263931E-2"/>
    <s v=""/>
  </r>
  <r>
    <s v="Thursday, February 25, 2021"/>
    <x v="2"/>
    <x v="623"/>
    <n v="103.37249799999999"/>
    <n v="104.74400300000001"/>
    <n v="101.064499"/>
    <n v="101.568001"/>
    <n v="36568000"/>
    <n v="0"/>
    <n v="-3.19"/>
    <x v="1"/>
    <n v="-3.1412432740504613E-2"/>
    <s v=""/>
  </r>
  <r>
    <s v="Friday, February 26, 2021"/>
    <x v="3"/>
    <x v="624"/>
    <n v="102.52600099999999"/>
    <n v="103.550499"/>
    <n v="100.80300099999999"/>
    <n v="101.843002"/>
    <n v="41670000"/>
    <n v="0"/>
    <n v="0.28000000000000003"/>
    <x v="2"/>
    <n v="2.7002444409484627E-3"/>
    <s v=""/>
  </r>
  <r>
    <s v="Monday, March 1, 2021"/>
    <x v="4"/>
    <x v="625"/>
    <n v="102.825996"/>
    <n v="104.325996"/>
    <n v="102.30500000000001"/>
    <n v="104.07550000000001"/>
    <n v="28090000"/>
    <n v="0"/>
    <n v="2.23"/>
    <x v="2"/>
    <n v="2.1450754500338759E-2"/>
    <s v=""/>
  </r>
  <r>
    <s v="Tuesday, March 2, 2021"/>
    <x v="0"/>
    <x v="626"/>
    <n v="103.80950199999999"/>
    <n v="105.218498"/>
    <n v="103.56300400000001"/>
    <n v="103.792"/>
    <n v="22692000"/>
    <n v="0"/>
    <n v="-0.28000000000000003"/>
    <x v="1"/>
    <n v="-2.7314243872360454E-3"/>
    <s v=""/>
  </r>
  <r>
    <s v="Wednesday, March 3, 2021"/>
    <x v="1"/>
    <x v="627"/>
    <n v="103.360497"/>
    <n v="104.42590300000001"/>
    <n v="100.5"/>
    <n v="101.335503"/>
    <n v="29684000"/>
    <n v="0"/>
    <n v="-2.46"/>
    <x v="1"/>
    <n v="-2.4241227677135019E-2"/>
    <s v=""/>
  </r>
  <r>
    <s v="Thursday, March 4, 2021"/>
    <x v="2"/>
    <x v="628"/>
    <n v="101.168503"/>
    <n v="104.46199799999999"/>
    <n v="101.013496"/>
    <n v="102.454498"/>
    <n v="42360000"/>
    <n v="0"/>
    <n v="1.1200000000000001"/>
    <x v="2"/>
    <n v="1.092187284935014E-2"/>
    <s v=""/>
  </r>
  <r>
    <s v="Friday, March 5, 2021"/>
    <x v="3"/>
    <x v="629"/>
    <n v="103.655998"/>
    <n v="105.905502"/>
    <n v="102.320747"/>
    <n v="105.427002"/>
    <n v="43904000"/>
    <n v="0"/>
    <n v="2.97"/>
    <x v="2"/>
    <n v="2.8194902099179492E-2"/>
    <s v=""/>
  </r>
  <r>
    <s v="Monday, March 8, 2021"/>
    <x v="4"/>
    <x v="630"/>
    <n v="105.05650300000001"/>
    <n v="106.44049800000001"/>
    <n v="101.08049800000001"/>
    <n v="101.208504"/>
    <n v="32948000"/>
    <n v="0"/>
    <n v="-4.22"/>
    <x v="1"/>
    <n v="-4.1681260301999888E-2"/>
    <s v=""/>
  </r>
  <r>
    <s v="Tuesday, March 9, 2021"/>
    <x v="0"/>
    <x v="631"/>
    <n v="103.5"/>
    <n v="103.902"/>
    <n v="102.391502"/>
    <n v="102.635002"/>
    <n v="33946000"/>
    <n v="0"/>
    <n v="1.43"/>
    <x v="2"/>
    <n v="1.389874771961319E-2"/>
    <s v=""/>
  </r>
  <r>
    <s v="Wednesday, March 10, 2021"/>
    <x v="1"/>
    <x v="632"/>
    <n v="103.587997"/>
    <n v="103.75"/>
    <n v="101.668503"/>
    <n v="102.751503"/>
    <n v="25372000"/>
    <n v="0"/>
    <n v="0.12"/>
    <x v="2"/>
    <n v="1.1338130985782224E-3"/>
    <s v=""/>
  </r>
  <r>
    <s v="Thursday, March 11, 2021"/>
    <x v="2"/>
    <x v="633"/>
    <n v="103.703003"/>
    <n v="106.285004"/>
    <n v="103.61900300000001"/>
    <n v="105.73850299999999"/>
    <n v="24782000"/>
    <n v="0"/>
    <n v="2.99"/>
    <x v="2"/>
    <n v="2.8248934070874778E-2"/>
    <s v=""/>
  </r>
  <r>
    <s v="Friday, March 12, 2021"/>
    <x v="3"/>
    <x v="634"/>
    <n v="104.25"/>
    <n v="104.51300000000001"/>
    <n v="102.37750200000001"/>
    <n v="103.096001"/>
    <n v="34516000"/>
    <n v="0"/>
    <n v="-2.64"/>
    <x v="1"/>
    <n v="-2.5631469449527856E-2"/>
    <s v=""/>
  </r>
  <r>
    <s v="Monday, March 15, 2021"/>
    <x v="4"/>
    <x v="635"/>
    <n v="103.114998"/>
    <n v="103.352997"/>
    <n v="102.175499"/>
    <n v="103.324501"/>
    <n v="25962000"/>
    <n v="0"/>
    <n v="0.23"/>
    <x v="2"/>
    <n v="2.2114793469943475E-3"/>
    <s v=""/>
  </r>
  <r>
    <s v="Tuesday, March 16, 2021"/>
    <x v="0"/>
    <x v="636"/>
    <n v="103.949501"/>
    <n v="106.17800099999999"/>
    <n v="103.5"/>
    <n v="104.62599899999999"/>
    <n v="29832000"/>
    <n v="0"/>
    <n v="1.3"/>
    <x v="2"/>
    <n v="1.2439527578608786E-2"/>
    <s v=""/>
  </r>
  <r>
    <s v="Wednesday, March 17, 2021"/>
    <x v="1"/>
    <x v="637"/>
    <n v="103.801498"/>
    <n v="105.488998"/>
    <n v="102.699997"/>
    <n v="104.554001"/>
    <n v="25980000"/>
    <n v="0"/>
    <n v="-7.0000000000000007E-2"/>
    <x v="1"/>
    <n v="-6.8862022793363565E-4"/>
    <s v=""/>
  </r>
  <r>
    <s v="Thursday, March 18, 2021"/>
    <x v="2"/>
    <x v="638"/>
    <n v="103.050003"/>
    <n v="103.775002"/>
    <n v="101.677498"/>
    <n v="101.810997"/>
    <n v="27228000"/>
    <n v="0"/>
    <n v="-2.74"/>
    <x v="1"/>
    <n v="-2.6942119032583475E-2"/>
    <s v=""/>
  </r>
  <r>
    <s v="Friday, March 19, 2021"/>
    <x v="3"/>
    <x v="639"/>
    <n v="102.102501"/>
    <n v="102.654999"/>
    <n v="100.88400300000001"/>
    <n v="102.160004"/>
    <n v="46298000"/>
    <n v="0"/>
    <n v="0.35"/>
    <x v="2"/>
    <n v="3.4162782530822952E-3"/>
    <s v=""/>
  </r>
  <r>
    <s v="Monday, March 22, 2021"/>
    <x v="4"/>
    <x v="640"/>
    <n v="102.09200300000001"/>
    <n v="102.89949799999999"/>
    <n v="101.30349699999999"/>
    <n v="101.929497"/>
    <n v="39096000"/>
    <n v="0"/>
    <n v="-0.23"/>
    <x v="1"/>
    <n v="-2.2614356666549912E-3"/>
    <s v=""/>
  </r>
  <r>
    <s v="Tuesday, March 23, 2021"/>
    <x v="0"/>
    <x v="641"/>
    <n v="102.584999"/>
    <n v="103.61509700000001"/>
    <n v="101.960999"/>
    <n v="102.648003"/>
    <n v="27340000"/>
    <n v="0"/>
    <n v="0.72"/>
    <x v="2"/>
    <n v="6.9997075344953854E-3"/>
    <s v=""/>
  </r>
  <r>
    <s v="Wednesday, March 24, 2021"/>
    <x v="1"/>
    <x v="642"/>
    <n v="103.268501"/>
    <n v="103.9105"/>
    <n v="102.07775100000001"/>
    <n v="102.25299800000001"/>
    <n v="23080000"/>
    <n v="0"/>
    <n v="-0.4"/>
    <x v="1"/>
    <n v="-3.8630163195801613E-3"/>
    <s v=""/>
  </r>
  <r>
    <s v="Thursday, March 25, 2021"/>
    <x v="2"/>
    <x v="643"/>
    <n v="102.24050099999999"/>
    <n v="102.94349699999999"/>
    <n v="100.53649900000001"/>
    <n v="102.218002"/>
    <n v="28378000"/>
    <n v="0"/>
    <n v="-0.03"/>
    <x v="1"/>
    <n v="-3.4236630843172507E-4"/>
    <s v=""/>
  </r>
  <r>
    <s v="Friday, March 26, 2021"/>
    <x v="3"/>
    <x v="644"/>
    <n v="101.943001"/>
    <n v="102.54949999999999"/>
    <n v="100.700996"/>
    <n v="101.777496"/>
    <n v="29870000"/>
    <n v="0"/>
    <n v="-0.44"/>
    <x v="1"/>
    <n v="-4.3281277032007071E-3"/>
    <s v=""/>
  </r>
  <r>
    <s v="Monday, March 29, 2021"/>
    <x v="4"/>
    <x v="645"/>
    <n v="101.393997"/>
    <n v="102.92150100000001"/>
    <n v="100.780998"/>
    <n v="102.797501"/>
    <n v="24596000"/>
    <n v="0"/>
    <n v="1.02"/>
    <x v="2"/>
    <n v="9.9224688351130016E-3"/>
    <s v=""/>
  </r>
  <r>
    <s v="Tuesday, March 30, 2021"/>
    <x v="0"/>
    <x v="646"/>
    <n v="102.8815"/>
    <n v="103.539001"/>
    <n v="102.2015"/>
    <n v="102.777"/>
    <n v="20732000"/>
    <n v="0"/>
    <n v="-0.02"/>
    <x v="1"/>
    <n v="-1.9947069869713928E-4"/>
    <s v=""/>
  </r>
  <r>
    <s v="Wednesday, March 31, 2021"/>
    <x v="1"/>
    <x v="647"/>
    <n v="102.956001"/>
    <n v="104.66635100000001"/>
    <n v="102.83725"/>
    <n v="103.43150300000001"/>
    <n v="29198000"/>
    <n v="0"/>
    <n v="0.65"/>
    <x v="2"/>
    <n v="6.3278883223809035E-3"/>
    <s v=""/>
  </r>
  <r>
    <s v="Thursday, April 1, 2021"/>
    <x v="2"/>
    <x v="648"/>
    <n v="104.897499"/>
    <n v="107.147003"/>
    <n v="104.844498"/>
    <n v="106.887497"/>
    <n v="33980000"/>
    <n v="0"/>
    <n v="3.46"/>
    <x v="2"/>
    <n v="3.2333005234466194E-2"/>
    <s v=""/>
  </r>
  <r>
    <s v="Monday, April 5, 2021"/>
    <x v="4"/>
    <x v="649"/>
    <n v="107.647003"/>
    <n v="111.86550099999999"/>
    <n v="107.581001"/>
    <n v="111.277496"/>
    <n v="43298000"/>
    <n v="0"/>
    <n v="4.3899999999999997"/>
    <x v="2"/>
    <n v="3.9450914675506384E-2"/>
    <s v=""/>
  </r>
  <r>
    <s v="Tuesday, April 6, 2021"/>
    <x v="0"/>
    <x v="650"/>
    <n v="111.125"/>
    <n v="111.883003"/>
    <n v="110.739998"/>
    <n v="111.237503"/>
    <n v="27060000"/>
    <n v="0"/>
    <n v="-0.04"/>
    <x v="1"/>
    <n v="-3.5952802716180624E-4"/>
    <s v=""/>
  </r>
  <r>
    <s v="Wednesday, April 7, 2021"/>
    <x v="1"/>
    <x v="651"/>
    <n v="111.30650300000001"/>
    <n v="112.75"/>
    <n v="111.266502"/>
    <n v="112.48400100000001"/>
    <n v="25798000"/>
    <n v="0"/>
    <n v="1.25"/>
    <x v="2"/>
    <n v="1.1081558167547778E-2"/>
    <s v=""/>
  </r>
  <r>
    <s v="Thursday, April 8, 2021"/>
    <x v="2"/>
    <x v="652"/>
    <n v="113.898003"/>
    <n v="114.200249"/>
    <n v="112.88400300000001"/>
    <n v="113.272003"/>
    <n v="27166000"/>
    <n v="0"/>
    <n v="0.79"/>
    <x v="2"/>
    <n v="6.9567234544267009E-3"/>
    <s v=""/>
  </r>
  <r>
    <s v="Friday, April 9, 2021"/>
    <x v="3"/>
    <x v="653"/>
    <n v="112.834999"/>
    <n v="114.452003"/>
    <n v="112.685699"/>
    <n v="114.293999"/>
    <n v="20888000"/>
    <n v="0"/>
    <n v="1.02"/>
    <x v="2"/>
    <n v="8.9418167965231617E-3"/>
    <s v=""/>
  </r>
  <r>
    <s v="Monday, April 12, 2021"/>
    <x v="4"/>
    <x v="654"/>
    <n v="113.3125"/>
    <n v="113.76599899999999"/>
    <n v="111.923248"/>
    <n v="112.739502"/>
    <n v="31318000"/>
    <n v="0"/>
    <n v="-1.55"/>
    <x v="1"/>
    <n v="-1.3788396901025851E-2"/>
    <s v=""/>
  </r>
  <r>
    <s v="Tuesday, April 13, 2021"/>
    <x v="0"/>
    <x v="655"/>
    <n v="113.073502"/>
    <n v="113.860497"/>
    <n v="112.804497"/>
    <n v="113.36350299999999"/>
    <n v="23310000"/>
    <n v="0"/>
    <n v="0.62"/>
    <x v="2"/>
    <n v="5.5044258821112186E-3"/>
    <s v=""/>
  </r>
  <r>
    <s v="Wednesday, April 14, 2021"/>
    <x v="1"/>
    <x v="656"/>
    <n v="113.758003"/>
    <n v="113.89949799999999"/>
    <n v="112.459503"/>
    <n v="112.741997"/>
    <n v="20220000"/>
    <n v="0"/>
    <n v="-0.62"/>
    <x v="1"/>
    <n v="-5.5126396244337995E-3"/>
    <s v=""/>
  </r>
  <r>
    <s v="Thursday, April 15, 2021"/>
    <x v="2"/>
    <x v="657"/>
    <n v="113.84899900000001"/>
    <n v="115.329849"/>
    <n v="113.300003"/>
    <n v="114.833"/>
    <n v="27472000"/>
    <n v="0"/>
    <n v="2.09"/>
    <x v="2"/>
    <n v="1.8209077529978322E-2"/>
    <s v=""/>
  </r>
  <r>
    <s v="Friday, April 16, 2021"/>
    <x v="3"/>
    <x v="658"/>
    <n v="115.150002"/>
    <n v="115.32199900000001"/>
    <n v="114.222504"/>
    <n v="114.88800000000001"/>
    <n v="22596000"/>
    <n v="0"/>
    <n v="0.06"/>
    <x v="2"/>
    <n v="4.7872710814016102E-4"/>
    <s v=""/>
  </r>
  <r>
    <s v="Monday, April 19, 2021"/>
    <x v="4"/>
    <x v="659"/>
    <n v="114.59899900000001"/>
    <n v="115.922501"/>
    <n v="114.39225"/>
    <n v="115.120003"/>
    <n v="24688000"/>
    <n v="0"/>
    <n v="0.23"/>
    <x v="2"/>
    <n v="2.0153144019635907E-3"/>
    <s v=""/>
  </r>
  <r>
    <s v="Tuesday, April 20, 2021"/>
    <x v="0"/>
    <x v="660"/>
    <n v="115.39450100000001"/>
    <n v="115.480003"/>
    <n v="113.585503"/>
    <n v="114.68150300000001"/>
    <n v="21774000"/>
    <n v="0"/>
    <n v="-0.44"/>
    <x v="1"/>
    <n v="-3.8236331799731517E-3"/>
    <s v=""/>
  </r>
  <r>
    <s v="Wednesday, April 21, 2021"/>
    <x v="1"/>
    <x v="661"/>
    <n v="114.262497"/>
    <n v="114.76599899999999"/>
    <n v="112.92849699999999"/>
    <n v="114.664497"/>
    <n v="23930000"/>
    <n v="0"/>
    <n v="-0.02"/>
    <x v="1"/>
    <n v="-1.4831094580224934E-4"/>
    <s v=""/>
  </r>
  <r>
    <s v="Thursday, April 22, 2021"/>
    <x v="2"/>
    <x v="662"/>
    <n v="114.66149900000001"/>
    <n v="115.188103"/>
    <n v="112.822502"/>
    <n v="113.396004"/>
    <n v="21096000"/>
    <n v="0"/>
    <n v="-1.27"/>
    <x v="1"/>
    <n v="-1.1186399478415415E-2"/>
    <s v=""/>
  </r>
  <r>
    <s v="Friday, April 23, 2021"/>
    <x v="3"/>
    <x v="663"/>
    <n v="114.1735"/>
    <n v="116.291"/>
    <n v="113.9105"/>
    <n v="115.764999"/>
    <n v="28670000"/>
    <n v="0"/>
    <n v="2.37"/>
    <x v="2"/>
    <n v="2.0463827758509273E-2"/>
    <s v=""/>
  </r>
  <r>
    <s v="Monday, April 26, 2021"/>
    <x v="4"/>
    <x v="664"/>
    <n v="115.996498"/>
    <n v="117.06300400000001"/>
    <n v="115.692001"/>
    <n v="116.33699799999999"/>
    <n v="20834000"/>
    <n v="0"/>
    <n v="0.56999999999999995"/>
    <x v="2"/>
    <n v="4.9167419637215588E-3"/>
    <s v=""/>
  </r>
  <r>
    <s v="Tuesday, April 27, 2021"/>
    <x v="0"/>
    <x v="665"/>
    <n v="116.800003"/>
    <n v="116.87249799999999"/>
    <n v="115.21350099999999"/>
    <n v="115.356003"/>
    <n v="31972000"/>
    <n v="0"/>
    <n v="-0.98"/>
    <x v="1"/>
    <n v="-8.5040654537934437E-3"/>
    <s v=""/>
  </r>
  <r>
    <s v="Wednesday, April 28, 2021"/>
    <x v="1"/>
    <x v="666"/>
    <n v="120.357246"/>
    <n v="122.61889600000001"/>
    <n v="118.74250000000001"/>
    <n v="118.995499"/>
    <n v="59728000"/>
    <n v="0"/>
    <n v="3.64"/>
    <x v="2"/>
    <n v="3.0585156838579198E-2"/>
    <s v=""/>
  </r>
  <r>
    <s v="Thursday, April 29, 2021"/>
    <x v="2"/>
    <x v="667"/>
    <n v="120.516502"/>
    <n v="121.825996"/>
    <n v="120.113998"/>
    <n v="121.494499"/>
    <n v="39554000"/>
    <n v="0"/>
    <n v="2.5"/>
    <x v="2"/>
    <n v="2.0568832503272509E-2"/>
    <s v=""/>
  </r>
  <r>
    <s v="Friday, April 30, 2021"/>
    <x v="3"/>
    <x v="668"/>
    <n v="120.224503"/>
    <n v="121.35700199999999"/>
    <n v="120.108002"/>
    <n v="120.50599699999999"/>
    <n v="39142000"/>
    <n v="0"/>
    <n v="-0.99"/>
    <x v="1"/>
    <n v="-8.2029278592667156E-3"/>
    <s v=""/>
  </r>
  <r>
    <s v="Monday, May 3, 2021"/>
    <x v="4"/>
    <x v="669"/>
    <n v="120.136002"/>
    <n v="120.985001"/>
    <n v="119.224998"/>
    <n v="119.758499"/>
    <n v="33788000"/>
    <n v="0"/>
    <n v="-0.75"/>
    <x v="1"/>
    <n v="-6.2417114964007118E-3"/>
    <s v=""/>
  </r>
  <r>
    <s v="Tuesday, May 4, 2021"/>
    <x v="0"/>
    <x v="670"/>
    <n v="118.48699999999999"/>
    <n v="118.962997"/>
    <n v="115.584999"/>
    <n v="117.712502"/>
    <n v="35120000"/>
    <n v="0"/>
    <n v="-2.0499999999999998"/>
    <x v="1"/>
    <n v="-1.7381305853136991E-2"/>
    <s v=""/>
  </r>
  <r>
    <s v="Wednesday, May 5, 2021"/>
    <x v="1"/>
    <x v="671"/>
    <n v="118.420998"/>
    <n v="119.110001"/>
    <n v="117.570503"/>
    <n v="117.83699799999999"/>
    <n v="21806000"/>
    <n v="0"/>
    <n v="0.12"/>
    <x v="2"/>
    <n v="1.0565102821101528E-3"/>
    <s v=""/>
  </r>
  <r>
    <s v="Thursday, May 6, 2021"/>
    <x v="2"/>
    <x v="672"/>
    <n v="117.531998"/>
    <n v="119.135498"/>
    <n v="117.11689800000001"/>
    <n v="119.067497"/>
    <n v="20618000"/>
    <n v="0"/>
    <n v="1.23"/>
    <x v="2"/>
    <n v="1.0334466004605849E-2"/>
    <s v=""/>
  </r>
  <r>
    <s v="Friday, May 7, 2021"/>
    <x v="3"/>
    <x v="673"/>
    <n v="120"/>
    <n v="120.820503"/>
    <n v="119.5"/>
    <n v="119.93450199999999"/>
    <n v="23272000"/>
    <n v="0"/>
    <n v="0.87"/>
    <x v="2"/>
    <n v="7.2289873684554242E-3"/>
    <s v=""/>
  </r>
  <r>
    <s v="Monday, May 10, 2021"/>
    <x v="4"/>
    <x v="674"/>
    <n v="118.744499"/>
    <n v="118.900002"/>
    <n v="116.736504"/>
    <n v="117.083"/>
    <n v="26006000"/>
    <n v="0"/>
    <n v="-2.85"/>
    <x v="1"/>
    <n v="-2.4354534817180945E-2"/>
    <s v=""/>
  </r>
  <r>
    <s v="Tuesday, May 11, 2021"/>
    <x v="0"/>
    <x v="675"/>
    <n v="114.593002"/>
    <n v="116.099998"/>
    <n v="114.150002"/>
    <n v="115.43800400000001"/>
    <n v="32110000"/>
    <n v="0"/>
    <n v="-1.64"/>
    <x v="1"/>
    <n v="-1.4250038488191391E-2"/>
    <s v=""/>
  </r>
  <r>
    <s v="Wednesday, May 12, 2021"/>
    <x v="1"/>
    <x v="676"/>
    <n v="113.085503"/>
    <n v="114.268501"/>
    <n v="111.50250200000001"/>
    <n v="111.954002"/>
    <n v="34934000"/>
    <n v="0"/>
    <n v="-3.48"/>
    <x v="1"/>
    <n v="-3.1119941563143082E-2"/>
    <s v=""/>
  </r>
  <r>
    <s v="Thursday, May 13, 2021"/>
    <x v="2"/>
    <x v="677"/>
    <n v="113.054497"/>
    <n v="113.83004800000001"/>
    <n v="112.136002"/>
    <n v="113.09850299999999"/>
    <n v="26670000"/>
    <n v="0"/>
    <n v="1.1399999999999999"/>
    <x v="2"/>
    <n v="1.011950617949374E-2"/>
    <s v=""/>
  </r>
  <r>
    <s v="Friday, May 14, 2021"/>
    <x v="3"/>
    <x v="678"/>
    <n v="114.591499"/>
    <n v="116.056999"/>
    <n v="114.166"/>
    <n v="115.807999"/>
    <n v="26624000"/>
    <n v="0"/>
    <n v="2.71"/>
    <x v="2"/>
    <n v="2.3396449497413402E-2"/>
    <s v=""/>
  </r>
  <r>
    <s v="Monday, May 17, 2021"/>
    <x v="4"/>
    <x v="679"/>
    <n v="115.466003"/>
    <n v="116.167"/>
    <n v="114.75"/>
    <n v="116.070503"/>
    <n v="19842000"/>
    <n v="0"/>
    <n v="0.26"/>
    <x v="2"/>
    <n v="2.2615909573512139E-3"/>
    <s v=""/>
  </r>
  <r>
    <s v="Tuesday, May 18, 2021"/>
    <x v="0"/>
    <x v="680"/>
    <n v="116.845299"/>
    <n v="117.157501"/>
    <n v="115.15799699999999"/>
    <n v="115.17150100000001"/>
    <n v="17302000"/>
    <n v="0"/>
    <n v="-0.9"/>
    <x v="1"/>
    <n v="-7.8057678522397292E-3"/>
    <s v=""/>
  </r>
  <r>
    <s v="Wednesday, May 19, 2021"/>
    <x v="1"/>
    <x v="681"/>
    <n v="113.220001"/>
    <n v="115.837997"/>
    <n v="113.17600299999999"/>
    <n v="115.435501"/>
    <n v="19350000"/>
    <n v="0"/>
    <n v="0.26"/>
    <x v="2"/>
    <n v="2.2869914169644898E-3"/>
    <s v=""/>
  </r>
  <r>
    <s v="Thursday, May 20, 2021"/>
    <x v="2"/>
    <x v="682"/>
    <n v="116.402"/>
    <n v="118.016998"/>
    <n v="116.054497"/>
    <n v="117.804497"/>
    <n v="23832000"/>
    <n v="0"/>
    <n v="2.37"/>
    <x v="2"/>
    <n v="2.0109554900947419E-2"/>
    <s v=""/>
  </r>
  <r>
    <s v="Friday, May 21, 2021"/>
    <x v="3"/>
    <x v="683"/>
    <n v="118.29949999999999"/>
    <n v="118.449997"/>
    <n v="117.1185"/>
    <n v="117.254997"/>
    <n v="22832000"/>
    <n v="0"/>
    <n v="-0.55000000000000004"/>
    <x v="1"/>
    <n v="-4.6863674389927687E-3"/>
    <s v=""/>
  </r>
  <r>
    <s v="Monday, May 24, 2021"/>
    <x v="4"/>
    <x v="684"/>
    <n v="118.349998"/>
    <n v="120.924004"/>
    <n v="118.005501"/>
    <n v="120.333504"/>
    <n v="21244000"/>
    <n v="0"/>
    <n v="3.08"/>
    <x v="2"/>
    <n v="2.5583124380721113E-2"/>
    <s v=""/>
  </r>
  <r>
    <s v="Tuesday, May 25, 2021"/>
    <x v="0"/>
    <x v="685"/>
    <n v="121"/>
    <n v="121.64450100000001"/>
    <n v="120.14949799999999"/>
    <n v="120.45349899999999"/>
    <n v="18838000"/>
    <n v="0"/>
    <n v="0.12"/>
    <x v="2"/>
    <n v="9.9619356013882793E-4"/>
    <s v=""/>
  </r>
  <r>
    <s v="Wednesday, May 26, 2021"/>
    <x v="1"/>
    <x v="686"/>
    <n v="120.641747"/>
    <n v="122.14720199999999"/>
    <n v="120.625748"/>
    <n v="121.676498"/>
    <n v="21856000"/>
    <n v="0"/>
    <n v="1.22"/>
    <x v="2"/>
    <n v="1.0051234380529276E-2"/>
    <s v=""/>
  </r>
  <r>
    <s v="Thursday, May 27, 2021"/>
    <x v="2"/>
    <x v="687"/>
    <n v="121.84699999999999"/>
    <n v="122"/>
    <n v="120.099998"/>
    <n v="120.12550400000001"/>
    <n v="38962000"/>
    <n v="0"/>
    <n v="-1.55"/>
    <x v="1"/>
    <n v="-1.2911446348645401E-2"/>
    <s v=""/>
  </r>
  <r>
    <s v="Friday, May 28, 2021"/>
    <x v="3"/>
    <x v="688"/>
    <n v="121.098"/>
    <n v="121.406998"/>
    <n v="120.38449900000001"/>
    <n v="120.578003"/>
    <n v="24108000"/>
    <n v="0"/>
    <n v="0.45"/>
    <x v="2"/>
    <n v="3.7527491643727828E-3"/>
    <s v=""/>
  </r>
  <r>
    <s v="Tuesday, June 1, 2021"/>
    <x v="0"/>
    <x v="689"/>
    <n v="121.099998"/>
    <n v="121.898552"/>
    <n v="120.24400300000001"/>
    <n v="121.49050099999999"/>
    <n v="19166000"/>
    <n v="0"/>
    <n v="0.91"/>
    <x v="2"/>
    <n v="7.510858811916492E-3"/>
    <s v=""/>
  </r>
  <r>
    <s v="Wednesday, June 2, 2021"/>
    <x v="1"/>
    <x v="690"/>
    <n v="121.765503"/>
    <n v="122.099998"/>
    <n v="120.209999"/>
    <n v="121.064003"/>
    <n v="17158000"/>
    <n v="0"/>
    <n v="-0.43"/>
    <x v="1"/>
    <n v="-3.5229134129985372E-3"/>
    <s v=""/>
  </r>
  <r>
    <s v="Thursday, June 3, 2021"/>
    <x v="2"/>
    <x v="691"/>
    <n v="119.75099899999999"/>
    <n v="120.487251"/>
    <n v="119.141502"/>
    <n v="120.23049899999999"/>
    <n v="18346000"/>
    <n v="0"/>
    <n v="-0.83"/>
    <x v="1"/>
    <n v="-6.9325504504477269E-3"/>
    <s v=""/>
  </r>
  <r>
    <s v="Friday, June 4, 2021"/>
    <x v="3"/>
    <x v="692"/>
    <n v="121.12599899999999"/>
    <n v="122.692947"/>
    <n v="120.888496"/>
    <n v="122.587997"/>
    <n v="25948000"/>
    <n v="0"/>
    <n v="2.36"/>
    <x v="2"/>
    <n v="1.9231067132942932E-2"/>
    <s v=""/>
  </r>
  <r>
    <s v="Monday, June 7, 2021"/>
    <x v="4"/>
    <x v="693"/>
    <n v="122.566002"/>
    <n v="123.400002"/>
    <n v="122.05365"/>
    <n v="123.304497"/>
    <n v="23850000"/>
    <n v="0"/>
    <n v="0.72"/>
    <x v="2"/>
    <n v="5.8108180758403025E-3"/>
    <s v=""/>
  </r>
  <r>
    <s v="Tuesday, June 8, 2021"/>
    <x v="0"/>
    <x v="694"/>
    <n v="123.995003"/>
    <n v="124.72474699999999"/>
    <n v="123.412003"/>
    <n v="124.14250199999999"/>
    <n v="25060000"/>
    <n v="0"/>
    <n v="0.84"/>
    <x v="2"/>
    <n v="6.7503472742960783E-3"/>
    <s v=""/>
  </r>
  <r>
    <s v="Wednesday, June 9, 2021"/>
    <x v="1"/>
    <x v="695"/>
    <n v="124.974998"/>
    <n v="125.25"/>
    <n v="124.366501"/>
    <n v="124.57"/>
    <n v="20126000"/>
    <n v="0"/>
    <n v="0.43"/>
    <x v="2"/>
    <n v="3.4317893553825157E-3"/>
    <s v=""/>
  </r>
  <r>
    <s v="Thursday, June 10, 2021"/>
    <x v="2"/>
    <x v="696"/>
    <n v="124.70050000000001"/>
    <n v="126.16300200000001"/>
    <n v="124.699997"/>
    <n v="126.08000199999999"/>
    <n v="31234000"/>
    <n v="0"/>
    <n v="1.51"/>
    <x v="2"/>
    <n v="1.1976538515600595E-2"/>
    <s v=""/>
  </r>
  <r>
    <s v="Friday, June 11, 2021"/>
    <x v="3"/>
    <x v="697"/>
    <n v="126.246002"/>
    <n v="126.349503"/>
    <n v="124.914497"/>
    <n v="125.69650300000001"/>
    <n v="25240000"/>
    <n v="0"/>
    <n v="-0.38"/>
    <x v="1"/>
    <n v="-3.0509918004639021E-3"/>
    <s v=""/>
  </r>
  <r>
    <s v="Monday, June 14, 2021"/>
    <x v="4"/>
    <x v="698"/>
    <n v="125.66950199999999"/>
    <n v="126.41149900000001"/>
    <n v="125.046997"/>
    <n v="126.351997"/>
    <n v="22550000"/>
    <n v="0"/>
    <n v="0.66"/>
    <x v="2"/>
    <n v="5.1878404422843454E-3"/>
    <s v=""/>
  </r>
  <r>
    <s v="Tuesday, June 15, 2021"/>
    <x v="0"/>
    <x v="699"/>
    <n v="126.522003"/>
    <n v="126.86199999999999"/>
    <n v="125.648499"/>
    <n v="126.03299699999999"/>
    <n v="22182000"/>
    <n v="0"/>
    <n v="-0.32"/>
    <x v="1"/>
    <n v="-2.5310831892698914E-3"/>
    <s v=""/>
  </r>
  <r>
    <s v="Wednesday, June 16, 2021"/>
    <x v="1"/>
    <x v="700"/>
    <n v="126.24749799999999"/>
    <n v="126.523499"/>
    <n v="124.14994799999999"/>
    <n v="125.69650300000001"/>
    <n v="26316000"/>
    <n v="0"/>
    <n v="-0.34"/>
    <x v="1"/>
    <n v="-2.6770354939786001E-3"/>
    <s v=""/>
  </r>
  <r>
    <s v="Thursday, June 17, 2021"/>
    <x v="2"/>
    <x v="701"/>
    <n v="125.523003"/>
    <n v="127.19650300000001"/>
    <n v="125.514999"/>
    <n v="126.371002"/>
    <n v="25756000"/>
    <n v="0"/>
    <n v="0.67"/>
    <x v="2"/>
    <n v="5.3374507547229643E-3"/>
    <s v=""/>
  </r>
  <r>
    <s v="Friday, June 18, 2021"/>
    <x v="3"/>
    <x v="702"/>
    <n v="125.70549800000001"/>
    <n v="126.389"/>
    <n v="124.602997"/>
    <n v="125.567497"/>
    <n v="53306000"/>
    <n v="0"/>
    <n v="-0.8"/>
    <x v="1"/>
    <n v="-6.3989887446749159E-3"/>
    <s v=""/>
  </r>
  <r>
    <s v="Monday, June 21, 2021"/>
    <x v="4"/>
    <x v="703"/>
    <n v="125.739998"/>
    <n v="127.036751"/>
    <n v="125.134247"/>
    <n v="126.45500199999999"/>
    <n v="26256000"/>
    <n v="0"/>
    <n v="0.89"/>
    <x v="2"/>
    <n v="7.0183463363512524E-3"/>
    <s v=""/>
  </r>
  <r>
    <s v="Tuesday, June 22, 2021"/>
    <x v="0"/>
    <x v="704"/>
    <n v="126.449997"/>
    <n v="127.269997"/>
    <n v="126.02649700000001"/>
    <n v="126.99949599999999"/>
    <n v="20984000"/>
    <n v="0"/>
    <n v="0.54"/>
    <x v="2"/>
    <n v="4.2873713451587261E-3"/>
    <s v=""/>
  </r>
  <r>
    <s v="Wednesday, June 23, 2021"/>
    <x v="1"/>
    <x v="705"/>
    <n v="126.550003"/>
    <n v="127.795998"/>
    <n v="126.251999"/>
    <n v="126.461502"/>
    <n v="19694000"/>
    <n v="0"/>
    <n v="-0.54"/>
    <x v="1"/>
    <n v="-4.2542116888663684E-3"/>
    <s v=""/>
  </r>
  <r>
    <s v="Thursday, June 24, 2021"/>
    <x v="2"/>
    <x v="706"/>
    <n v="127.05349699999999"/>
    <n v="127.5355"/>
    <n v="126.959999"/>
    <n v="127.281998"/>
    <n v="18934000"/>
    <n v="0"/>
    <n v="0.82"/>
    <x v="2"/>
    <n v="6.4462847291256826E-3"/>
    <s v=""/>
  </r>
  <r>
    <s v="Friday, June 25, 2021"/>
    <x v="3"/>
    <x v="707"/>
    <n v="126.95700100000001"/>
    <n v="127.504997"/>
    <n v="126.444"/>
    <n v="126.995003"/>
    <n v="33484000"/>
    <n v="0"/>
    <n v="-0.28999999999999998"/>
    <x v="1"/>
    <n v="-2.259892068351733E-3"/>
    <s v=""/>
  </r>
  <r>
    <s v="Monday, June 28, 2021"/>
    <x v="4"/>
    <x v="708"/>
    <n v="127"/>
    <n v="127.33699799999999"/>
    <n v="125.97380099999999"/>
    <n v="126.81950399999999"/>
    <n v="28110000"/>
    <n v="0"/>
    <n v="-0.18"/>
    <x v="1"/>
    <n v="-1.3838486546990602E-3"/>
    <s v=""/>
  </r>
  <r>
    <s v="Tuesday, June 29, 2021"/>
    <x v="0"/>
    <x v="709"/>
    <n v="126.772499"/>
    <n v="127"/>
    <n v="125.43699599999999"/>
    <n v="126.018501"/>
    <n v="20950000"/>
    <n v="0"/>
    <n v="-0.8"/>
    <x v="1"/>
    <n v="-6.3562333597349677E-3"/>
    <s v=""/>
  </r>
  <r>
    <s v="Wednesday, June 30, 2021"/>
    <x v="1"/>
    <x v="710"/>
    <n v="125.653549"/>
    <n v="125.800003"/>
    <n v="124.75749999999999"/>
    <n v="125.316002"/>
    <n v="24006000"/>
    <n v="0"/>
    <n v="-0.7"/>
    <x v="1"/>
    <n v="-5.6058203963449387E-3"/>
    <s v=""/>
  </r>
  <r>
    <s v="Thursday, July 1, 2021"/>
    <x v="2"/>
    <x v="711"/>
    <n v="124.84974699999999"/>
    <n v="126.462502"/>
    <n v="124.84974699999999"/>
    <n v="126.3685"/>
    <n v="17120000"/>
    <n v="0"/>
    <n v="1.05"/>
    <x v="2"/>
    <n v="8.3288002943771589E-3"/>
    <s v=""/>
  </r>
  <r>
    <s v="Friday, July 2, 2021"/>
    <x v="3"/>
    <x v="712"/>
    <n v="126.8395"/>
    <n v="128.848007"/>
    <n v="126.768997"/>
    <n v="128.71899400000001"/>
    <n v="21160000"/>
    <n v="0"/>
    <n v="2.35"/>
    <x v="2"/>
    <n v="1.8260661670491393E-2"/>
    <s v=""/>
  </r>
  <r>
    <s v="Tuesday, July 6, 2021"/>
    <x v="0"/>
    <x v="713"/>
    <n v="129.44949299999999"/>
    <n v="129.88450599999999"/>
    <n v="128.408997"/>
    <n v="129.770996"/>
    <n v="21350000"/>
    <n v="0"/>
    <n v="1.05"/>
    <x v="2"/>
    <n v="8.106603420073832E-3"/>
    <s v=""/>
  </r>
  <r>
    <s v="Wednesday, July 7, 2021"/>
    <x v="1"/>
    <x v="714"/>
    <n v="130.341003"/>
    <n v="130.639893"/>
    <n v="129.759995"/>
    <n v="130.07749899999999"/>
    <n v="16680000"/>
    <n v="0"/>
    <n v="0.31"/>
    <x v="2"/>
    <n v="2.3563106790667324E-3"/>
    <s v=""/>
  </r>
  <r>
    <s v="Thursday, July 8, 2021"/>
    <x v="2"/>
    <x v="715"/>
    <n v="128.25"/>
    <n v="130.032501"/>
    <n v="128.03999300000001"/>
    <n v="129.17700199999999"/>
    <n v="19780000"/>
    <n v="0"/>
    <n v="-0.9"/>
    <x v="1"/>
    <n v="-6.9710318869298541E-3"/>
    <s v=""/>
  </r>
  <r>
    <s v="Friday, July 9, 2021"/>
    <x v="3"/>
    <x v="716"/>
    <n v="128.94450399999999"/>
    <n v="129.849503"/>
    <n v="128.94349700000001"/>
    <n v="129.57449299999999"/>
    <n v="15106000"/>
    <n v="0"/>
    <n v="0.4"/>
    <x v="2"/>
    <n v="3.0676639421618442E-3"/>
    <s v=""/>
  </r>
  <r>
    <s v="Monday, July 12, 2021"/>
    <x v="4"/>
    <x v="717"/>
    <n v="129.833496"/>
    <n v="130.770004"/>
    <n v="129.60000600000001"/>
    <n v="130.56399500000001"/>
    <n v="16944000"/>
    <n v="0"/>
    <n v="0.99"/>
    <x v="2"/>
    <n v="7.5786743504594493E-3"/>
    <s v=""/>
  </r>
  <r>
    <s v="Tuesday, July 13, 2021"/>
    <x v="0"/>
    <x v="718"/>
    <n v="130.88149999999999"/>
    <n v="132.04200700000001"/>
    <n v="130.63699299999999"/>
    <n v="130.994507"/>
    <n v="16618000"/>
    <n v="0"/>
    <n v="0.43"/>
    <x v="2"/>
    <n v="3.2864889517847731E-3"/>
    <s v=""/>
  </r>
  <r>
    <s v="Wednesday, July 14, 2021"/>
    <x v="1"/>
    <x v="719"/>
    <n v="131.90150499999999"/>
    <n v="132.996002"/>
    <n v="131.89799500000001"/>
    <n v="132.082504"/>
    <n v="17912000"/>
    <n v="0"/>
    <n v="1.0900000000000001"/>
    <x v="2"/>
    <n v="8.2372529824237851E-3"/>
    <s v=""/>
  </r>
  <r>
    <s v="Thursday, July 15, 2021"/>
    <x v="2"/>
    <x v="720"/>
    <n v="132.5"/>
    <n v="132.595001"/>
    <n v="130.598007"/>
    <n v="131.26649499999999"/>
    <n v="16586000"/>
    <n v="0"/>
    <n v="-0.82"/>
    <x v="1"/>
    <n v="-6.2164301713091997E-3"/>
    <s v=""/>
  </r>
  <r>
    <s v="Friday, July 16, 2021"/>
    <x v="3"/>
    <x v="721"/>
    <n v="131.641006"/>
    <n v="132.182999"/>
    <n v="130.82150300000001"/>
    <n v="131.845505"/>
    <n v="14856000"/>
    <n v="0"/>
    <n v="0.57999999999999996"/>
    <x v="2"/>
    <n v="4.3915793716290206E-3"/>
    <s v=""/>
  </r>
  <r>
    <s v="Monday, July 19, 2021"/>
    <x v="4"/>
    <x v="722"/>
    <n v="131.15550200000001"/>
    <n v="131.246994"/>
    <n v="128.537003"/>
    <n v="129.253998"/>
    <n v="25710000"/>
    <n v="0"/>
    <n v="-2.59"/>
    <x v="1"/>
    <n v="-2.0049724109887937E-2"/>
    <s v=""/>
  </r>
  <r>
    <s v="Tuesday, July 20, 2021"/>
    <x v="0"/>
    <x v="723"/>
    <n v="130.003998"/>
    <n v="132.00134299999999"/>
    <n v="129.1884"/>
    <n v="131.10150100000001"/>
    <n v="19084000"/>
    <n v="0"/>
    <n v="1.85"/>
    <x v="2"/>
    <n v="1.4092157495588226E-2"/>
    <s v=""/>
  </r>
  <r>
    <s v="Wednesday, July 21, 2021"/>
    <x v="1"/>
    <x v="724"/>
    <n v="130.787003"/>
    <n v="132.61724899999999"/>
    <n v="130.60150100000001"/>
    <n v="132.600494"/>
    <n v="14742000"/>
    <n v="0"/>
    <n v="1.5"/>
    <x v="2"/>
    <n v="1.1304580810988415E-2"/>
    <s v=""/>
  </r>
  <r>
    <s v="Thursday, July 22, 2021"/>
    <x v="2"/>
    <x v="725"/>
    <n v="132.64999399999999"/>
    <n v="133.504501"/>
    <n v="132.39999399999999"/>
    <n v="133.328506"/>
    <n v="13608000"/>
    <n v="0"/>
    <n v="0.73"/>
    <x v="2"/>
    <n v="5.4602876897158568E-3"/>
    <s v=""/>
  </r>
  <r>
    <s v="Friday, July 23, 2021"/>
    <x v="3"/>
    <x v="726"/>
    <n v="135.259995"/>
    <n v="138.808502"/>
    <n v="134.70050000000001"/>
    <n v="137.81599399999999"/>
    <n v="26378000"/>
    <n v="0"/>
    <n v="4.49"/>
    <x v="2"/>
    <n v="3.2561445662104976E-2"/>
    <s v=""/>
  </r>
  <r>
    <s v="Monday, July 26, 2021"/>
    <x v="4"/>
    <x v="727"/>
    <n v="138.25"/>
    <n v="139.712997"/>
    <n v="137.65100100000001"/>
    <n v="139.64450099999999"/>
    <n v="23052000"/>
    <n v="0"/>
    <n v="1.83"/>
    <x v="2"/>
    <n v="1.309401363394898E-2"/>
    <s v=""/>
  </r>
  <r>
    <s v="Tuesday, July 27, 2021"/>
    <x v="0"/>
    <x v="728"/>
    <n v="140.01100199999999"/>
    <n v="140.01100199999999"/>
    <n v="135.10000600000001"/>
    <n v="136.796494"/>
    <n v="42164000"/>
    <n v="0"/>
    <n v="-2.85"/>
    <x v="1"/>
    <n v="-2.0819298190493066E-2"/>
    <s v=""/>
  </r>
  <r>
    <s v="Wednesday, July 28, 2021"/>
    <x v="1"/>
    <x v="729"/>
    <n v="138.56199599999999"/>
    <n v="139.675995"/>
    <n v="136.35000600000001"/>
    <n v="136.38149999999999"/>
    <n v="54688000"/>
    <n v="0"/>
    <n v="-0.41"/>
    <x v="1"/>
    <n v="-3.0428907146497672E-3"/>
    <s v=""/>
  </r>
  <r>
    <s v="Thursday, July 29, 2021"/>
    <x v="2"/>
    <x v="730"/>
    <n v="136.38059999999999"/>
    <n v="137.15150499999999"/>
    <n v="136.13800000000001"/>
    <n v="136.54049699999999"/>
    <n v="19284000"/>
    <n v="0"/>
    <n v="0.16"/>
    <x v="2"/>
    <n v="1.164467710997122E-3"/>
    <s v=""/>
  </r>
  <r>
    <s v="Friday, July 30, 2021"/>
    <x v="3"/>
    <x v="731"/>
    <n v="135.51100199999999"/>
    <n v="135.77134699999999"/>
    <n v="134.81419399999999"/>
    <n v="135.22099299999999"/>
    <n v="23954000"/>
    <n v="0"/>
    <n v="-1.32"/>
    <x v="1"/>
    <n v="-9.758129789802646E-3"/>
    <s v=""/>
  </r>
  <r>
    <s v="Monday, August 2, 2021"/>
    <x v="4"/>
    <x v="732"/>
    <n v="135.484497"/>
    <n v="136.02049299999999"/>
    <n v="134.66949500000001"/>
    <n v="135.98950199999999"/>
    <n v="20140000"/>
    <n v="0"/>
    <n v="0.77"/>
    <x v="2"/>
    <n v="5.6512376962744859E-3"/>
    <s v=""/>
  </r>
  <r>
    <s v="Tuesday, August 3, 2021"/>
    <x v="0"/>
    <x v="733"/>
    <n v="136"/>
    <n v="136.33549500000001"/>
    <n v="134.183502"/>
    <n v="136.279999"/>
    <n v="19064000"/>
    <n v="0"/>
    <n v="0.28999999999999998"/>
    <x v="2"/>
    <n v="2.1316187417936231E-3"/>
    <s v=""/>
  </r>
  <r>
    <s v="Wednesday, August 4, 2021"/>
    <x v="1"/>
    <x v="734"/>
    <n v="136.24949599999999"/>
    <n v="136.537994"/>
    <n v="135.41499300000001"/>
    <n v="136.028503"/>
    <n v="16528000"/>
    <n v="0"/>
    <n v="-0.25"/>
    <x v="1"/>
    <n v="-1.8488478109621117E-3"/>
    <s v=""/>
  </r>
  <r>
    <s v="Thursday, August 5, 2021"/>
    <x v="2"/>
    <x v="735"/>
    <n v="136.028503"/>
    <n v="136.949997"/>
    <n v="135.60000600000001"/>
    <n v="136.94000199999999"/>
    <n v="11866000"/>
    <n v="0"/>
    <n v="0.91"/>
    <x v="2"/>
    <n v="6.6561923958493308E-3"/>
    <s v=""/>
  </r>
  <r>
    <s v="Friday, August 6, 2021"/>
    <x v="3"/>
    <x v="736"/>
    <n v="136.29499799999999"/>
    <n v="137.08004800000001"/>
    <n v="136.046494"/>
    <n v="137.03599500000001"/>
    <n v="13560000"/>
    <n v="0"/>
    <n v="0.1"/>
    <x v="2"/>
    <n v="7.0049478605983264E-4"/>
    <s v=""/>
  </r>
  <r>
    <s v="Monday, August 9, 2021"/>
    <x v="4"/>
    <x v="737"/>
    <n v="136.949005"/>
    <n v="138.32150300000001"/>
    <n v="136.42875699999999"/>
    <n v="138.00199900000001"/>
    <n v="12374000"/>
    <n v="0"/>
    <n v="0.97"/>
    <x v="2"/>
    <n v="6.9999275880054321E-3"/>
    <s v=""/>
  </r>
  <r>
    <s v="Tuesday, August 10, 2021"/>
    <x v="0"/>
    <x v="738"/>
    <n v="138.079498"/>
    <n v="138.55149800000001"/>
    <n v="137.22650100000001"/>
    <n v="138.096497"/>
    <n v="16034000"/>
    <n v="0"/>
    <n v="0.09"/>
    <x v="2"/>
    <n v="6.8428962394308462E-4"/>
    <s v=""/>
  </r>
  <r>
    <s v="Wednesday, August 11, 2021"/>
    <x v="1"/>
    <x v="739"/>
    <n v="138.283005"/>
    <n v="138.847748"/>
    <n v="137.35000600000001"/>
    <n v="137.68949900000001"/>
    <n v="15204000"/>
    <n v="0"/>
    <n v="-0.41"/>
    <x v="1"/>
    <n v="-2.9559116922924333E-3"/>
    <s v=""/>
  </r>
  <r>
    <s v="Thursday, August 12, 2021"/>
    <x v="2"/>
    <x v="740"/>
    <n v="137.712997"/>
    <n v="138.41799900000001"/>
    <n v="136.77900700000001"/>
    <n v="138.38949600000001"/>
    <n v="14646000"/>
    <n v="0"/>
    <n v="0.7"/>
    <x v="2"/>
    <n v="5.0581656862165045E-3"/>
    <s v=""/>
  </r>
  <r>
    <s v="Friday, August 13, 2021"/>
    <x v="3"/>
    <x v="741"/>
    <n v="138.35749799999999"/>
    <n v="138.67399599999999"/>
    <n v="138.00500500000001"/>
    <n v="138.40600599999999"/>
    <n v="12580000"/>
    <n v="0"/>
    <n v="0.02"/>
    <x v="2"/>
    <n v="1.1928673095286403E-4"/>
    <s v=""/>
  </r>
  <r>
    <s v="Monday, August 16, 2021"/>
    <x v="4"/>
    <x v="742"/>
    <n v="138"/>
    <n v="138.99049400000001"/>
    <n v="136.16575599999999"/>
    <n v="138.916"/>
    <n v="18040000"/>
    <n v="0"/>
    <n v="0.51"/>
    <x v="2"/>
    <n v="3.6712401739180949E-3"/>
    <s v=""/>
  </r>
  <r>
    <s v="Tuesday, August 17, 2021"/>
    <x v="0"/>
    <x v="743"/>
    <n v="138.19099399999999"/>
    <n v="138.71850599999999"/>
    <n v="136.78750600000001"/>
    <n v="137.30050700000001"/>
    <n v="21272000"/>
    <n v="0"/>
    <n v="-1.62"/>
    <x v="1"/>
    <n v="-1.1766110958352007E-2"/>
    <s v=""/>
  </r>
  <r>
    <s v="Wednesday, August 18, 2021"/>
    <x v="1"/>
    <x v="744"/>
    <n v="137.11549400000001"/>
    <n v="138.294006"/>
    <n v="136.42100500000001"/>
    <n v="136.570007"/>
    <n v="14934000"/>
    <n v="0"/>
    <n v="-0.73"/>
    <x v="1"/>
    <n v="-5.3489050491152598E-3"/>
    <s v=""/>
  </r>
  <r>
    <s v="Thursday, August 19, 2021"/>
    <x v="2"/>
    <x v="745"/>
    <n v="135.467499"/>
    <n v="137.45199600000001"/>
    <n v="135.35600299999999"/>
    <n v="136.913498"/>
    <n v="18296000"/>
    <n v="0"/>
    <n v="0.34"/>
    <x v="2"/>
    <n v="2.5088176477676451E-3"/>
    <s v=""/>
  </r>
  <r>
    <s v="Friday, August 20, 2021"/>
    <x v="3"/>
    <x v="746"/>
    <n v="137.08299299999999"/>
    <n v="138.61450199999999"/>
    <n v="136.466995"/>
    <n v="138.43699599999999"/>
    <n v="15564000"/>
    <n v="0"/>
    <n v="1.52"/>
    <x v="2"/>
    <n v="1.1004991758127932E-2"/>
    <s v=""/>
  </r>
  <r>
    <s v="Monday, August 23, 2021"/>
    <x v="4"/>
    <x v="747"/>
    <n v="138.99850499999999"/>
    <n v="142.17700199999999"/>
    <n v="138.74795499999999"/>
    <n v="141.099503"/>
    <n v="21090000"/>
    <n v="0"/>
    <n v="2.66"/>
    <x v="2"/>
    <n v="1.8869712106640128E-2"/>
    <s v=""/>
  </r>
  <r>
    <s v="Tuesday, August 24, 2021"/>
    <x v="0"/>
    <x v="748"/>
    <n v="141.54350299999999"/>
    <n v="143.007507"/>
    <n v="141.3535"/>
    <n v="142.39849899999999"/>
    <n v="15126000"/>
    <n v="0"/>
    <n v="1.3"/>
    <x v="2"/>
    <n v="9.1222590766212239E-3"/>
    <s v=""/>
  </r>
  <r>
    <s v="Wednesday, August 25, 2021"/>
    <x v="1"/>
    <x v="749"/>
    <n v="142.88299599999999"/>
    <n v="143.31300400000001"/>
    <n v="142.43949900000001"/>
    <n v="142.949997"/>
    <n v="12838000"/>
    <n v="0"/>
    <n v="0.55000000000000004"/>
    <x v="2"/>
    <n v="3.8579783950608224E-3"/>
    <s v=""/>
  </r>
  <r>
    <s v="Thursday, August 26, 2021"/>
    <x v="2"/>
    <x v="750"/>
    <n v="142.61850000000001"/>
    <n v="143.13479599999999"/>
    <n v="142.09150700000001"/>
    <n v="142.12300099999999"/>
    <n v="14922000"/>
    <n v="0"/>
    <n v="-0.83"/>
    <x v="1"/>
    <n v="-5.8188751587085353E-3"/>
    <s v=""/>
  </r>
  <r>
    <s v="Friday, August 27, 2021"/>
    <x v="3"/>
    <x v="751"/>
    <n v="142.112503"/>
    <n v="145.01100199999999"/>
    <n v="142.020004"/>
    <n v="144.55050700000001"/>
    <n v="24562000"/>
    <n v="0"/>
    <n v="2.4300000000000002"/>
    <x v="2"/>
    <n v="1.6793479665899908E-2"/>
    <s v=""/>
  </r>
  <r>
    <s v="Monday, August 30, 2021"/>
    <x v="4"/>
    <x v="752"/>
    <n v="144.704498"/>
    <n v="146.48950199999999"/>
    <n v="144.60000600000001"/>
    <n v="145.46949799999999"/>
    <n v="16916000"/>
    <n v="0"/>
    <n v="0.92"/>
    <x v="2"/>
    <n v="6.3174137027679654E-3"/>
    <s v=""/>
  </r>
  <r>
    <s v="Tuesday, August 31, 2021"/>
    <x v="0"/>
    <x v="753"/>
    <n v="145.88450599999999"/>
    <n v="146.11199999999999"/>
    <n v="145"/>
    <n v="145.462006"/>
    <n v="26756000"/>
    <n v="0"/>
    <n v="-0.01"/>
    <x v="1"/>
    <n v="-5.1504858251335784E-5"/>
    <s v=""/>
  </r>
  <r>
    <s v="Wednesday, September 1, 2021"/>
    <x v="1"/>
    <x v="754"/>
    <n v="145.64999399999999"/>
    <n v="146.82049599999999"/>
    <n v="145.61450199999999"/>
    <n v="145.841995"/>
    <n v="15824000"/>
    <n v="0"/>
    <n v="0.38"/>
    <x v="2"/>
    <n v="2.6054841062753895E-3"/>
    <s v=""/>
  </r>
  <r>
    <s v="Thursday, September 2, 2021"/>
    <x v="2"/>
    <x v="755"/>
    <n v="145.94949299999999"/>
    <n v="146.324997"/>
    <n v="144.106506"/>
    <n v="144.21899400000001"/>
    <n v="21844000"/>
    <n v="0"/>
    <n v="-1.62"/>
    <x v="1"/>
    <n v="-1.1253725705505807E-2"/>
    <s v=""/>
  </r>
  <r>
    <s v="Friday, September 3, 2021"/>
    <x v="3"/>
    <x v="756"/>
    <n v="144.145996"/>
    <n v="145.37699900000001"/>
    <n v="143.50500500000001"/>
    <n v="144.77499399999999"/>
    <n v="19104000"/>
    <n v="0"/>
    <n v="0.56000000000000005"/>
    <x v="2"/>
    <n v="3.8404422244354103E-3"/>
    <s v=""/>
  </r>
  <r>
    <s v="Tuesday, September 7, 2021"/>
    <x v="0"/>
    <x v="757"/>
    <n v="144.74949599999999"/>
    <n v="145.824005"/>
    <n v="144.541"/>
    <n v="145.51899700000001"/>
    <n v="15170000"/>
    <n v="0"/>
    <n v="0.74"/>
    <x v="2"/>
    <n v="5.1127551408289363E-3"/>
    <s v=""/>
  </r>
  <r>
    <s v="Wednesday, September 8, 2021"/>
    <x v="1"/>
    <x v="758"/>
    <n v="145.393494"/>
    <n v="145.550995"/>
    <n v="144.199997"/>
    <n v="144.883499"/>
    <n v="15486000"/>
    <n v="0"/>
    <n v="-0.64"/>
    <x v="1"/>
    <n v="-4.3862689981004153E-3"/>
    <s v=""/>
  </r>
  <r>
    <s v="Thursday, September 9, 2021"/>
    <x v="2"/>
    <x v="759"/>
    <n v="144.883499"/>
    <n v="145.66949500000001"/>
    <n v="144.43400600000001"/>
    <n v="144.913498"/>
    <n v="14798000"/>
    <n v="0"/>
    <n v="0.03"/>
    <x v="2"/>
    <n v="2.0701315208058576E-4"/>
    <s v=""/>
  </r>
  <r>
    <s v="Friday, September 10, 2021"/>
    <x v="3"/>
    <x v="760"/>
    <n v="145.44349700000001"/>
    <n v="146.01899700000001"/>
    <n v="141.741501"/>
    <n v="141.92100500000001"/>
    <n v="32896000"/>
    <n v="0"/>
    <n v="-2.99"/>
    <x v="1"/>
    <n v="-2.1085624358423871E-2"/>
    <s v=""/>
  </r>
  <r>
    <s v="Monday, September 13, 2021"/>
    <x v="4"/>
    <x v="761"/>
    <n v="143.20100400000001"/>
    <n v="144.19099399999999"/>
    <n v="142.282501"/>
    <n v="143.46499600000001"/>
    <n v="20176000"/>
    <n v="0"/>
    <n v="1.54"/>
    <x v="2"/>
    <n v="1.0762144377015876E-2"/>
    <s v=""/>
  </r>
  <r>
    <s v="Tuesday, September 14, 2021"/>
    <x v="0"/>
    <x v="762"/>
    <n v="144.16099500000001"/>
    <n v="144.72749300000001"/>
    <n v="142.90550200000001"/>
    <n v="143.40600599999999"/>
    <n v="18916000"/>
    <n v="0"/>
    <n v="-0.06"/>
    <x v="1"/>
    <n v="-4.1134957764616043E-4"/>
    <s v=""/>
  </r>
  <r>
    <s v="Wednesday, September 15, 2021"/>
    <x v="1"/>
    <x v="763"/>
    <n v="143.75900300000001"/>
    <n v="145.58149700000001"/>
    <n v="142.25599700000001"/>
    <n v="145.205994"/>
    <n v="20648000"/>
    <n v="0"/>
    <n v="1.8"/>
    <x v="2"/>
    <n v="1.2396099846952689E-2"/>
    <s v=""/>
  </r>
  <r>
    <s v="Thursday, September 16, 2021"/>
    <x v="2"/>
    <x v="764"/>
    <n v="145.121002"/>
    <n v="145.199997"/>
    <n v="143.41635099999999"/>
    <n v="144.37350499999999"/>
    <n v="20292000"/>
    <n v="0"/>
    <n v="-0.83"/>
    <x v="1"/>
    <n v="-5.7662172848128163E-3"/>
    <s v=""/>
  </r>
  <r>
    <s v="Friday, September 17, 2021"/>
    <x v="3"/>
    <x v="765"/>
    <n v="143.79849200000001"/>
    <n v="144.24949599999999"/>
    <n v="141.06149300000001"/>
    <n v="141.46350100000001"/>
    <n v="60040000"/>
    <n v="0"/>
    <n v="-2.91"/>
    <x v="1"/>
    <n v="-2.0570705372264089E-2"/>
    <s v=""/>
  </r>
  <r>
    <s v="Monday, September 20, 2021"/>
    <x v="4"/>
    <x v="766"/>
    <n v="139.00019800000001"/>
    <n v="139.362503"/>
    <n v="137.05299400000001"/>
    <n v="139.016998"/>
    <n v="34918000"/>
    <n v="0"/>
    <n v="-2.4500000000000002"/>
    <x v="1"/>
    <n v="-1.7598588915004529E-2"/>
    <s v=""/>
  </r>
  <r>
    <s v="Tuesday, September 21, 2021"/>
    <x v="0"/>
    <x v="767"/>
    <n v="140.11700400000001"/>
    <n v="140.8116"/>
    <n v="138.90550200000001"/>
    <n v="139.6465"/>
    <n v="18130000"/>
    <n v="0"/>
    <n v="0.63"/>
    <x v="2"/>
    <n v="4.5078251155596608E-3"/>
    <s v=""/>
  </r>
  <r>
    <s v="Wednesday, September 22, 2021"/>
    <x v="1"/>
    <x v="768"/>
    <n v="140.05050700000001"/>
    <n v="141.583496"/>
    <n v="139.471756"/>
    <n v="140.93850699999999"/>
    <n v="22068000"/>
    <n v="0"/>
    <n v="1.29"/>
    <x v="2"/>
    <n v="9.1671682033639262E-3"/>
    <s v=""/>
  </r>
  <r>
    <s v="Thursday, September 23, 2021"/>
    <x v="2"/>
    <x v="769"/>
    <n v="141.609497"/>
    <n v="142.25245699999999"/>
    <n v="141.096497"/>
    <n v="141.82650799999999"/>
    <n v="17272000"/>
    <n v="0"/>
    <n v="0.89"/>
    <x v="2"/>
    <n v="6.2611779174595681E-3"/>
    <s v=""/>
  </r>
  <r>
    <s v="Friday, September 24, 2021"/>
    <x v="3"/>
    <x v="770"/>
    <n v="140.945999"/>
    <n v="142.903503"/>
    <n v="140.850494"/>
    <n v="142.63299599999999"/>
    <n v="14950000"/>
    <n v="0"/>
    <n v="0.81"/>
    <x v="2"/>
    <n v="5.6542877357775032E-3"/>
    <s v=""/>
  </r>
  <r>
    <s v="Monday, September 27, 2021"/>
    <x v="4"/>
    <x v="771"/>
    <n v="141.58549500000001"/>
    <n v="142.5"/>
    <n v="140.5"/>
    <n v="141.50100699999999"/>
    <n v="18844000"/>
    <n v="0"/>
    <n v="-1.1299999999999999"/>
    <x v="1"/>
    <n v="-7.9998653295803353E-3"/>
    <s v=""/>
  </r>
  <r>
    <s v="Tuesday, September 28, 2021"/>
    <x v="0"/>
    <x v="772"/>
    <n v="139.08850100000001"/>
    <n v="139.606506"/>
    <n v="135.699997"/>
    <n v="136.18400600000001"/>
    <n v="42190000"/>
    <n v="0"/>
    <n v="-5.32"/>
    <x v="1"/>
    <n v="-3.9042771292834316E-2"/>
    <s v=""/>
  </r>
  <r>
    <s v="Wednesday, September 29, 2021"/>
    <x v="1"/>
    <x v="773"/>
    <n v="137.10969499999999"/>
    <n v="137.39849899999999"/>
    <n v="134.25"/>
    <n v="134.520996"/>
    <n v="26338000"/>
    <n v="0"/>
    <n v="-1.66"/>
    <x v="1"/>
    <n v="-1.2362456787043221E-2"/>
    <s v=""/>
  </r>
  <r>
    <s v="Thursday, September 30, 2021"/>
    <x v="2"/>
    <x v="774"/>
    <n v="134.324997"/>
    <n v="135.58999600000001"/>
    <n v="133"/>
    <n v="133.265503"/>
    <n v="35294000"/>
    <n v="0"/>
    <n v="-1.26"/>
    <x v="1"/>
    <n v="-9.4209902168005278E-3"/>
    <s v=""/>
  </r>
  <r>
    <s v="Friday, October 1, 2021"/>
    <x v="3"/>
    <x v="775"/>
    <n v="133.55450400000001"/>
    <n v="137.070999"/>
    <n v="133.37750199999999"/>
    <n v="136.46249399999999"/>
    <n v="28388000"/>
    <n v="0"/>
    <n v="3.2"/>
    <x v="2"/>
    <n v="2.3427616675392119E-2"/>
    <s v=""/>
  </r>
  <r>
    <s v="Monday, October 4, 2021"/>
    <x v="4"/>
    <x v="776"/>
    <n v="135.69949299999999"/>
    <n v="135.699997"/>
    <n v="131.166504"/>
    <n v="133.76499899999999"/>
    <n v="31530000"/>
    <n v="0"/>
    <n v="-2.7"/>
    <x v="1"/>
    <n v="-2.0165925467543297E-2"/>
    <s v=""/>
  </r>
  <r>
    <s v="Tuesday, October 5, 2021"/>
    <x v="0"/>
    <x v="777"/>
    <n v="134"/>
    <n v="137.36199999999999"/>
    <n v="134"/>
    <n v="136.17700199999999"/>
    <n v="24126000"/>
    <n v="0"/>
    <n v="2.41"/>
    <x v="2"/>
    <n v="1.771226392544608E-2"/>
    <s v=""/>
  </r>
  <r>
    <s v="Wednesday, October 6, 2021"/>
    <x v="1"/>
    <x v="778"/>
    <n v="134.62550400000001"/>
    <n v="137.85200499999999"/>
    <n v="134.48649599999999"/>
    <n v="137.354004"/>
    <n v="19764000"/>
    <n v="0"/>
    <n v="1.18"/>
    <x v="2"/>
    <n v="8.5691131363015514E-3"/>
    <s v=""/>
  </r>
  <r>
    <s v="Thursday, October 7, 2021"/>
    <x v="2"/>
    <x v="779"/>
    <n v="138.86300700000001"/>
    <n v="140.154449"/>
    <n v="138.56300400000001"/>
    <n v="139.18550099999999"/>
    <n v="18250000"/>
    <n v="0"/>
    <n v="1.83"/>
    <x v="2"/>
    <n v="1.3158676635434784E-2"/>
    <s v=""/>
  </r>
  <r>
    <s v="Friday, October 8, 2021"/>
    <x v="3"/>
    <x v="780"/>
    <n v="139.90600599999999"/>
    <n v="140.317001"/>
    <n v="139.42935199999999"/>
    <n v="140.05600000000001"/>
    <n v="18924000"/>
    <n v="0"/>
    <n v="0.87"/>
    <x v="2"/>
    <n v="6.2153638544583849E-3"/>
    <s v=""/>
  </r>
  <r>
    <s v="Monday, October 11, 2021"/>
    <x v="4"/>
    <x v="781"/>
    <n v="139.800003"/>
    <n v="140.76365699999999"/>
    <n v="138.80650299999999"/>
    <n v="138.84750399999999"/>
    <n v="16584000"/>
    <n v="0"/>
    <n v="-1.21"/>
    <x v="1"/>
    <n v="-8.7037646712037776E-3"/>
    <s v=""/>
  </r>
  <r>
    <s v="Tuesday, October 12, 2021"/>
    <x v="0"/>
    <x v="782"/>
    <n v="139.637497"/>
    <n v="139.695007"/>
    <n v="136.25"/>
    <n v="136.712997"/>
    <n v="22536000"/>
    <n v="0"/>
    <n v="-2.13"/>
    <x v="1"/>
    <n v="-1.5613051040055724E-2"/>
    <s v=""/>
  </r>
  <r>
    <s v="Wednesday, October 13, 2021"/>
    <x v="1"/>
    <x v="783"/>
    <n v="137.75"/>
    <n v="138.550003"/>
    <n v="136.97650100000001"/>
    <n v="137.89999399999999"/>
    <n v="16380000"/>
    <n v="0"/>
    <n v="1.19"/>
    <x v="2"/>
    <n v="8.6076653491369334E-3"/>
    <s v=""/>
  </r>
  <r>
    <s v="Thursday, October 14, 2021"/>
    <x v="2"/>
    <x v="784"/>
    <n v="139.95199600000001"/>
    <n v="141.65150499999999"/>
    <n v="139.33900499999999"/>
    <n v="141.412003"/>
    <n v="21426000"/>
    <n v="0"/>
    <n v="3.51"/>
    <x v="2"/>
    <n v="2.4835296336195776E-2"/>
    <s v=""/>
  </r>
  <r>
    <s v="Friday, October 15, 2021"/>
    <x v="3"/>
    <x v="785"/>
    <n v="142.199997"/>
    <n v="142.199997"/>
    <n v="141.06449900000001"/>
    <n v="141.675003"/>
    <n v="21250000"/>
    <n v="0"/>
    <n v="0.26"/>
    <x v="2"/>
    <n v="1.8563613511976085E-3"/>
    <s v=""/>
  </r>
  <r>
    <s v="Monday, October 18, 2021"/>
    <x v="4"/>
    <x v="786"/>
    <n v="141.21350100000001"/>
    <n v="142.998749"/>
    <n v="141.21350100000001"/>
    <n v="142.96049500000001"/>
    <n v="16564000"/>
    <n v="0"/>
    <n v="1.29"/>
    <x v="2"/>
    <n v="8.9919386471067047E-3"/>
    <s v=""/>
  </r>
  <r>
    <s v="Tuesday, October 19, 2021"/>
    <x v="0"/>
    <x v="787"/>
    <n v="143.291504"/>
    <n v="144.10699500000001"/>
    <n v="143.09599299999999"/>
    <n v="143.82200599999999"/>
    <n v="15316000"/>
    <n v="0"/>
    <n v="0.86"/>
    <x v="2"/>
    <n v="5.9901194814372073E-3"/>
    <s v=""/>
  </r>
  <r>
    <s v="Wednesday, October 20, 2021"/>
    <x v="1"/>
    <x v="788"/>
    <n v="144.22250399999999"/>
    <n v="144.24775700000001"/>
    <n v="141.912003"/>
    <n v="142.41499300000001"/>
    <n v="17940000"/>
    <n v="0"/>
    <n v="-1.41"/>
    <x v="1"/>
    <n v="-9.8796690598438458E-3"/>
    <s v=""/>
  </r>
  <r>
    <s v="Thursday, October 21, 2021"/>
    <x v="2"/>
    <x v="789"/>
    <n v="142.192001"/>
    <n v="142.849503"/>
    <n v="141.63699299999999"/>
    <n v="142.78050200000001"/>
    <n v="14850000"/>
    <n v="0"/>
    <n v="0.37"/>
    <x v="2"/>
    <n v="2.5599363700234291E-3"/>
    <s v=""/>
  </r>
  <r>
    <s v="Friday, October 22, 2021"/>
    <x v="3"/>
    <x v="790"/>
    <n v="140.350998"/>
    <n v="141.558502"/>
    <n v="137.170502"/>
    <n v="138.625"/>
    <n v="30182000"/>
    <n v="0"/>
    <n v="-4.16"/>
    <x v="1"/>
    <n v="-2.9976569882777367E-2"/>
    <s v=""/>
  </r>
  <r>
    <s v="Monday, October 25, 2021"/>
    <x v="4"/>
    <x v="791"/>
    <n v="138.81050099999999"/>
    <n v="139.20579499999999"/>
    <n v="136.74850499999999"/>
    <n v="138.77299500000001"/>
    <n v="21082000"/>
    <n v="0"/>
    <n v="0.15"/>
    <x v="2"/>
    <n v="1.0664538875161465E-3"/>
    <s v=""/>
  </r>
  <r>
    <s v="Tuesday, October 26, 2021"/>
    <x v="0"/>
    <x v="792"/>
    <n v="140.60600299999999"/>
    <n v="140.839493"/>
    <n v="139.005493"/>
    <n v="139.671997"/>
    <n v="28258000"/>
    <n v="0"/>
    <n v="0.9"/>
    <x v="2"/>
    <n v="6.4365228485993211E-3"/>
    <s v=""/>
  </r>
  <r>
    <s v="Wednesday, October 27, 2021"/>
    <x v="1"/>
    <x v="793"/>
    <n v="139.90249600000001"/>
    <n v="149.11799600000001"/>
    <n v="139.90249600000001"/>
    <n v="146.427505"/>
    <n v="51850000"/>
    <n v="0"/>
    <n v="6.76"/>
    <x v="2"/>
    <n v="4.6135512586928197E-2"/>
    <s v=""/>
  </r>
  <r>
    <s v="Thursday, October 28, 2021"/>
    <x v="2"/>
    <x v="794"/>
    <n v="147.29899599999999"/>
    <n v="147.42449999999999"/>
    <n v="144.76350400000001"/>
    <n v="146.128998"/>
    <n v="32418000"/>
    <n v="0"/>
    <n v="-0.3"/>
    <x v="1"/>
    <n v="-2.042763613557391E-3"/>
    <s v=""/>
  </r>
  <r>
    <s v="Friday, October 29, 2021"/>
    <x v="3"/>
    <x v="795"/>
    <n v="145.520004"/>
    <n v="148.61300700000001"/>
    <n v="145.166504"/>
    <n v="148.27049299999999"/>
    <n v="28954000"/>
    <n v="0"/>
    <n v="2.14"/>
    <x v="2"/>
    <n v="1.4443163684631386E-2"/>
    <s v=""/>
  </r>
  <r>
    <s v="Monday, November 1, 2021"/>
    <x v="4"/>
    <x v="796"/>
    <n v="148.16499300000001"/>
    <n v="148.399506"/>
    <n v="143.579498"/>
    <n v="143.774002"/>
    <n v="32272000"/>
    <n v="0"/>
    <n v="-4.5"/>
    <x v="1"/>
    <n v="-3.1274715438469831E-2"/>
    <s v=""/>
  </r>
  <r>
    <s v="Tuesday, November 2, 2021"/>
    <x v="0"/>
    <x v="797"/>
    <n v="144.80940200000001"/>
    <n v="146.920502"/>
    <n v="144.641006"/>
    <n v="145.86300700000001"/>
    <n v="21150000"/>
    <n v="0"/>
    <n v="2.09"/>
    <x v="2"/>
    <n v="1.432169158558492E-2"/>
    <s v=""/>
  </r>
  <r>
    <s v="Wednesday, November 3, 2021"/>
    <x v="1"/>
    <x v="798"/>
    <n v="146.27499399999999"/>
    <n v="146.910507"/>
    <n v="145.05349699999999"/>
    <n v="146.78999300000001"/>
    <n v="17886000"/>
    <n v="0"/>
    <n v="0.93"/>
    <x v="2"/>
    <n v="6.3150490101869499E-3"/>
    <s v=""/>
  </r>
  <r>
    <s v="Thursday, November 4, 2021"/>
    <x v="2"/>
    <x v="799"/>
    <n v="147.199997"/>
    <n v="149.949997"/>
    <n v="146.634995"/>
    <n v="148.682999"/>
    <n v="24700000"/>
    <n v="0"/>
    <n v="1.89"/>
    <x v="2"/>
    <n v="1.2731825512881843E-2"/>
    <s v=""/>
  </r>
  <r>
    <s v="Friday, November 5, 2021"/>
    <x v="3"/>
    <x v="800"/>
    <n v="149.3535"/>
    <n v="150.57075499999999"/>
    <n v="148.651993"/>
    <n v="149.24099699999999"/>
    <n v="20408000"/>
    <n v="0"/>
    <n v="0.56000000000000005"/>
    <x v="2"/>
    <n v="3.738905603799992E-3"/>
    <s v=""/>
  </r>
  <r>
    <s v="Monday, November 8, 2021"/>
    <x v="4"/>
    <x v="801"/>
    <n v="150"/>
    <n v="151.03450000000001"/>
    <n v="149.11999499999999"/>
    <n v="149.35150100000001"/>
    <n v="18388000"/>
    <n v="0"/>
    <n v="0.11"/>
    <x v="2"/>
    <n v="7.3989212870395008E-4"/>
    <s v=""/>
  </r>
  <r>
    <s v="Tuesday, November 9, 2021"/>
    <x v="0"/>
    <x v="802"/>
    <n v="149.746002"/>
    <n v="150.37849399999999"/>
    <n v="147.50700399999999"/>
    <n v="149.24850499999999"/>
    <n v="16876000"/>
    <n v="0"/>
    <n v="-0.1"/>
    <x v="1"/>
    <n v="-6.9009736479449992E-4"/>
    <s v=""/>
  </r>
  <r>
    <s v="Wednesday, November 10, 2021"/>
    <x v="1"/>
    <x v="803"/>
    <n v="148.00975"/>
    <n v="148.699997"/>
    <n v="145.324997"/>
    <n v="146.62600699999999"/>
    <n v="22708000"/>
    <n v="0"/>
    <n v="-2.62"/>
    <x v="1"/>
    <n v="-1.7885626524631524E-2"/>
    <s v=""/>
  </r>
  <r>
    <s v="Thursday, November 11, 2021"/>
    <x v="2"/>
    <x v="804"/>
    <n v="147.10699500000001"/>
    <n v="148.50224299999999"/>
    <n v="146.69450399999999"/>
    <n v="146.74800099999999"/>
    <n v="12464000"/>
    <n v="0"/>
    <n v="0.12"/>
    <x v="2"/>
    <n v="8.3131626440349836E-4"/>
    <s v=""/>
  </r>
  <r>
    <s v="Friday, November 12, 2021"/>
    <x v="3"/>
    <x v="805"/>
    <n v="147.83149700000001"/>
    <n v="149.859497"/>
    <n v="146.45399499999999"/>
    <n v="149.64549299999999"/>
    <n v="17048000"/>
    <n v="0"/>
    <n v="2.9"/>
    <x v="2"/>
    <n v="1.9362373980751964E-2"/>
    <s v=""/>
  </r>
  <r>
    <s v="Monday, November 15, 2021"/>
    <x v="4"/>
    <x v="806"/>
    <n v="150"/>
    <n v="150.47700499999999"/>
    <n v="148.65249600000001"/>
    <n v="149.38800000000001"/>
    <n v="16248000"/>
    <n v="0"/>
    <n v="-0.26"/>
    <x v="1"/>
    <n v="-1.7236525022088951E-3"/>
    <s v=""/>
  </r>
  <r>
    <s v="Tuesday, November 16, 2021"/>
    <x v="0"/>
    <x v="807"/>
    <n v="149.170502"/>
    <n v="149.832504"/>
    <n v="148.35000600000001"/>
    <n v="149.07600400000001"/>
    <n v="17254000"/>
    <n v="0"/>
    <n v="-0.31"/>
    <x v="1"/>
    <n v="-2.0928653279436806E-3"/>
    <s v=""/>
  </r>
  <r>
    <s v="Wednesday, November 17, 2021"/>
    <x v="1"/>
    <x v="808"/>
    <n v="149.229004"/>
    <n v="149.62600699999999"/>
    <n v="148.56300400000001"/>
    <n v="149.06199599999999"/>
    <n v="15290000"/>
    <n v="0"/>
    <n v="-0.01"/>
    <x v="1"/>
    <n v="-9.3974321932588557E-5"/>
    <s v=""/>
  </r>
  <r>
    <s v="Thursday, November 18, 2021"/>
    <x v="2"/>
    <x v="809"/>
    <n v="149.145996"/>
    <n v="151.61000100000001"/>
    <n v="148.99850499999999"/>
    <n v="150.709"/>
    <n v="26658000"/>
    <n v="0"/>
    <n v="1.65"/>
    <x v="2"/>
    <n v="1.0928371895507299E-2"/>
    <s v=""/>
  </r>
  <r>
    <s v="Friday, November 19, 2021"/>
    <x v="3"/>
    <x v="810"/>
    <n v="151"/>
    <n v="151.85000600000001"/>
    <n v="149.887497"/>
    <n v="149.95249899999999"/>
    <n v="19766000"/>
    <n v="0"/>
    <n v="-0.76"/>
    <x v="1"/>
    <n v="-5.0449375972054615E-3"/>
    <s v=""/>
  </r>
  <r>
    <s v="Monday, November 22, 2021"/>
    <x v="4"/>
    <x v="811"/>
    <n v="150.14175399999999"/>
    <n v="150.744507"/>
    <n v="147.005493"/>
    <n v="147.078506"/>
    <n v="24608000"/>
    <n v="0"/>
    <n v="-2.87"/>
    <x v="1"/>
    <n v="-1.9540537078884826E-2"/>
    <s v=""/>
  </r>
  <r>
    <s v="Tuesday, November 23, 2021"/>
    <x v="0"/>
    <x v="812"/>
    <n v="147.11300700000001"/>
    <n v="147.69399999999999"/>
    <n v="144.88949600000001"/>
    <n v="146.75700399999999"/>
    <n v="18126000"/>
    <n v="0"/>
    <n v="-0.32"/>
    <x v="1"/>
    <n v="-2.1907097531100425E-3"/>
    <s v=""/>
  </r>
  <r>
    <s v="Wednesday, November 24, 2021"/>
    <x v="1"/>
    <x v="813"/>
    <n v="146.35000600000001"/>
    <n v="147"/>
    <n v="145.199005"/>
    <n v="146.717499"/>
    <n v="16464000"/>
    <n v="0"/>
    <n v="-0.04"/>
    <x v="1"/>
    <n v="-2.692589518581641E-4"/>
    <s v=""/>
  </r>
  <r>
    <s v="Friday, November 26, 2021"/>
    <x v="3"/>
    <x v="814"/>
    <n v="145.015503"/>
    <n v="145.296997"/>
    <n v="142.48550399999999"/>
    <n v="142.80600000000001"/>
    <n v="16992000"/>
    <n v="0"/>
    <n v="-3.91"/>
    <x v="1"/>
    <n v="-2.7390298726944189E-2"/>
    <s v=""/>
  </r>
  <r>
    <s v="Monday, November 29, 2021"/>
    <x v="4"/>
    <x v="815"/>
    <n v="144.29849200000001"/>
    <n v="146.86199999999999"/>
    <n v="144.29849200000001"/>
    <n v="146.11399800000001"/>
    <n v="26276000"/>
    <n v="0"/>
    <n v="3.31"/>
    <x v="2"/>
    <n v="2.2639843172315342E-2"/>
    <s v=""/>
  </r>
  <r>
    <s v="Tuesday, November 30, 2021"/>
    <x v="0"/>
    <x v="816"/>
    <n v="145.450256"/>
    <n v="146.62849399999999"/>
    <n v="142.06599399999999"/>
    <n v="142.45199600000001"/>
    <n v="41590000"/>
    <n v="0"/>
    <n v="-3.66"/>
    <x v="1"/>
    <n v="-2.5706919543619457E-2"/>
    <s v=""/>
  </r>
  <r>
    <s v="Wednesday, December 1, 2021"/>
    <x v="1"/>
    <x v="817"/>
    <n v="144.21249399999999"/>
    <n v="146.499146"/>
    <n v="141.5"/>
    <n v="141.61799600000001"/>
    <n v="28476000"/>
    <n v="0"/>
    <n v="-0.83"/>
    <x v="1"/>
    <n v="-5.8890820627062338E-3"/>
    <s v=""/>
  </r>
  <r>
    <s v="Thursday, December 2, 2021"/>
    <x v="2"/>
    <x v="818"/>
    <n v="141.824005"/>
    <n v="144.675003"/>
    <n v="140.98199500000001"/>
    <n v="143.77650499999999"/>
    <n v="21250000"/>
    <n v="0"/>
    <n v="2.16"/>
    <x v="2"/>
    <n v="1.501294665633986E-2"/>
    <s v=""/>
  </r>
  <r>
    <s v="Friday, December 3, 2021"/>
    <x v="3"/>
    <x v="819"/>
    <n v="144.495499"/>
    <n v="145.212997"/>
    <n v="141.14999399999999"/>
    <n v="142.52049299999999"/>
    <n v="26688000"/>
    <n v="0"/>
    <n v="-1.26"/>
    <x v="1"/>
    <n v="-8.8128519173730231E-3"/>
    <s v=""/>
  </r>
  <r>
    <s v="Monday, December 6, 2021"/>
    <x v="4"/>
    <x v="820"/>
    <n v="143.574005"/>
    <n v="144.35150100000001"/>
    <n v="140.64700300000001"/>
    <n v="143.796494"/>
    <n v="22198000"/>
    <n v="0"/>
    <n v="1.28"/>
    <x v="2"/>
    <n v="8.873658630369723E-3"/>
    <s v=""/>
  </r>
  <r>
    <s v="Tuesday, December 7, 2021"/>
    <x v="0"/>
    <x v="821"/>
    <n v="145.949997"/>
    <n v="148.300003"/>
    <n v="145.70249899999999"/>
    <n v="148.03649899999999"/>
    <n v="23258000"/>
    <n v="0"/>
    <n v="4.24"/>
    <x v="2"/>
    <n v="2.8641618983437298E-2"/>
    <s v=""/>
  </r>
  <r>
    <s v="Wednesday, December 8, 2021"/>
    <x v="1"/>
    <x v="822"/>
    <n v="148.33149700000001"/>
    <n v="149.15649400000001"/>
    <n v="147.199997"/>
    <n v="148.720505"/>
    <n v="18964000"/>
    <n v="0"/>
    <n v="0.68"/>
    <x v="2"/>
    <n v="4.5992716337267059E-3"/>
    <s v=""/>
  </r>
  <r>
    <s v="Thursday, December 9, 2021"/>
    <x v="2"/>
    <x v="823"/>
    <n v="148.175995"/>
    <n v="149.604996"/>
    <n v="147.52900700000001"/>
    <n v="148.10600299999999"/>
    <n v="18580000"/>
    <n v="0"/>
    <n v="-0.61"/>
    <x v="1"/>
    <n v="-4.1490688260624785E-3"/>
    <s v=""/>
  </r>
  <r>
    <s v="Friday, December 10, 2021"/>
    <x v="3"/>
    <x v="824"/>
    <n v="149.10000600000001"/>
    <n v="149.39999399999999"/>
    <n v="147.35749799999999"/>
    <n v="148.675003"/>
    <n v="21634000"/>
    <n v="0"/>
    <n v="0.56999999999999995"/>
    <x v="2"/>
    <n v="3.8271396570949915E-3"/>
    <s v=""/>
  </r>
  <r>
    <s v="Monday, December 13, 2021"/>
    <x v="4"/>
    <x v="825"/>
    <n v="148.44399999999999"/>
    <n v="148.5625"/>
    <n v="146.36000100000001"/>
    <n v="146.704498"/>
    <n v="24104000"/>
    <n v="0"/>
    <n v="-1.97"/>
    <x v="1"/>
    <n v="-1.3431796753770991E-2"/>
    <s v=""/>
  </r>
  <r>
    <s v="Tuesday, December 14, 2021"/>
    <x v="0"/>
    <x v="826"/>
    <n v="144.770004"/>
    <n v="145.442001"/>
    <n v="142.242493"/>
    <n v="144.970505"/>
    <n v="24778000"/>
    <n v="0"/>
    <n v="-1.73"/>
    <x v="1"/>
    <n v="-1.1961005447280453E-2"/>
    <s v=""/>
  </r>
  <r>
    <s v="Wednesday, December 15, 2021"/>
    <x v="1"/>
    <x v="827"/>
    <n v="144.36599699999999"/>
    <n v="147.51724200000001"/>
    <n v="142.70550499999999"/>
    <n v="147.36850000000001"/>
    <n v="27280000"/>
    <n v="0"/>
    <n v="2.4"/>
    <x v="2"/>
    <n v="1.6272100211374946E-2"/>
    <s v=""/>
  </r>
  <r>
    <s v="Thursday, December 16, 2021"/>
    <x v="2"/>
    <x v="828"/>
    <n v="148.07699600000001"/>
    <n v="148.55149800000001"/>
    <n v="144.092499"/>
    <n v="144.83850100000001"/>
    <n v="27400000"/>
    <n v="0"/>
    <n v="-2.5299999999999998"/>
    <x v="1"/>
    <n v="-1.7467724275881613E-2"/>
    <s v=""/>
  </r>
  <r>
    <s v="Friday, December 17, 2021"/>
    <x v="3"/>
    <x v="829"/>
    <n v="142.714493"/>
    <n v="144.46009799999999"/>
    <n v="141.787994"/>
    <n v="142.80299400000001"/>
    <n v="43404000"/>
    <n v="0"/>
    <n v="-2.04"/>
    <x v="1"/>
    <n v="-1.4253951846415737E-2"/>
    <s v=""/>
  </r>
  <r>
    <s v="Monday, December 20, 2021"/>
    <x v="4"/>
    <x v="830"/>
    <n v="140.679596"/>
    <n v="142.61050399999999"/>
    <n v="140.25"/>
    <n v="142.40150499999999"/>
    <n v="20264000"/>
    <n v="0"/>
    <n v="-0.4"/>
    <x v="1"/>
    <n v="-2.819415426824502E-3"/>
    <s v=""/>
  </r>
  <r>
    <s v="Tuesday, December 21, 2021"/>
    <x v="0"/>
    <x v="831"/>
    <n v="143.14999399999999"/>
    <n v="144.692047"/>
    <n v="141.73500100000001"/>
    <n v="144.220505"/>
    <n v="19548000"/>
    <n v="0"/>
    <n v="1.82"/>
    <x v="2"/>
    <n v="1.2612630915416756E-2"/>
    <s v=""/>
  </r>
  <r>
    <s v="Wednesday, December 22, 2021"/>
    <x v="1"/>
    <x v="832"/>
    <n v="144.10000600000001"/>
    <n v="147.30299400000001"/>
    <n v="143.962997"/>
    <n v="146.949005"/>
    <n v="18438000"/>
    <n v="0"/>
    <n v="2.73"/>
    <x v="2"/>
    <n v="1.8567665701445184E-2"/>
    <s v=""/>
  </r>
  <r>
    <s v="Thursday, December 23, 2021"/>
    <x v="2"/>
    <x v="833"/>
    <n v="147.089493"/>
    <n v="148.57260099999999"/>
    <n v="146.950851"/>
    <n v="147.14250200000001"/>
    <n v="13818000"/>
    <n v="0"/>
    <n v="0.19"/>
    <x v="2"/>
    <n v="1.3150313292892614E-3"/>
    <s v=""/>
  </r>
  <r>
    <s v="Monday, December 27, 2021"/>
    <x v="4"/>
    <x v="834"/>
    <n v="147.46350100000001"/>
    <n v="148.42649800000001"/>
    <n v="147.25"/>
    <n v="148.06399500000001"/>
    <n v="13256000"/>
    <n v="0"/>
    <n v="0.92"/>
    <x v="2"/>
    <n v="6.2236129722151434E-3"/>
    <s v=""/>
  </r>
  <r>
    <s v="Tuesday, December 28, 2021"/>
    <x v="0"/>
    <x v="835"/>
    <n v="148.37449599999999"/>
    <n v="148.37449599999999"/>
    <n v="145.93550099999999"/>
    <n v="146.44799800000001"/>
    <n v="18624000"/>
    <n v="0"/>
    <n v="-1.62"/>
    <x v="1"/>
    <n v="-1.1034613119122277E-2"/>
    <s v=""/>
  </r>
  <r>
    <s v="Wednesday, December 29, 2021"/>
    <x v="1"/>
    <x v="836"/>
    <n v="146.42950400000001"/>
    <n v="147.18374600000001"/>
    <n v="145.504501"/>
    <n v="146.504501"/>
    <n v="17022000"/>
    <n v="0"/>
    <n v="0.06"/>
    <x v="2"/>
    <n v="3.8567415754681963E-4"/>
    <s v=""/>
  </r>
  <r>
    <s v="Thursday, December 30, 2021"/>
    <x v="2"/>
    <x v="837"/>
    <n v="146.449997"/>
    <n v="147.0625"/>
    <n v="145.758499"/>
    <n v="146.00250199999999"/>
    <n v="12978000"/>
    <n v="0"/>
    <n v="-0.5"/>
    <x v="1"/>
    <n v="-3.4382903931332088E-3"/>
    <s v=""/>
  </r>
  <r>
    <s v="Friday, December 31, 2021"/>
    <x v="3"/>
    <x v="838"/>
    <n v="145.544006"/>
    <n v="146.365005"/>
    <n v="144.677505"/>
    <n v="144.67950400000001"/>
    <n v="17298000"/>
    <n v="0"/>
    <n v="-1.32"/>
    <x v="1"/>
    <n v="-9.1443360215002125E-3"/>
    <s v=""/>
  </r>
  <r>
    <s v="Monday, January 3, 2022"/>
    <x v="4"/>
    <x v="839"/>
    <n v="144.475494"/>
    <n v="145.550003"/>
    <n v="143.50250199999999"/>
    <n v="145.07449299999999"/>
    <n v="25214000"/>
    <n v="0"/>
    <n v="0.39"/>
    <x v="2"/>
    <n v="2.7226633147701658E-3"/>
    <s v=""/>
  </r>
  <r>
    <s v="Tuesday, January 4, 2022"/>
    <x v="0"/>
    <x v="840"/>
    <n v="145.55050700000001"/>
    <n v="146.61000100000001"/>
    <n v="143.816147"/>
    <n v="144.416504"/>
    <n v="22928000"/>
    <n v="0"/>
    <n v="-0.66"/>
    <x v="1"/>
    <n v="-4.5561897828518714E-3"/>
    <s v=""/>
  </r>
  <r>
    <s v="Wednesday, January 5, 2022"/>
    <x v="1"/>
    <x v="841"/>
    <n v="144.18100000000001"/>
    <n v="144.29800399999999"/>
    <n v="137.52349899999999"/>
    <n v="137.653503"/>
    <n v="49642000"/>
    <n v="0"/>
    <n v="-6.76"/>
    <x v="1"/>
    <n v="-4.9130613116325869E-2"/>
    <s v=""/>
  </r>
  <r>
    <s v="Thursday, January 6, 2022"/>
    <x v="2"/>
    <x v="842"/>
    <n v="137.49749800000001"/>
    <n v="139.68600499999999"/>
    <n v="136.76350400000001"/>
    <n v="137.550995"/>
    <n v="29050000"/>
    <n v="0"/>
    <n v="-0.1"/>
    <x v="1"/>
    <n v="-7.4523633943905871E-4"/>
    <s v=""/>
  </r>
  <r>
    <s v="Friday, January 7, 2022"/>
    <x v="3"/>
    <x v="843"/>
    <n v="137.904999"/>
    <n v="138.25474500000001"/>
    <n v="135.78900100000001"/>
    <n v="137.004501"/>
    <n v="19408000"/>
    <n v="0"/>
    <n v="-0.55000000000000004"/>
    <x v="1"/>
    <n v="-3.9888762486715353E-3"/>
    <s v=""/>
  </r>
  <r>
    <s v="Monday, January 10, 2022"/>
    <x v="4"/>
    <x v="844"/>
    <n v="135.09899899999999"/>
    <n v="138.63999899999999"/>
    <n v="133.140503"/>
    <n v="138.574005"/>
    <n v="34096000"/>
    <n v="0"/>
    <n v="1.57"/>
    <x v="2"/>
    <n v="1.1326106941918832E-2"/>
    <s v=""/>
  </r>
  <r>
    <s v="Tuesday, January 11, 2022"/>
    <x v="0"/>
    <x v="845"/>
    <n v="138.18049600000001"/>
    <n v="140.329498"/>
    <n v="136.81350699999999"/>
    <n v="140.01750200000001"/>
    <n v="23502000"/>
    <n v="0"/>
    <n v="1.44"/>
    <x v="2"/>
    <n v="1.0309404034361416E-2"/>
    <s v=""/>
  </r>
  <r>
    <s v="Wednesday, January 12, 2022"/>
    <x v="1"/>
    <x v="846"/>
    <n v="141.55450400000001"/>
    <n v="142.814255"/>
    <n v="141.11199999999999"/>
    <n v="141.64799500000001"/>
    <n v="23642000"/>
    <n v="0"/>
    <n v="1.63"/>
    <x v="2"/>
    <n v="1.1510879486857552E-2"/>
    <s v=""/>
  </r>
  <r>
    <s v="Thursday, January 13, 2022"/>
    <x v="2"/>
    <x v="847"/>
    <n v="141.84049999999999"/>
    <n v="143.18550099999999"/>
    <n v="138.91400100000001"/>
    <n v="139.13099700000001"/>
    <n v="26566000"/>
    <n v="0"/>
    <n v="-2.52"/>
    <x v="1"/>
    <n v="-1.8090850021005748E-2"/>
    <s v=""/>
  </r>
  <r>
    <s v="Friday, January 14, 2022"/>
    <x v="3"/>
    <x v="848"/>
    <n v="137.5"/>
    <n v="141.20050000000001"/>
    <n v="137.5"/>
    <n v="139.78649899999999"/>
    <n v="23826000"/>
    <n v="0"/>
    <n v="0.66"/>
    <x v="2"/>
    <n v="4.6893083716188092E-3"/>
    <s v=""/>
  </r>
  <r>
    <s v="Tuesday, January 18, 2022"/>
    <x v="0"/>
    <x v="849"/>
    <n v="136.60000600000001"/>
    <n v="137.39149499999999"/>
    <n v="135.61700400000001"/>
    <n v="136.29049699999999"/>
    <n v="27382000"/>
    <n v="0"/>
    <n v="-3.5"/>
    <x v="1"/>
    <n v="-2.5651106107566726E-2"/>
    <s v=""/>
  </r>
  <r>
    <s v="Wednesday, January 19, 2022"/>
    <x v="1"/>
    <x v="850"/>
    <n v="136.93850699999999"/>
    <n v="138.399506"/>
    <n v="135.5"/>
    <n v="135.651993"/>
    <n v="20796000"/>
    <n v="0"/>
    <n v="-0.64"/>
    <x v="1"/>
    <n v="-4.7069267902314074E-3"/>
    <s v=""/>
  </r>
  <r>
    <s v="Thursday, January 20, 2022"/>
    <x v="2"/>
    <x v="851"/>
    <n v="136.51400799999999"/>
    <n v="137.912003"/>
    <n v="133.14450099999999"/>
    <n v="133.50649999999999"/>
    <n v="21930000"/>
    <n v="0"/>
    <n v="-2.15"/>
    <x v="1"/>
    <n v="-1.6070326163894765E-2"/>
    <s v=""/>
  </r>
  <r>
    <s v="Friday, January 21, 2022"/>
    <x v="3"/>
    <x v="852"/>
    <n v="133.01199299999999"/>
    <n v="134.76049800000001"/>
    <n v="130.00100699999999"/>
    <n v="130.091995"/>
    <n v="41920000"/>
    <n v="0"/>
    <n v="-3.41"/>
    <x v="1"/>
    <n v="-2.6246849393000631E-2"/>
    <s v=""/>
  </r>
  <r>
    <s v="Monday, January 24, 2022"/>
    <x v="4"/>
    <x v="853"/>
    <n v="126.027496"/>
    <n v="130.778503"/>
    <n v="124.641953"/>
    <n v="130.371994"/>
    <n v="55148000"/>
    <n v="0"/>
    <n v="0.28000000000000003"/>
    <x v="2"/>
    <n v="2.1476928549547507E-3"/>
    <s v=""/>
  </r>
  <r>
    <s v="Tuesday, January 25, 2022"/>
    <x v="0"/>
    <x v="854"/>
    <n v="128.43550099999999"/>
    <n v="129.33850100000001"/>
    <n v="126.37799800000001"/>
    <n v="126.735497"/>
    <n v="36008000"/>
    <n v="0"/>
    <n v="-3.64"/>
    <x v="1"/>
    <n v="-2.8693594818190563E-2"/>
    <s v=""/>
  </r>
  <r>
    <s v="Wednesday, January 26, 2022"/>
    <x v="1"/>
    <x v="855"/>
    <n v="130.592499"/>
    <n v="132.80749499999999"/>
    <n v="127.153503"/>
    <n v="129.240005"/>
    <n v="39630000"/>
    <n v="0"/>
    <n v="2.5"/>
    <x v="2"/>
    <n v="1.9378736483335803E-2"/>
    <s v=""/>
  </r>
  <r>
    <s v="Thursday, January 27, 2022"/>
    <x v="2"/>
    <x v="856"/>
    <n v="131.36099200000001"/>
    <n v="132.60995500000001"/>
    <n v="128.945007"/>
    <n v="129.121002"/>
    <n v="30248000"/>
    <n v="0"/>
    <n v="-0.12"/>
    <x v="1"/>
    <n v="-9.2163937823214995E-4"/>
    <s v=""/>
  </r>
  <r>
    <s v="Friday, January 28, 2022"/>
    <x v="3"/>
    <x v="857"/>
    <n v="130"/>
    <n v="133.370499"/>
    <n v="128.69450399999999"/>
    <n v="133.28950499999999"/>
    <n v="30518000"/>
    <n v="0"/>
    <n v="4.17"/>
    <x v="2"/>
    <n v="3.1274052672038859E-2"/>
    <s v=""/>
  </r>
  <r>
    <s v="Monday, January 31, 2022"/>
    <x v="4"/>
    <x v="858"/>
    <n v="134.19799800000001"/>
    <n v="135.84350599999999"/>
    <n v="132.274002"/>
    <n v="135.69850199999999"/>
    <n v="34056000"/>
    <n v="0"/>
    <n v="2.41"/>
    <x v="2"/>
    <n v="1.7752568852970829E-2"/>
    <s v=""/>
  </r>
  <r>
    <s v="Tuesday, February 1, 2022"/>
    <x v="0"/>
    <x v="859"/>
    <n v="137.83500699999999"/>
    <n v="138.199997"/>
    <n v="134.568253"/>
    <n v="137.87849399999999"/>
    <n v="51204000"/>
    <n v="0"/>
    <n v="2.1800000000000002"/>
    <x v="2"/>
    <n v="1.581096468895286E-2"/>
    <s v=""/>
  </r>
  <r>
    <s v="Wednesday, February 2, 2022"/>
    <x v="1"/>
    <x v="860"/>
    <n v="151.863495"/>
    <n v="152.10000600000001"/>
    <n v="145.55749499999999"/>
    <n v="148.03649899999999"/>
    <n v="89750000"/>
    <n v="0"/>
    <n v="10.16"/>
    <x v="2"/>
    <n v="6.8618246639296734E-2"/>
    <n v="6.8618246639296734E-2"/>
  </r>
  <r>
    <s v="Thursday, February 3, 2022"/>
    <x v="2"/>
    <x v="861"/>
    <n v="145.29499799999999"/>
    <n v="149.117706"/>
    <n v="142.20500200000001"/>
    <n v="142.650497"/>
    <n v="56930000"/>
    <n v="0"/>
    <n v="-5.39"/>
    <x v="1"/>
    <n v="-3.7756629757833865E-2"/>
    <s v=""/>
  </r>
  <r>
    <s v="Friday, February 4, 2022"/>
    <x v="3"/>
    <x v="862"/>
    <n v="143.016998"/>
    <n v="144.535248"/>
    <n v="139.81750500000001"/>
    <n v="143.016006"/>
    <n v="49224000"/>
    <n v="0"/>
    <n v="0.37"/>
    <x v="2"/>
    <n v="2.555720930984487E-3"/>
    <s v=""/>
  </r>
  <r>
    <s v="Monday, February 7, 2022"/>
    <x v="4"/>
    <x v="863"/>
    <n v="143.709"/>
    <n v="143.846497"/>
    <n v="138.699005"/>
    <n v="138.93800400000001"/>
    <n v="44610000"/>
    <n v="0"/>
    <n v="-4.08"/>
    <x v="1"/>
    <n v="-2.9351234958003267E-2"/>
    <s v=""/>
  </r>
  <r>
    <s v="Tuesday, February 8, 2022"/>
    <x v="0"/>
    <x v="864"/>
    <n v="138.99125699999999"/>
    <n v="139.837097"/>
    <n v="136.87300099999999"/>
    <n v="139.212997"/>
    <n v="34256000"/>
    <n v="0"/>
    <n v="0.27"/>
    <x v="2"/>
    <n v="1.9753399892683508E-3"/>
    <s v=""/>
  </r>
  <r>
    <s v="Wednesday, February 9, 2022"/>
    <x v="1"/>
    <x v="865"/>
    <n v="140.84974700000001"/>
    <n v="142.17550700000001"/>
    <n v="140.37699900000001"/>
    <n v="141.453003"/>
    <n v="28628000"/>
    <n v="0"/>
    <n v="2.2400000000000002"/>
    <x v="2"/>
    <n v="1.5835690671056266E-2"/>
    <s v=""/>
  </r>
  <r>
    <s v="Thursday, February 10, 2022"/>
    <x v="2"/>
    <x v="866"/>
    <n v="139.5"/>
    <n v="141.43100000000001"/>
    <n v="138.050003"/>
    <n v="138.60249300000001"/>
    <n v="33018000"/>
    <n v="0"/>
    <n v="-2.85"/>
    <x v="1"/>
    <n v="-2.0566080294096768E-2"/>
    <s v=""/>
  </r>
  <r>
    <s v="Friday, February 11, 2022"/>
    <x v="3"/>
    <x v="867"/>
    <n v="138.75"/>
    <n v="139.28324900000001"/>
    <n v="133.288498"/>
    <n v="134.13000500000001"/>
    <n v="38808000"/>
    <n v="0"/>
    <n v="-4.47"/>
    <x v="1"/>
    <n v="-3.3344425805396774E-2"/>
    <s v=""/>
  </r>
  <r>
    <s v="Monday, February 14, 2022"/>
    <x v="4"/>
    <x v="868"/>
    <n v="133.36549400000001"/>
    <n v="136.166504"/>
    <n v="133.30200199999999"/>
    <n v="135.300003"/>
    <n v="26792000"/>
    <n v="0"/>
    <n v="1.17"/>
    <x v="2"/>
    <n v="8.6474351371595495E-3"/>
    <s v=""/>
  </r>
  <r>
    <s v="Tuesday, February 15, 2022"/>
    <x v="0"/>
    <x v="869"/>
    <n v="137.471497"/>
    <n v="137.89999399999999"/>
    <n v="135.53950499999999"/>
    <n v="136.42550700000001"/>
    <n v="26578000"/>
    <n v="0"/>
    <n v="1.1299999999999999"/>
    <x v="2"/>
    <n v="8.2499528478938069E-3"/>
    <s v=""/>
  </r>
  <r>
    <s v="Wednesday, February 16, 2022"/>
    <x v="1"/>
    <x v="870"/>
    <n v="136.43049600000001"/>
    <n v="137.945999"/>
    <n v="134.823654"/>
    <n v="137.487503"/>
    <n v="25610000"/>
    <n v="0"/>
    <n v="1.06"/>
    <x v="2"/>
    <n v="7.7243093141344888E-3"/>
    <s v=""/>
  </r>
  <r>
    <s v="Thursday, February 17, 2022"/>
    <x v="2"/>
    <x v="871"/>
    <n v="136.14999399999999"/>
    <n v="136.839493"/>
    <n v="132.20199600000001"/>
    <n v="132.308502"/>
    <n v="30968000"/>
    <n v="0"/>
    <n v="-5.18"/>
    <x v="1"/>
    <n v="-3.9143372660964744E-2"/>
    <s v=""/>
  </r>
  <r>
    <s v="Friday, February 18, 2022"/>
    <x v="3"/>
    <x v="872"/>
    <n v="133.03750600000001"/>
    <n v="133.824005"/>
    <n v="130.307053"/>
    <n v="130.467499"/>
    <n v="31858000"/>
    <n v="0"/>
    <n v="-1.84"/>
    <x v="1"/>
    <n v="-1.4110816978257555E-2"/>
    <s v=""/>
  </r>
  <r>
    <s v="Tuesday, February 22, 2022"/>
    <x v="0"/>
    <x v="873"/>
    <n v="129.98500100000001"/>
    <n v="131.900757"/>
    <n v="127.74099699999999"/>
    <n v="129.40249600000001"/>
    <n v="38906000"/>
    <n v="0"/>
    <n v="-1.07"/>
    <x v="1"/>
    <n v="-8.2301580952502656E-3"/>
    <s v=""/>
  </r>
  <r>
    <s v="Wednesday, February 23, 2022"/>
    <x v="1"/>
    <x v="874"/>
    <n v="131.078506"/>
    <n v="131.74899300000001"/>
    <n v="127.503502"/>
    <n v="127.584999"/>
    <n v="26432000"/>
    <n v="0"/>
    <n v="-1.82"/>
    <x v="1"/>
    <n v="-1.4245381622019821E-2"/>
    <s v=""/>
  </r>
  <r>
    <s v="Thursday, February 24, 2022"/>
    <x v="2"/>
    <x v="875"/>
    <n v="125"/>
    <n v="133.037003"/>
    <n v="124.764503"/>
    <n v="132.67349200000001"/>
    <n v="43166000"/>
    <n v="0"/>
    <n v="5.09"/>
    <x v="2"/>
    <n v="3.8353501692712011E-2"/>
    <s v=""/>
  </r>
  <r>
    <s v="Friday, February 25, 2022"/>
    <x v="3"/>
    <x v="876"/>
    <n v="133.525497"/>
    <n v="135.38900799999999"/>
    <n v="131.76499899999999"/>
    <n v="134.51950099999999"/>
    <n v="26236000"/>
    <n v="0"/>
    <n v="1.85"/>
    <x v="2"/>
    <n v="1.3722984298016248E-2"/>
    <s v=""/>
  </r>
  <r>
    <s v="Monday, February 28, 2022"/>
    <x v="4"/>
    <x v="877"/>
    <n v="133.28450000000001"/>
    <n v="135.640503"/>
    <n v="132.825256"/>
    <n v="134.891006"/>
    <n v="29676000"/>
    <n v="0"/>
    <n v="0.37"/>
    <x v="2"/>
    <n v="2.7541124572828322E-3"/>
    <s v=""/>
  </r>
  <r>
    <s v="Tuesday, March 1, 2022"/>
    <x v="0"/>
    <x v="878"/>
    <n v="134.479996"/>
    <n v="136.11099200000001"/>
    <n v="133.37849399999999"/>
    <n v="134.16799900000001"/>
    <n v="24640000"/>
    <n v="0"/>
    <n v="-0.72"/>
    <x v="1"/>
    <n v="-5.3888185363783767E-3"/>
    <s v=""/>
  </r>
  <r>
    <s v="Wednesday, March 2, 2022"/>
    <x v="1"/>
    <x v="879"/>
    <n v="134.60824600000001"/>
    <n v="135.61549400000001"/>
    <n v="133.43249499999999"/>
    <n v="134.75149500000001"/>
    <n v="23966000"/>
    <n v="0"/>
    <n v="0.57999999999999996"/>
    <x v="2"/>
    <n v="4.3301634612662116E-3"/>
    <s v=""/>
  </r>
  <r>
    <s v="Thursday, March 3, 2022"/>
    <x v="2"/>
    <x v="880"/>
    <n v="135.9785"/>
    <n v="136.71380600000001"/>
    <n v="133.43100000000001"/>
    <n v="134.307999"/>
    <n v="19780000"/>
    <n v="0"/>
    <n v="-0.44"/>
    <x v="1"/>
    <n v="-3.3020818067582879E-3"/>
    <s v=""/>
  </r>
  <r>
    <s v="Friday, March 4, 2022"/>
    <x v="3"/>
    <x v="881"/>
    <n v="133.382507"/>
    <n v="134.199005"/>
    <n v="130.40849299999999"/>
    <n v="132.121994"/>
    <n v="24446000"/>
    <n v="0"/>
    <n v="-2.19"/>
    <x v="1"/>
    <n v="-1.6545352774497139E-2"/>
    <s v=""/>
  </r>
  <r>
    <s v="Monday, March 7, 2022"/>
    <x v="4"/>
    <x v="882"/>
    <n v="131.90400700000001"/>
    <n v="131.90400700000001"/>
    <n v="126.410004"/>
    <n v="126.4645"/>
    <n v="39178000"/>
    <n v="0"/>
    <n v="-5.66"/>
    <x v="1"/>
    <n v="-4.4735827050278933E-2"/>
    <s v=""/>
  </r>
  <r>
    <s v="Tuesday, March 8, 2022"/>
    <x v="0"/>
    <x v="883"/>
    <n v="126.25050400000001"/>
    <n v="131.24650600000001"/>
    <n v="125.860748"/>
    <n v="127.278503"/>
    <n v="35250000"/>
    <n v="0"/>
    <n v="0.81"/>
    <x v="2"/>
    <n v="6.3954476271613561E-3"/>
    <s v=""/>
  </r>
  <r>
    <s v="Wednesday, March 9, 2022"/>
    <x v="1"/>
    <x v="884"/>
    <n v="131.39999399999999"/>
    <n v="134.19850199999999"/>
    <n v="130.087997"/>
    <n v="133.86599699999999"/>
    <n v="32258000"/>
    <n v="0"/>
    <n v="6.59"/>
    <x v="2"/>
    <n v="4.9209613700482824E-2"/>
    <s v=""/>
  </r>
  <r>
    <s v="Thursday, March 10, 2022"/>
    <x v="2"/>
    <x v="885"/>
    <n v="131.46249399999999"/>
    <n v="133.538498"/>
    <n v="131.40100100000001"/>
    <n v="132.682007"/>
    <n v="24266000"/>
    <n v="0"/>
    <n v="-1.18"/>
    <x v="1"/>
    <n v="-8.9235159067196975E-3"/>
    <s v=""/>
  </r>
  <r>
    <s v="Friday, March 11, 2022"/>
    <x v="3"/>
    <x v="886"/>
    <n v="133.99949599999999"/>
    <n v="134.199997"/>
    <n v="130.296494"/>
    <n v="130.475494"/>
    <n v="26600000"/>
    <n v="0"/>
    <n v="-2.21"/>
    <x v="1"/>
    <n v="-1.6911321293790242E-2"/>
    <s v=""/>
  </r>
  <r>
    <s v="Monday, March 14, 2022"/>
    <x v="4"/>
    <x v="887"/>
    <n v="130.57299800000001"/>
    <n v="131.02600100000001"/>
    <n v="126.41300200000001"/>
    <n v="126.74099699999999"/>
    <n v="30254000"/>
    <n v="0"/>
    <n v="-3.73"/>
    <x v="1"/>
    <n v="-2.9465580107437571E-2"/>
    <s v=""/>
  </r>
  <r>
    <s v="Tuesday, March 15, 2022"/>
    <x v="0"/>
    <x v="888"/>
    <n v="127.741501"/>
    <n v="130.51724200000001"/>
    <n v="126.568001"/>
    <n v="129.660507"/>
    <n v="30292000"/>
    <n v="0"/>
    <n v="2.92"/>
    <x v="2"/>
    <n v="2.2516570909290077E-2"/>
    <s v=""/>
  </r>
  <r>
    <s v="Wednesday, March 16, 2022"/>
    <x v="1"/>
    <x v="889"/>
    <n v="131"/>
    <n v="133.770996"/>
    <n v="129.20100400000001"/>
    <n v="133.690506"/>
    <n v="32058000"/>
    <n v="0"/>
    <n v="4.03"/>
    <x v="2"/>
    <n v="3.0144242254569697E-2"/>
    <s v=""/>
  </r>
  <r>
    <s v="Thursday, March 17, 2022"/>
    <x v="2"/>
    <x v="890"/>
    <n v="133.320999"/>
    <n v="134.73950199999999"/>
    <n v="132.71899400000001"/>
    <n v="134.600494"/>
    <n v="23994000"/>
    <n v="0"/>
    <n v="0.91"/>
    <x v="2"/>
    <n v="6.76065869416496E-3"/>
    <s v=""/>
  </r>
  <r>
    <s v="Friday, March 18, 2022"/>
    <x v="3"/>
    <x v="891"/>
    <n v="133.88400300000001"/>
    <n v="136.913498"/>
    <n v="132.932007"/>
    <n v="136.80149800000001"/>
    <n v="45900000"/>
    <n v="0"/>
    <n v="2.2000000000000002"/>
    <x v="2"/>
    <n v="1.608903434668538E-2"/>
    <s v=""/>
  </r>
  <r>
    <s v="Monday, March 21, 2022"/>
    <x v="4"/>
    <x v="892"/>
    <n v="136.84750399999999"/>
    <n v="137.582504"/>
    <n v="134.61149599999999"/>
    <n v="136.4785"/>
    <n v="26632000"/>
    <n v="0"/>
    <n v="-0.32"/>
    <x v="1"/>
    <n v="-2.3666584846698383E-3"/>
    <s v=""/>
  </r>
  <r>
    <s v="Tuesday, March 22, 2022"/>
    <x v="0"/>
    <x v="893"/>
    <n v="136.5"/>
    <n v="141.5"/>
    <n v="136.5"/>
    <n v="140.27749600000001"/>
    <n v="29776000"/>
    <n v="0"/>
    <n v="3.8"/>
    <x v="2"/>
    <n v="2.7082006083142634E-2"/>
    <s v=""/>
  </r>
  <r>
    <s v="Wednesday, March 23, 2022"/>
    <x v="1"/>
    <x v="894"/>
    <n v="139.13850400000001"/>
    <n v="140.02499399999999"/>
    <n v="138.166504"/>
    <n v="138.50349399999999"/>
    <n v="25302000"/>
    <n v="0"/>
    <n v="-1.77"/>
    <x v="1"/>
    <n v="-1.2808355578380025E-2"/>
    <s v=""/>
  </r>
  <r>
    <s v="Thursday, March 24, 2022"/>
    <x v="2"/>
    <x v="895"/>
    <n v="139.27250699999999"/>
    <n v="141.3965"/>
    <n v="138.03939800000001"/>
    <n v="141.31199599999999"/>
    <n v="20544000"/>
    <n v="0"/>
    <n v="2.81"/>
    <x v="2"/>
    <n v="1.9874476898620867E-2"/>
    <s v=""/>
  </r>
  <r>
    <s v="Friday, March 25, 2022"/>
    <x v="3"/>
    <x v="896"/>
    <n v="141.753998"/>
    <n v="141.95950300000001"/>
    <n v="139.69949299999999"/>
    <n v="141.5215"/>
    <n v="19270000"/>
    <n v="0"/>
    <n v="0.21"/>
    <x v="2"/>
    <n v="1.4803687072282986E-3"/>
    <s v=""/>
  </r>
  <r>
    <s v="Monday, March 28, 2022"/>
    <x v="4"/>
    <x v="897"/>
    <n v="140.684494"/>
    <n v="141.97650100000001"/>
    <n v="139.82815600000001"/>
    <n v="141.949997"/>
    <n v="23774000"/>
    <n v="0"/>
    <n v="0.43"/>
    <x v="2"/>
    <n v="3.0186474748568897E-3"/>
    <s v=""/>
  </r>
  <r>
    <s v="Tuesday, March 29, 2022"/>
    <x v="0"/>
    <x v="898"/>
    <n v="143.160507"/>
    <n v="144.16250600000001"/>
    <n v="142.483994"/>
    <n v="143.25"/>
    <n v="28678000"/>
    <n v="0"/>
    <n v="1.3"/>
    <x v="2"/>
    <n v="9.0750645724258557E-3"/>
    <s v=""/>
  </r>
  <r>
    <s v="Wednesday, March 30, 2022"/>
    <x v="1"/>
    <x v="899"/>
    <n v="142.86999499999999"/>
    <n v="143.48049900000001"/>
    <n v="142.16799900000001"/>
    <n v="142.64450099999999"/>
    <n v="21046000"/>
    <n v="0"/>
    <n v="-0.61"/>
    <x v="1"/>
    <n v="-4.244811372013625E-3"/>
    <s v=""/>
  </r>
  <r>
    <s v="Thursday, March 31, 2022"/>
    <x v="2"/>
    <x v="900"/>
    <n v="142.44850199999999"/>
    <n v="142.64450099999999"/>
    <n v="139.61900299999999"/>
    <n v="139.649506"/>
    <n v="29516000"/>
    <n v="0"/>
    <n v="-2.99"/>
    <x v="1"/>
    <n v="-2.1446513387594717E-2"/>
    <s v=""/>
  </r>
  <r>
    <s v="Friday, April 1, 2022"/>
    <x v="3"/>
    <x v="901"/>
    <n v="140.009995"/>
    <n v="140.949997"/>
    <n v="138.796997"/>
    <n v="140.699997"/>
    <n v="23480000"/>
    <n v="0"/>
    <n v="1.05"/>
    <x v="2"/>
    <n v="7.4661764207428795E-3"/>
    <s v=""/>
  </r>
  <r>
    <s v="Monday, April 4, 2022"/>
    <x v="4"/>
    <x v="902"/>
    <n v="140.82449299999999"/>
    <n v="144.043747"/>
    <n v="140.82449299999999"/>
    <n v="143.64250200000001"/>
    <n v="19076000"/>
    <n v="0"/>
    <n v="2.94"/>
    <x v="2"/>
    <n v="2.0484918871713966E-2"/>
    <s v=""/>
  </r>
  <r>
    <s v="Tuesday, April 5, 2022"/>
    <x v="0"/>
    <x v="903"/>
    <n v="143.399506"/>
    <n v="143.58999600000001"/>
    <n v="140.94349700000001"/>
    <n v="141.06300400000001"/>
    <n v="19256000"/>
    <n v="0"/>
    <n v="-2.58"/>
    <x v="1"/>
    <n v="-1.8286141134496191E-2"/>
    <s v=""/>
  </r>
  <r>
    <s v="Wednesday, April 6, 2022"/>
    <x v="1"/>
    <x v="904"/>
    <n v="139.16149899999999"/>
    <n v="139.84849500000001"/>
    <n v="136.41810599999999"/>
    <n v="137.175995"/>
    <n v="23574000"/>
    <n v="0"/>
    <n v="-3.89"/>
    <x v="1"/>
    <n v="-2.8335927142354653E-2"/>
    <s v=""/>
  </r>
  <r>
    <s v="Thursday, April 7, 2022"/>
    <x v="2"/>
    <x v="905"/>
    <n v="136.61799600000001"/>
    <n v="137.70150799999999"/>
    <n v="134.85725400000001"/>
    <n v="136.46499600000001"/>
    <n v="19448000"/>
    <n v="0"/>
    <n v="-0.71"/>
    <x v="1"/>
    <n v="-5.2101199636571038E-3"/>
    <s v=""/>
  </r>
  <r>
    <s v="Friday, April 8, 2022"/>
    <x v="3"/>
    <x v="906"/>
    <n v="136.25"/>
    <n v="136.25"/>
    <n v="133.75250199999999"/>
    <n v="134.01049800000001"/>
    <n v="16434000"/>
    <n v="0"/>
    <n v="-2.4500000000000002"/>
    <x v="1"/>
    <n v="-1.8315714340528762E-2"/>
    <s v=""/>
  </r>
  <r>
    <s v="Monday, April 11, 2022"/>
    <x v="4"/>
    <x v="907"/>
    <n v="132.89999399999999"/>
    <n v="132.93919399999999"/>
    <n v="129.617493"/>
    <n v="129.796494"/>
    <n v="24188000"/>
    <n v="0"/>
    <n v="-4.21"/>
    <x v="1"/>
    <n v="-3.2466239034160793E-2"/>
    <s v=""/>
  </r>
  <r>
    <s v="Tuesday, April 12, 2022"/>
    <x v="0"/>
    <x v="908"/>
    <n v="132.42349200000001"/>
    <n v="132.42349200000001"/>
    <n v="127.575996"/>
    <n v="128.37449599999999"/>
    <n v="23004000"/>
    <n v="0"/>
    <n v="-1.42"/>
    <x v="1"/>
    <n v="-1.1076950985653741E-2"/>
    <s v=""/>
  </r>
  <r>
    <s v="Wednesday, April 13, 2022"/>
    <x v="1"/>
    <x v="909"/>
    <n v="128.62649500000001"/>
    <n v="130.65574599999999"/>
    <n v="128.43859900000001"/>
    <n v="130.28599500000001"/>
    <n v="19542000"/>
    <n v="0"/>
    <n v="1.91"/>
    <x v="2"/>
    <n v="1.467156159033072E-2"/>
    <s v=""/>
  </r>
  <r>
    <s v="Thursday, April 14, 2022"/>
    <x v="2"/>
    <x v="910"/>
    <n v="130.649506"/>
    <n v="130.710251"/>
    <n v="127.111504"/>
    <n v="127.25299800000001"/>
    <n v="23484000"/>
    <n v="0"/>
    <n v="-3.03"/>
    <x v="1"/>
    <n v="-2.3834385418566004E-2"/>
    <s v=""/>
  </r>
  <r>
    <s v="Monday, April 18, 2022"/>
    <x v="4"/>
    <x v="911"/>
    <n v="127.410004"/>
    <n v="128.712006"/>
    <n v="126.578453"/>
    <n v="127.960999"/>
    <n v="14918000"/>
    <n v="0"/>
    <n v="0.71"/>
    <x v="2"/>
    <n v="5.5329436745019146E-3"/>
    <s v=""/>
  </r>
  <r>
    <s v="Tuesday, April 19, 2022"/>
    <x v="0"/>
    <x v="912"/>
    <n v="128.07699600000001"/>
    <n v="130.90374800000001"/>
    <n v="127.4515"/>
    <n v="130.53100599999999"/>
    <n v="22720000"/>
    <n v="0"/>
    <n v="2.57"/>
    <x v="2"/>
    <n v="1.9688862276905993E-2"/>
    <s v=""/>
  </r>
  <r>
    <s v="Wednesday, April 20, 2022"/>
    <x v="1"/>
    <x v="913"/>
    <n v="131.283997"/>
    <n v="131.92349200000001"/>
    <n v="127.894051"/>
    <n v="128.245499"/>
    <n v="22610000"/>
    <n v="0"/>
    <n v="-2.29"/>
    <x v="1"/>
    <n v="-1.78213427981593E-2"/>
    <s v=""/>
  </r>
  <r>
    <s v="Thursday, April 21, 2022"/>
    <x v="2"/>
    <x v="914"/>
    <n v="129.35000600000001"/>
    <n v="130.30749499999999"/>
    <n v="124.650002"/>
    <n v="124.9375"/>
    <n v="30158000"/>
    <n v="0"/>
    <n v="-3.31"/>
    <x v="1"/>
    <n v="-2.6477230615307615E-2"/>
    <s v=""/>
  </r>
  <r>
    <s v="Friday, April 22, 2022"/>
    <x v="3"/>
    <x v="915"/>
    <n v="125"/>
    <n v="125.452003"/>
    <n v="119.140503"/>
    <n v="119.613998"/>
    <n v="46410000"/>
    <n v="0"/>
    <n v="-5.32"/>
    <x v="1"/>
    <n v="-4.450567733719598E-2"/>
    <s v=""/>
  </r>
  <r>
    <s v="Monday, April 25, 2022"/>
    <x v="4"/>
    <x v="916"/>
    <n v="119.429497"/>
    <n v="123.27800000000001"/>
    <n v="118.769249"/>
    <n v="123.25"/>
    <n v="34522000"/>
    <n v="0"/>
    <n v="3.64"/>
    <x v="2"/>
    <n v="2.9501030425963529E-2"/>
    <s v=""/>
  </r>
  <r>
    <s v="Tuesday, April 26, 2022"/>
    <x v="0"/>
    <x v="917"/>
    <n v="122.75"/>
    <n v="122.75"/>
    <n v="119.16185"/>
    <n v="119.50599699999999"/>
    <n v="49394000"/>
    <n v="0"/>
    <n v="-3.74"/>
    <x v="1"/>
    <n v="-3.1328996820134528E-2"/>
    <s v=""/>
  </r>
  <r>
    <s v="Wednesday, April 27, 2022"/>
    <x v="1"/>
    <x v="918"/>
    <n v="114.373001"/>
    <n v="117.5"/>
    <n v="113.124252"/>
    <n v="115.0205"/>
    <n v="62238000"/>
    <n v="0"/>
    <n v="-4.49"/>
    <x v="1"/>
    <n v="-3.8997370034037367E-2"/>
    <s v=""/>
  </r>
  <r>
    <s v="Thursday, April 28, 2022"/>
    <x v="2"/>
    <x v="919"/>
    <n v="117.114998"/>
    <n v="120.43849899999999"/>
    <n v="115.14389799999999"/>
    <n v="119.41149900000001"/>
    <n v="36790000"/>
    <n v="0"/>
    <n v="4.3899999999999997"/>
    <x v="2"/>
    <n v="3.6771994630098462E-2"/>
    <s v=""/>
  </r>
  <r>
    <s v="Friday, April 29, 2022"/>
    <x v="3"/>
    <x v="920"/>
    <n v="117.578003"/>
    <n v="118.959999"/>
    <n v="114.694"/>
    <n v="114.966499"/>
    <n v="33694000"/>
    <n v="0"/>
    <n v="-4.45"/>
    <x v="1"/>
    <n v="-3.8663437076569648E-2"/>
    <s v=""/>
  </r>
  <r>
    <s v="Monday, May 2, 2022"/>
    <x v="4"/>
    <x v="921"/>
    <n v="113.906502"/>
    <n v="117.3395"/>
    <n v="113.39949799999999"/>
    <n v="117.156998"/>
    <n v="30280000"/>
    <n v="0"/>
    <n v="2.19"/>
    <x v="2"/>
    <n v="1.8697124690750463E-2"/>
    <s v=""/>
  </r>
  <r>
    <s v="Tuesday, May 3, 2022"/>
    <x v="0"/>
    <x v="922"/>
    <n v="116.764999"/>
    <n v="119.300003"/>
    <n v="116.626999"/>
    <n v="118.129501"/>
    <n v="21216000"/>
    <n v="0"/>
    <n v="0.97"/>
    <x v="2"/>
    <n v="8.2325159402815325E-3"/>
    <s v=""/>
  </r>
  <r>
    <s v="Wednesday, May 4, 2022"/>
    <x v="1"/>
    <x v="923"/>
    <n v="118.003502"/>
    <n v="123.14299800000001"/>
    <n v="115.73850299999999"/>
    <n v="122.574997"/>
    <n v="33232000"/>
    <n v="0"/>
    <n v="4.45"/>
    <x v="2"/>
    <n v="3.6267559525210442E-2"/>
    <s v=""/>
  </r>
  <r>
    <s v="Thursday, May 5, 2022"/>
    <x v="2"/>
    <x v="924"/>
    <n v="120.22049699999999"/>
    <n v="121.233253"/>
    <n v="115.182503"/>
    <n v="116.746498"/>
    <n v="43090000"/>
    <n v="0"/>
    <n v="-5.83"/>
    <x v="1"/>
    <n v="-4.9924401158482658E-2"/>
    <s v=""/>
  </r>
  <r>
    <s v="Friday, May 6, 2022"/>
    <x v="3"/>
    <x v="925"/>
    <n v="115.518997"/>
    <n v="117.498497"/>
    <n v="114.14299800000001"/>
    <n v="115.660004"/>
    <n v="35310000"/>
    <n v="0"/>
    <n v="-1.0900000000000001"/>
    <x v="1"/>
    <n v="-9.3938609927767414E-3"/>
    <s v=""/>
  </r>
  <r>
    <s v="Monday, May 9, 2022"/>
    <x v="4"/>
    <x v="926"/>
    <n v="113.30349699999999"/>
    <n v="115.56289700000001"/>
    <n v="112.551498"/>
    <n v="113.084"/>
    <n v="34520000"/>
    <n v="0"/>
    <n v="-2.58"/>
    <x v="1"/>
    <n v="-2.2779562095433459E-2"/>
    <s v=""/>
  </r>
  <r>
    <s v="Tuesday, May 10, 2022"/>
    <x v="0"/>
    <x v="927"/>
    <n v="116.040497"/>
    <n v="116.691002"/>
    <n v="113.383301"/>
    <n v="114.584503"/>
    <n v="31158000"/>
    <n v="0"/>
    <n v="1.5"/>
    <x v="2"/>
    <n v="1.3095165233644158E-2"/>
    <s v=""/>
  </r>
  <r>
    <s v="Wednesday, May 11, 2022"/>
    <x v="1"/>
    <x v="928"/>
    <n v="113.710503"/>
    <n v="116.670998"/>
    <n v="113.650002"/>
    <n v="113.960999"/>
    <n v="36502000"/>
    <n v="0"/>
    <n v="-0.62"/>
    <x v="1"/>
    <n v="-5.4712051093900723E-3"/>
    <s v=""/>
  </r>
  <r>
    <s v="Thursday, May 12, 2022"/>
    <x v="2"/>
    <x v="929"/>
    <n v="111.93800400000001"/>
    <n v="114.856499"/>
    <n v="110.11350299999999"/>
    <n v="113.16100299999999"/>
    <n v="41464000"/>
    <n v="0"/>
    <n v="-0.8"/>
    <x v="1"/>
    <n v="-7.0695379043256385E-3"/>
    <s v=""/>
  </r>
  <r>
    <s v="Friday, May 13, 2022"/>
    <x v="3"/>
    <x v="930"/>
    <n v="114.84549699999999"/>
    <n v="118.084999"/>
    <n v="114"/>
    <n v="116.515503"/>
    <n v="29738000"/>
    <n v="0"/>
    <n v="3.35"/>
    <x v="2"/>
    <n v="2.879016022442955E-2"/>
    <s v=""/>
  </r>
  <r>
    <s v="Monday, May 16, 2022"/>
    <x v="4"/>
    <x v="931"/>
    <n v="115.38400300000001"/>
    <n v="116.60749800000001"/>
    <n v="114.334999"/>
    <n v="114.792503"/>
    <n v="23282000"/>
    <n v="0"/>
    <n v="-1.72"/>
    <x v="1"/>
    <n v="-1.500969100743451E-2"/>
    <s v=""/>
  </r>
  <r>
    <s v="Tuesday, May 17, 2022"/>
    <x v="0"/>
    <x v="932"/>
    <n v="117.227501"/>
    <n v="117.227501"/>
    <n v="115.337502"/>
    <n v="116.7015"/>
    <n v="21576000"/>
    <n v="0"/>
    <n v="1.91"/>
    <x v="2"/>
    <n v="1.6357947412843875E-2"/>
    <s v=""/>
  </r>
  <r>
    <s v="Wednesday, May 18, 2022"/>
    <x v="1"/>
    <x v="933"/>
    <n v="115.237503"/>
    <n v="115.69564800000001"/>
    <n v="112.141998"/>
    <n v="112.40100099999999"/>
    <n v="27982000"/>
    <n v="0"/>
    <n v="-4.3"/>
    <x v="1"/>
    <n v="-3.8260326525028032E-2"/>
    <s v=""/>
  </r>
  <r>
    <s v="Thursday, May 19, 2022"/>
    <x v="2"/>
    <x v="934"/>
    <n v="111.841003"/>
    <n v="113.587502"/>
    <n v="110.468002"/>
    <n v="110.745499"/>
    <n v="29192000"/>
    <n v="0"/>
    <n v="-1.66"/>
    <x v="1"/>
    <n v="-1.4948706854442892E-2"/>
    <s v=""/>
  </r>
  <r>
    <s v="Friday, May 20, 2022"/>
    <x v="3"/>
    <x v="935"/>
    <n v="112.085503"/>
    <n v="112.550003"/>
    <n v="106.373001"/>
    <n v="109.31300400000001"/>
    <n v="37586000"/>
    <n v="0"/>
    <n v="-1.43"/>
    <x v="1"/>
    <n v="-1.3104525057238282E-2"/>
    <s v=""/>
  </r>
  <r>
    <s v="Monday, May 23, 2022"/>
    <x v="4"/>
    <x v="936"/>
    <n v="110.103996"/>
    <n v="112.005501"/>
    <n v="109.154251"/>
    <n v="111.666496"/>
    <n v="31558000"/>
    <n v="0"/>
    <n v="2.35"/>
    <x v="2"/>
    <n v="2.1076079972993766E-2"/>
    <s v=""/>
  </r>
  <r>
    <s v="Tuesday, May 24, 2022"/>
    <x v="0"/>
    <x v="937"/>
    <n v="106.37750200000001"/>
    <n v="106.394997"/>
    <n v="102.208"/>
    <n v="105.92600299999999"/>
    <n v="60386000"/>
    <n v="0"/>
    <n v="-5.74"/>
    <x v="1"/>
    <n v="-5.419342595226595E-2"/>
    <s v=""/>
  </r>
  <r>
    <s v="Wednesday, May 25, 2022"/>
    <x v="1"/>
    <x v="938"/>
    <n v="105.141998"/>
    <n v="106.544701"/>
    <n v="104.21125000000001"/>
    <n v="105.8395"/>
    <n v="37900000"/>
    <n v="0"/>
    <n v="-0.09"/>
    <x v="1"/>
    <n v="-8.1730355869021802E-4"/>
    <s v=""/>
  </r>
  <r>
    <s v="Thursday, May 26, 2022"/>
    <x v="2"/>
    <x v="939"/>
    <n v="106.050499"/>
    <n v="108.955254"/>
    <n v="105.487999"/>
    <n v="108.295998"/>
    <n v="30288000"/>
    <n v="0"/>
    <n v="2.46"/>
    <x v="2"/>
    <n v="2.2683183546634809E-2"/>
    <s v=""/>
  </r>
  <r>
    <s v="Friday, May 27, 2022"/>
    <x v="3"/>
    <x v="940"/>
    <n v="109.788498"/>
    <n v="112.86799600000001"/>
    <n v="109.550003"/>
    <n v="112.799004"/>
    <n v="29924000"/>
    <n v="0"/>
    <n v="4.5"/>
    <x v="2"/>
    <n v="3.992061844801395E-2"/>
    <s v=""/>
  </r>
  <r>
    <s v="Tuesday, May 31, 2022"/>
    <x v="0"/>
    <x v="941"/>
    <n v="113.079002"/>
    <n v="116.433502"/>
    <n v="112.572502"/>
    <n v="114.039001"/>
    <n v="51302000"/>
    <n v="0"/>
    <n v="1.24"/>
    <x v="2"/>
    <n v="1.0873446707938125E-2"/>
    <s v=""/>
  </r>
  <r>
    <s v="Wednesday, June 1, 2022"/>
    <x v="1"/>
    <x v="942"/>
    <n v="114.93150300000001"/>
    <n v="117.399002"/>
    <n v="113.550499"/>
    <n v="114.137001"/>
    <n v="28630000"/>
    <n v="0"/>
    <n v="0.1"/>
    <x v="2"/>
    <n v="8.5861726820734478E-4"/>
    <s v=""/>
  </r>
  <r>
    <s v="Thursday, June 2, 2022"/>
    <x v="2"/>
    <x v="943"/>
    <n v="114.18800400000001"/>
    <n v="117.898003"/>
    <n v="113.307999"/>
    <n v="117.746002"/>
    <n v="27472000"/>
    <n v="0"/>
    <n v="3.61"/>
    <x v="2"/>
    <n v="3.0650730714406816E-2"/>
    <s v=""/>
  </r>
  <r>
    <s v="Friday, June 3, 2022"/>
    <x v="3"/>
    <x v="944"/>
    <n v="115.99250000000001"/>
    <n v="116.364502"/>
    <n v="113.66799899999999"/>
    <n v="114.564003"/>
    <n v="25052000"/>
    <n v="0"/>
    <n v="-3.18"/>
    <x v="1"/>
    <n v="-2.7774858739878394E-2"/>
    <s v=""/>
  </r>
  <r>
    <s v="Monday, June 6, 2022"/>
    <x v="4"/>
    <x v="945"/>
    <n v="116.74250000000001"/>
    <n v="119.398499"/>
    <n v="116.52829699999999"/>
    <n v="117.010498"/>
    <n v="23786000"/>
    <n v="0"/>
    <n v="2.4500000000000002"/>
    <x v="2"/>
    <n v="2.0908337643345463E-2"/>
    <s v=""/>
  </r>
  <r>
    <s v="Tuesday, June 7, 2022"/>
    <x v="0"/>
    <x v="946"/>
    <n v="115.648003"/>
    <n v="117.74865"/>
    <n v="115.12550400000001"/>
    <n v="117.2295"/>
    <n v="26414000"/>
    <n v="0"/>
    <n v="0.22"/>
    <x v="2"/>
    <n v="1.8681475225945964E-3"/>
    <s v=""/>
  </r>
  <r>
    <s v="Wednesday, June 8, 2022"/>
    <x v="1"/>
    <x v="947"/>
    <n v="116.876503"/>
    <n v="118.646004"/>
    <n v="116.696747"/>
    <n v="117.237999"/>
    <n v="22544000"/>
    <n v="0"/>
    <n v="0.01"/>
    <x v="2"/>
    <n v="7.2493560726846572E-5"/>
    <s v=""/>
  </r>
  <r>
    <s v="Thursday, June 9, 2022"/>
    <x v="2"/>
    <x v="948"/>
    <n v="116.341499"/>
    <n v="118.349998"/>
    <n v="114.866997"/>
    <n v="114.91799899999999"/>
    <n v="23142000"/>
    <n v="0"/>
    <n v="-2.3199999999999998"/>
    <x v="1"/>
    <n v="-2.0188308360642507E-2"/>
    <s v=""/>
  </r>
  <r>
    <s v="Friday, June 10, 2022"/>
    <x v="3"/>
    <x v="949"/>
    <n v="112.78125"/>
    <n v="113.49700199999999"/>
    <n v="110.861"/>
    <n v="111.427498"/>
    <n v="31324000"/>
    <n v="0"/>
    <n v="-3.49"/>
    <x v="1"/>
    <n v="-3.132531074151907E-2"/>
    <s v=""/>
  </r>
  <r>
    <s v="Monday, June 13, 2022"/>
    <x v="4"/>
    <x v="950"/>
    <n v="107.445999"/>
    <n v="109.218498"/>
    <n v="106.58805099999999"/>
    <n v="106.876503"/>
    <n v="36756000"/>
    <n v="0"/>
    <n v="-4.55"/>
    <x v="1"/>
    <n v="-4.2581810522000337E-2"/>
    <s v=""/>
  </r>
  <r>
    <s v="Tuesday, June 14, 2022"/>
    <x v="0"/>
    <x v="951"/>
    <n v="106.889999"/>
    <n v="108.457497"/>
    <n v="106.351997"/>
    <n v="107.194"/>
    <n v="25480000"/>
    <n v="0"/>
    <n v="0.32"/>
    <x v="2"/>
    <n v="2.961891523779344E-3"/>
    <s v=""/>
  </r>
  <r>
    <s v="Wednesday, June 15, 2022"/>
    <x v="1"/>
    <x v="952"/>
    <n v="108.89949799999999"/>
    <n v="112.06300400000001"/>
    <n v="108.118752"/>
    <n v="110.390503"/>
    <n v="33192000"/>
    <n v="0"/>
    <n v="3.2"/>
    <x v="2"/>
    <n v="2.895632244741192E-2"/>
    <s v=""/>
  </r>
  <r>
    <s v="Thursday, June 16, 2022"/>
    <x v="2"/>
    <x v="953"/>
    <n v="108.14949799999999"/>
    <n v="109.290497"/>
    <n v="105.792503"/>
    <n v="106.636002"/>
    <n v="35314000"/>
    <n v="0"/>
    <n v="-3.75"/>
    <x v="1"/>
    <n v="-3.5208568678334266E-2"/>
    <s v=""/>
  </r>
  <r>
    <s v="Friday, June 17, 2022"/>
    <x v="3"/>
    <x v="954"/>
    <n v="106.535004"/>
    <n v="109.24949599999999"/>
    <n v="105.62854799999999"/>
    <n v="107.86550099999999"/>
    <n v="43516000"/>
    <n v="0"/>
    <n v="1.23"/>
    <x v="2"/>
    <n v="1.1398445180354653E-2"/>
    <s v=""/>
  </r>
  <r>
    <s v="Tuesday, June 21, 2022"/>
    <x v="0"/>
    <x v="955"/>
    <n v="109.702003"/>
    <n v="112.672997"/>
    <n v="109.293503"/>
    <n v="112.014999"/>
    <n v="39010000"/>
    <n v="0"/>
    <n v="4.1500000000000004"/>
    <x v="2"/>
    <n v="3.7044128349275868E-2"/>
    <s v=""/>
  </r>
  <r>
    <s v="Wednesday, June 22, 2022"/>
    <x v="1"/>
    <x v="956"/>
    <n v="111.16300200000001"/>
    <n v="113.76950100000001"/>
    <n v="110.72429700000001"/>
    <n v="112.033997"/>
    <n v="23922000"/>
    <n v="0"/>
    <n v="0.02"/>
    <x v="2"/>
    <n v="1.6957352686431686E-4"/>
    <s v=""/>
  </r>
  <r>
    <s v="Thursday, June 23, 2022"/>
    <x v="2"/>
    <x v="957"/>
    <n v="112.949997"/>
    <n v="113.19650300000001"/>
    <n v="111.028999"/>
    <n v="112.68450199999999"/>
    <n v="24710000"/>
    <n v="0"/>
    <n v="0.65"/>
    <x v="2"/>
    <n v="5.7727991733947182E-3"/>
    <s v=""/>
  </r>
  <r>
    <s v="Friday, June 24, 2022"/>
    <x v="3"/>
    <x v="958"/>
    <n v="113.602997"/>
    <n v="118.637497"/>
    <n v="113.602997"/>
    <n v="118.53800200000001"/>
    <n v="39122000"/>
    <n v="0"/>
    <n v="5.85"/>
    <x v="2"/>
    <n v="4.9380788449597882E-2"/>
    <s v=""/>
  </r>
  <r>
    <s v="Monday, June 27, 2022"/>
    <x v="4"/>
    <x v="959"/>
    <n v="118.93499799999999"/>
    <n v="119.25"/>
    <n v="116.000748"/>
    <n v="116.62249799999999"/>
    <n v="32840000"/>
    <n v="0"/>
    <n v="-1.92"/>
    <x v="1"/>
    <n v="-1.6424823964926671E-2"/>
    <s v=""/>
  </r>
  <r>
    <s v="Tuesday, June 28, 2022"/>
    <x v="0"/>
    <x v="960"/>
    <n v="116.350998"/>
    <n v="117.856499"/>
    <n v="112.444"/>
    <n v="112.57150300000001"/>
    <n v="28232000"/>
    <n v="0"/>
    <n v="-4.05"/>
    <x v="1"/>
    <n v="-3.5985972400137414E-2"/>
    <s v=""/>
  </r>
  <r>
    <s v="Wednesday, June 29, 2022"/>
    <x v="1"/>
    <x v="961"/>
    <n v="112.148499"/>
    <n v="113.664497"/>
    <n v="111.554001"/>
    <n v="112.2565"/>
    <n v="18628000"/>
    <n v="0"/>
    <n v="-0.32"/>
    <x v="1"/>
    <n v="-2.8061003149038527E-3"/>
    <s v=""/>
  </r>
  <r>
    <s v="Thursday, June 30, 2022"/>
    <x v="2"/>
    <x v="962"/>
    <n v="110.49949599999999"/>
    <n v="111.329803"/>
    <n v="107.30999799999999"/>
    <n v="109.37249799999999"/>
    <n v="38046000"/>
    <n v="0"/>
    <n v="-2.88"/>
    <x v="1"/>
    <n v="-2.6368621479231549E-2"/>
    <s v=""/>
  </r>
  <r>
    <s v="Friday, July 1, 2022"/>
    <x v="3"/>
    <x v="963"/>
    <n v="108.33699799999999"/>
    <n v="109.80635100000001"/>
    <n v="107.105003"/>
    <n v="109.081001"/>
    <n v="31028000"/>
    <n v="0"/>
    <n v="-0.28999999999999998"/>
    <x v="1"/>
    <n v="-2.6722985426214834E-3"/>
    <s v=""/>
  </r>
  <r>
    <s v="Tuesday, July 5, 2022"/>
    <x v="0"/>
    <x v="964"/>
    <n v="107.514503"/>
    <n v="114.05259700000001"/>
    <n v="106.24949599999999"/>
    <n v="113.887001"/>
    <n v="36398000"/>
    <n v="0"/>
    <n v="4.8099999999999996"/>
    <x v="2"/>
    <n v="4.2199723917569813E-2"/>
    <s v=""/>
  </r>
  <r>
    <s v="Wednesday, July 6, 2022"/>
    <x v="1"/>
    <x v="965"/>
    <n v="114.09200300000001"/>
    <n v="116.351997"/>
    <n v="112.25050400000001"/>
    <n v="115.21350099999999"/>
    <n v="28852000"/>
    <n v="0"/>
    <n v="1.33"/>
    <x v="2"/>
    <n v="1.1513407617046511E-2"/>
    <s v=""/>
  </r>
  <r>
    <s v="Thursday, July 7, 2022"/>
    <x v="2"/>
    <x v="966"/>
    <n v="116.008003"/>
    <n v="119.86199999999999"/>
    <n v="115.533997"/>
    <n v="119.306"/>
    <n v="32184000"/>
    <n v="0"/>
    <n v="4.09"/>
    <x v="2"/>
    <n v="3.4302541364223123E-2"/>
    <s v=""/>
  </r>
  <r>
    <s v="Friday, July 8, 2022"/>
    <x v="3"/>
    <x v="967"/>
    <n v="117.550003"/>
    <n v="120.43499799999999"/>
    <n v="117.514"/>
    <n v="120.168503"/>
    <n v="29082000"/>
    <n v="0"/>
    <n v="0.86"/>
    <x v="2"/>
    <n v="7.1774464894515978E-3"/>
    <s v=""/>
  </r>
  <r>
    <s v="Monday, July 11, 2022"/>
    <x v="4"/>
    <x v="968"/>
    <n v="118.650002"/>
    <n v="118.79450199999999"/>
    <n v="116.234497"/>
    <n v="116.522499"/>
    <n v="26718000"/>
    <n v="0"/>
    <n v="-3.65"/>
    <x v="1"/>
    <n v="-3.1290128784484832E-2"/>
    <s v=""/>
  </r>
  <r>
    <s v="Tuesday, July 12, 2022"/>
    <x v="0"/>
    <x v="969"/>
    <n v="116.83850099999999"/>
    <n v="117.849503"/>
    <n v="114.614998"/>
    <n v="114.849503"/>
    <n v="24970000"/>
    <n v="0"/>
    <n v="-1.67"/>
    <x v="1"/>
    <n v="-1.4566854503497484E-2"/>
    <s v=""/>
  </r>
  <r>
    <s v="Wednesday, July 13, 2022"/>
    <x v="1"/>
    <x v="970"/>
    <n v="112.639"/>
    <n v="115.156998"/>
    <n v="111.822998"/>
    <n v="112.18699599999999"/>
    <n v="38958000"/>
    <n v="0"/>
    <n v="-2.66"/>
    <x v="1"/>
    <n v="-2.3732759543717574E-2"/>
    <s v=""/>
  </r>
  <r>
    <s v="Thursday, July 14, 2022"/>
    <x v="2"/>
    <x v="971"/>
    <n v="110.825996"/>
    <n v="111.987503"/>
    <n v="109.32550000000001"/>
    <n v="111.44000200000001"/>
    <n v="32366000"/>
    <n v="0"/>
    <n v="-0.75"/>
    <x v="1"/>
    <n v="-6.7031046894631833E-3"/>
    <s v=""/>
  </r>
  <r>
    <s v="Friday, July 15, 2022"/>
    <x v="3"/>
    <x v="972"/>
    <n v="112.962997"/>
    <n v="114.00050400000001"/>
    <n v="111.822502"/>
    <n v="112.766998"/>
    <n v="34330000"/>
    <n v="0"/>
    <n v="1.33"/>
    <x v="2"/>
    <n v="1.1767591791350108E-2"/>
    <s v=""/>
  </r>
  <r>
    <s v="Monday, July 18, 2022"/>
    <x v="4"/>
    <x v="973"/>
    <n v="113.44000200000001"/>
    <n v="114.800003"/>
    <n v="109.300003"/>
    <n v="109.910004"/>
    <n v="33354000"/>
    <n v="0"/>
    <n v="-2.86"/>
    <x v="1"/>
    <n v="-2.5993939550761916E-2"/>
    <s v=""/>
  </r>
  <r>
    <s v="Tuesday, July 19, 2022"/>
    <x v="0"/>
    <x v="974"/>
    <n v="111.730003"/>
    <n v="114.80999799999999"/>
    <n v="110.5"/>
    <n v="114.620003"/>
    <n v="30992300"/>
    <n v="0"/>
    <n v="4.71"/>
    <x v="2"/>
    <n v="4.1092295207844277E-2"/>
    <s v=""/>
  </r>
  <r>
    <s v="Wednesday, July 20, 2022"/>
    <x v="1"/>
    <x v="975"/>
    <n v="114.05999799999999"/>
    <n v="116.33000199999999"/>
    <n v="113.260002"/>
    <n v="114.699997"/>
    <n v="26780100"/>
    <n v="0"/>
    <n v="0.08"/>
    <x v="2"/>
    <n v="6.9741937307983743E-4"/>
    <s v=""/>
  </r>
  <r>
    <s v="Thursday, July 21, 2022"/>
    <x v="2"/>
    <x v="976"/>
    <n v="115.089996"/>
    <n v="115.209999"/>
    <n v="111.910004"/>
    <n v="115.040001"/>
    <n v="27267800"/>
    <n v="0"/>
    <n v="0.34"/>
    <x v="2"/>
    <n v="2.9555284861307288E-3"/>
    <s v=""/>
  </r>
  <r>
    <s v="Friday, July 22, 2022"/>
    <x v="3"/>
    <x v="977"/>
    <n v="111.80999799999999"/>
    <n v="113.18"/>
    <n v="107.599998"/>
    <n v="108.360001"/>
    <n v="44455300"/>
    <n v="0"/>
    <n v="-6.68"/>
    <x v="1"/>
    <n v="-6.1646363403042116E-2"/>
    <s v=""/>
  </r>
  <r>
    <s v="Monday, July 25, 2022"/>
    <x v="4"/>
    <x v="978"/>
    <n v="108.879997"/>
    <n v="110.58000199999999"/>
    <n v="107.010002"/>
    <n v="108.209999"/>
    <n v="28289900"/>
    <n v="0"/>
    <n v="-0.15"/>
    <x v="1"/>
    <n v="-1.3862120080049224E-3"/>
    <s v=""/>
  </r>
  <r>
    <s v="Tuesday, July 26, 2022"/>
    <x v="0"/>
    <x v="979"/>
    <n v="107.43"/>
    <n v="107.739998"/>
    <n v="104.760002"/>
    <n v="105.44000200000001"/>
    <n v="36626600"/>
    <n v="0"/>
    <n v="-2.77"/>
    <x v="1"/>
    <n v="-2.6270835996380096E-2"/>
    <s v=""/>
  </r>
  <r>
    <s v="Wednesday, July 27, 2022"/>
    <x v="1"/>
    <x v="980"/>
    <n v="109.599998"/>
    <n v="114.400002"/>
    <n v="108.41999800000001"/>
    <n v="113.599998"/>
    <n v="41474600"/>
    <n v="0"/>
    <n v="8.16"/>
    <x v="2"/>
    <n v="7.1830951968854723E-2"/>
    <n v="7.1830951968854723E-2"/>
  </r>
  <r>
    <s v="Thursday, July 28, 2022"/>
    <x v="2"/>
    <x v="981"/>
    <n v="112.800003"/>
    <n v="114.699997"/>
    <n v="111.850998"/>
    <n v="114.589996"/>
    <n v="23303800"/>
    <n v="0"/>
    <n v="0.99"/>
    <x v="2"/>
    <n v="8.6394801863855543E-3"/>
    <s v=""/>
  </r>
  <r>
    <s v="Friday, July 29, 2022"/>
    <x v="3"/>
    <x v="982"/>
    <n v="113.400002"/>
    <n v="116.900002"/>
    <n v="113.230003"/>
    <n v="116.639999"/>
    <n v="31336200"/>
    <n v="0"/>
    <n v="2.0499999999999998"/>
    <x v="2"/>
    <n v="1.7575471687032541E-2"/>
    <s v=""/>
  </r>
  <r>
    <s v="Monday, August 1, 2022"/>
    <x v="4"/>
    <x v="983"/>
    <n v="115.529999"/>
    <n v="117.120003"/>
    <n v="114.69000200000001"/>
    <n v="115.480003"/>
    <n v="22856200"/>
    <n v="0"/>
    <n v="-1.1599999999999999"/>
    <x v="1"/>
    <n v="-1.0044994543341039E-2"/>
    <s v=""/>
  </r>
  <r>
    <s v="Tuesday, August 2, 2022"/>
    <x v="0"/>
    <x v="984"/>
    <n v="114.43"/>
    <n v="117.08000199999999"/>
    <n v="114.260002"/>
    <n v="115.900002"/>
    <n v="17911000"/>
    <n v="0"/>
    <n v="0.42"/>
    <x v="2"/>
    <n v="3.6238049417807966E-3"/>
    <s v=""/>
  </r>
  <r>
    <s v="Wednesday, August 3, 2022"/>
    <x v="1"/>
    <x v="985"/>
    <n v="116.339996"/>
    <n v="119.41999800000001"/>
    <n v="116.150002"/>
    <n v="118.779999"/>
    <n v="25302800"/>
    <n v="0"/>
    <n v="2.88"/>
    <x v="2"/>
    <n v="2.4246481093167908E-2"/>
    <s v=""/>
  </r>
  <r>
    <s v="Thursday, August 4, 2022"/>
    <x v="2"/>
    <x v="986"/>
    <n v="118.300003"/>
    <n v="119.5"/>
    <n v="117.709999"/>
    <n v="118.870003"/>
    <n v="15757700"/>
    <n v="0"/>
    <n v="0.09"/>
    <x v="2"/>
    <n v="7.5716326851605546E-4"/>
    <s v=""/>
  </r>
  <r>
    <s v="Friday, August 5, 2022"/>
    <x v="3"/>
    <x v="987"/>
    <n v="116.93"/>
    <n v="118.860001"/>
    <n v="116.709999"/>
    <n v="118.220001"/>
    <n v="15615700"/>
    <n v="0"/>
    <n v="-0.65"/>
    <x v="1"/>
    <n v="-5.4982405219231954E-3"/>
    <s v=""/>
  </r>
  <r>
    <s v="Monday, August 8, 2022"/>
    <x v="4"/>
    <x v="988"/>
    <n v="119.120003"/>
    <n v="120.860001"/>
    <n v="117.83000199999999"/>
    <n v="118.139999"/>
    <n v="17061100"/>
    <n v="0"/>
    <n v="-0.08"/>
    <x v="1"/>
    <n v="-6.7717962313503357E-4"/>
    <s v=""/>
  </r>
  <r>
    <s v="Tuesday, August 9, 2022"/>
    <x v="0"/>
    <x v="989"/>
    <n v="117.989998"/>
    <n v="118.199997"/>
    <n v="116.55999799999999"/>
    <n v="117.5"/>
    <n v="15424300"/>
    <n v="0"/>
    <n v="-0.64"/>
    <x v="1"/>
    <n v="-5.4468000000000259E-3"/>
    <s v=""/>
  </r>
  <r>
    <s v="Wednesday, August 10, 2022"/>
    <x v="1"/>
    <x v="990"/>
    <n v="119.589996"/>
    <n v="121.779999"/>
    <n v="119.360001"/>
    <n v="120.650002"/>
    <n v="20497000"/>
    <n v="0"/>
    <n v="3.15"/>
    <x v="2"/>
    <n v="2.6108594677022888E-2"/>
    <s v=""/>
  </r>
  <r>
    <s v="Thursday, August 11, 2022"/>
    <x v="2"/>
    <x v="991"/>
    <n v="122.08000199999999"/>
    <n v="122.339996"/>
    <n v="119.550003"/>
    <n v="119.82"/>
    <n v="16671600"/>
    <n v="0"/>
    <n v="-0.83"/>
    <x v="1"/>
    <n v="-6.9270739442497701E-3"/>
    <s v=""/>
  </r>
  <r>
    <s v="Friday, August 12, 2022"/>
    <x v="3"/>
    <x v="992"/>
    <n v="121.160004"/>
    <n v="122.650002"/>
    <n v="120.400002"/>
    <n v="122.650002"/>
    <n v="16121100"/>
    <n v="0"/>
    <n v="2.83"/>
    <x v="2"/>
    <n v="2.3073803129656758E-2"/>
    <s v=""/>
  </r>
  <r>
    <s v="Monday, August 15, 2022"/>
    <x v="4"/>
    <x v="993"/>
    <n v="122.209999"/>
    <n v="123.260002"/>
    <n v="121.57"/>
    <n v="122.879997"/>
    <n v="15525000"/>
    <n v="0"/>
    <n v="0.23"/>
    <x v="2"/>
    <n v="1.8717041472584215E-3"/>
    <s v=""/>
  </r>
  <r>
    <s v="Tuesday, August 16, 2022"/>
    <x v="0"/>
    <x v="994"/>
    <n v="122.32"/>
    <n v="123.227997"/>
    <n v="121.535004"/>
    <n v="122.510002"/>
    <n v="15626200"/>
    <n v="0"/>
    <n v="-0.37"/>
    <x v="1"/>
    <n v="-3.0201207571607333E-3"/>
    <s v=""/>
  </r>
  <r>
    <s v="Wednesday, August 17, 2022"/>
    <x v="1"/>
    <x v="995"/>
    <n v="120.93"/>
    <n v="122.150002"/>
    <n v="120.199997"/>
    <n v="120.32"/>
    <n v="17589200"/>
    <n v="0"/>
    <n v="-2.19"/>
    <x v="1"/>
    <n v="-1.8201479388297932E-2"/>
    <s v=""/>
  </r>
  <r>
    <s v="Thursday, August 18, 2022"/>
    <x v="2"/>
    <x v="996"/>
    <n v="120.230003"/>
    <n v="121.69000200000001"/>
    <n v="119.550003"/>
    <n v="120.860001"/>
    <n v="15652000"/>
    <n v="0"/>
    <n v="0.54"/>
    <x v="2"/>
    <n v="4.4679877174583485E-3"/>
    <s v=""/>
  </r>
  <r>
    <s v="Friday, August 19, 2022"/>
    <x v="3"/>
    <x v="997"/>
    <n v="119.870003"/>
    <n v="120"/>
    <n v="117.66999800000001"/>
    <n v="118.120003"/>
    <n v="20187000"/>
    <n v="0"/>
    <n v="-2.74"/>
    <x v="1"/>
    <n v="-2.3196731547661744E-2"/>
    <s v=""/>
  </r>
  <r>
    <s v="Monday, August 22, 2022"/>
    <x v="4"/>
    <x v="998"/>
    <n v="116.099998"/>
    <n v="116.5"/>
    <n v="114.66999800000001"/>
    <n v="115.07"/>
    <n v="19316000"/>
    <n v="0"/>
    <n v="-3.05"/>
    <x v="1"/>
    <n v="-2.650563135482753E-2"/>
    <s v=""/>
  </r>
  <r>
    <s v="Tuesday, August 23, 2022"/>
    <x v="0"/>
    <x v="999"/>
    <n v="114.32"/>
    <n v="115.93"/>
    <n v="114.300003"/>
    <n v="114.769997"/>
    <n v="14390700"/>
    <n v="0"/>
    <n v="-0.3"/>
    <x v="1"/>
    <n v="-2.6139497067338043E-3"/>
    <s v=""/>
  </r>
  <r>
    <s v="Wednesday, August 24, 2022"/>
    <x v="1"/>
    <x v="1000"/>
    <n v="114.449997"/>
    <n v="115.71700300000001"/>
    <n v="113.779999"/>
    <n v="114.699997"/>
    <n v="16051200"/>
    <n v="0"/>
    <n v="-7.0000000000000007E-2"/>
    <x v="1"/>
    <n v="-6.1028772302415481E-4"/>
    <s v=""/>
  </r>
  <r>
    <s v="Thursday, August 25, 2022"/>
    <x v="2"/>
    <x v="1001"/>
    <n v="115.150002"/>
    <n v="117.779999"/>
    <n v="115.050003"/>
    <n v="117.699997"/>
    <n v="14874700"/>
    <n v="0"/>
    <n v="3"/>
    <x v="2"/>
    <n v="2.5488530811092546E-2"/>
    <s v=""/>
  </r>
  <r>
    <s v="Friday, August 26, 2022"/>
    <x v="3"/>
    <x v="1002"/>
    <n v="115.80999799999999"/>
    <n v="116.599998"/>
    <n v="111.220001"/>
    <n v="111.300003"/>
    <n v="31698700"/>
    <n v="0"/>
    <n v="-6.4"/>
    <x v="1"/>
    <n v="-5.7502190723211319E-2"/>
    <s v=""/>
  </r>
  <r>
    <s v="Monday, August 29, 2022"/>
    <x v="4"/>
    <x v="1003"/>
    <n v="110.779999"/>
    <n v="111.959999"/>
    <n v="109.80999799999999"/>
    <n v="110.339996"/>
    <n v="20386100"/>
    <n v="0"/>
    <n v="-0.96"/>
    <x v="1"/>
    <n v="-8.700444397333534E-3"/>
    <s v=""/>
  </r>
  <r>
    <s v="Tuesday, August 30, 2022"/>
    <x v="0"/>
    <x v="1004"/>
    <n v="111.029999"/>
    <n v="111.370003"/>
    <n v="108.800003"/>
    <n v="109.910004"/>
    <n v="20548200"/>
    <n v="0"/>
    <n v="-0.43"/>
    <x v="1"/>
    <n v="-3.9122189459659977E-3"/>
    <s v=""/>
  </r>
  <r>
    <s v="Wednesday, August 31, 2022"/>
    <x v="1"/>
    <x v="1005"/>
    <n v="111.629997"/>
    <n v="111.769997"/>
    <n v="109.050003"/>
    <n v="109.150002"/>
    <n v="25898000"/>
    <n v="0"/>
    <n v="-0.76"/>
    <x v="1"/>
    <n v="-6.9629132943121713E-3"/>
    <s v=""/>
  </r>
  <r>
    <s v="Thursday, September 1, 2022"/>
    <x v="2"/>
    <x v="1006"/>
    <n v="109.199997"/>
    <n v="111.220001"/>
    <n v="108.19000200000001"/>
    <n v="110.550003"/>
    <n v="22784400"/>
    <n v="0"/>
    <n v="1.4"/>
    <x v="2"/>
    <n v="1.266396166447868E-2"/>
    <s v=""/>
  </r>
  <r>
    <s v="Friday, September 2, 2022"/>
    <x v="3"/>
    <x v="1007"/>
    <n v="111.339996"/>
    <n v="111.675003"/>
    <n v="108.129997"/>
    <n v="108.68"/>
    <n v="20618100"/>
    <n v="0"/>
    <n v="-1.87"/>
    <x v="1"/>
    <n v="-1.7206505336768464E-2"/>
    <s v=""/>
  </r>
  <r>
    <s v="Tuesday, September 6, 2022"/>
    <x v="0"/>
    <x v="1008"/>
    <n v="108.135002"/>
    <n v="108.879997"/>
    <n v="106.510002"/>
    <n v="107.480003"/>
    <n v="20565100"/>
    <n v="0"/>
    <n v="-1.2"/>
    <x v="1"/>
    <n v="-1.1164839658592217E-2"/>
    <s v=""/>
  </r>
  <r>
    <s v="Wednesday, September 7, 2022"/>
    <x v="1"/>
    <x v="1009"/>
    <n v="107.760002"/>
    <n v="110.989998"/>
    <n v="107.614998"/>
    <n v="110.480003"/>
    <n v="22987200"/>
    <n v="0"/>
    <n v="3"/>
    <x v="2"/>
    <n v="2.7154235323472973E-2"/>
    <s v=""/>
  </r>
  <r>
    <s v="Thursday, September 8, 2022"/>
    <x v="2"/>
    <x v="1010"/>
    <n v="109.18"/>
    <n v="110.58000199999999"/>
    <n v="108.05999799999999"/>
    <n v="109.41999800000001"/>
    <n v="21660700"/>
    <n v="0"/>
    <n v="-1.06"/>
    <x v="1"/>
    <n v="-9.6874887531983832E-3"/>
    <s v=""/>
  </r>
  <r>
    <s v="Friday, September 9, 2022"/>
    <x v="3"/>
    <x v="1011"/>
    <n v="110.050003"/>
    <n v="112"/>
    <n v="110"/>
    <n v="111.779999"/>
    <n v="21732900"/>
    <n v="0"/>
    <n v="2.36"/>
    <x v="2"/>
    <n v="2.1112909474976797E-2"/>
    <s v=""/>
  </r>
  <r>
    <s v="Monday, September 12, 2022"/>
    <x v="4"/>
    <x v="1012"/>
    <n v="111.989998"/>
    <n v="112.639999"/>
    <n v="110.93"/>
    <n v="111.870003"/>
    <n v="19732900"/>
    <n v="0"/>
    <n v="0.09"/>
    <x v="2"/>
    <n v="8.0454096349665168E-4"/>
    <s v=""/>
  </r>
  <r>
    <s v="Tuesday, September 13, 2022"/>
    <x v="0"/>
    <x v="1013"/>
    <n v="108.889999"/>
    <n v="109.370003"/>
    <n v="105"/>
    <n v="105.30999799999999"/>
    <n v="33015000"/>
    <n v="0"/>
    <n v="-6.56"/>
    <x v="1"/>
    <n v="-6.2292328597328472E-2"/>
    <s v=""/>
  </r>
  <r>
    <s v="Wednesday, September 14, 2022"/>
    <x v="1"/>
    <x v="1014"/>
    <n v="105.44000200000001"/>
    <n v="106.099998"/>
    <n v="104.5"/>
    <n v="105.870003"/>
    <n v="22115800"/>
    <n v="0"/>
    <n v="0.56000000000000005"/>
    <x v="2"/>
    <n v="5.2895530757659836E-3"/>
    <s v=""/>
  </r>
  <r>
    <s v="Thursday, September 15, 2022"/>
    <x v="2"/>
    <x v="1015"/>
    <n v="105.010002"/>
    <n v="106.209999"/>
    <n v="103.30999799999999"/>
    <n v="103.900002"/>
    <n v="26494900"/>
    <n v="0"/>
    <n v="-1.97"/>
    <x v="1"/>
    <n v="-1.8960548239450432E-2"/>
    <s v=""/>
  </r>
  <r>
    <s v="Friday, September 16, 2022"/>
    <x v="3"/>
    <x v="1016"/>
    <n v="102.970001"/>
    <n v="104.029999"/>
    <n v="101.855003"/>
    <n v="103.629997"/>
    <n v="64540100"/>
    <n v="0"/>
    <n v="-0.27"/>
    <x v="1"/>
    <n v="-2.6054714640201871E-3"/>
    <s v=""/>
  </r>
  <r>
    <s v="Monday, September 19, 2022"/>
    <x v="4"/>
    <x v="1017"/>
    <n v="102.540001"/>
    <n v="104.019997"/>
    <n v="102.370003"/>
    <n v="103.849998"/>
    <n v="19738600"/>
    <n v="0"/>
    <n v="0.22"/>
    <x v="2"/>
    <n v="2.1184497278468541E-3"/>
    <s v=""/>
  </r>
  <r>
    <s v="Tuesday, September 20, 2022"/>
    <x v="0"/>
    <x v="1018"/>
    <n v="102.879997"/>
    <n v="103.16999800000001"/>
    <n v="101.120003"/>
    <n v="101.83000199999999"/>
    <n v="24001700"/>
    <n v="0"/>
    <n v="-2.02"/>
    <x v="1"/>
    <n v="-1.9836943536542466E-2"/>
    <s v=""/>
  </r>
  <r>
    <s v="Wednesday, September 21, 2022"/>
    <x v="1"/>
    <x v="1019"/>
    <n v="102.239998"/>
    <n v="103.489998"/>
    <n v="99.989998"/>
    <n v="100.010002"/>
    <n v="26596800"/>
    <n v="0"/>
    <n v="-1.82"/>
    <x v="1"/>
    <n v="-1.8198179818054529E-2"/>
    <s v=""/>
  </r>
  <r>
    <s v="Thursday, September 22, 2022"/>
    <x v="2"/>
    <x v="1020"/>
    <n v="99.449996999999996"/>
    <n v="101.68"/>
    <n v="99.410004000000001"/>
    <n v="100.57"/>
    <n v="21272700"/>
    <n v="0"/>
    <n v="0.56000000000000005"/>
    <x v="2"/>
    <n v="5.5682410261508712E-3"/>
    <s v=""/>
  </r>
  <r>
    <s v="Friday, September 23, 2022"/>
    <x v="3"/>
    <x v="1021"/>
    <n v="100.05999799999999"/>
    <n v="100.110001"/>
    <n v="98.010002"/>
    <n v="99.169998000000007"/>
    <n v="25657000"/>
    <n v="0"/>
    <n v="-1.4"/>
    <x v="1"/>
    <n v="-1.4117192984111852E-2"/>
    <s v=""/>
  </r>
  <r>
    <s v="Monday, September 26, 2022"/>
    <x v="4"/>
    <x v="1022"/>
    <n v="98.610000999999997"/>
    <n v="100.44000200000001"/>
    <n v="98.379997000000003"/>
    <n v="98.809997999999993"/>
    <n v="22437900"/>
    <n v="0"/>
    <n v="-0.36"/>
    <x v="1"/>
    <n v="-3.6433560093788652E-3"/>
    <s v=""/>
  </r>
  <r>
    <s v="Tuesday, September 27, 2022"/>
    <x v="0"/>
    <x v="1023"/>
    <n v="99.910004000000001"/>
    <n v="100.459999"/>
    <n v="97.339995999999999"/>
    <n v="98.089995999999999"/>
    <n v="24225000"/>
    <n v="0"/>
    <n v="-0.72"/>
    <x v="1"/>
    <n v="-7.3402184663152988E-3"/>
    <s v=""/>
  </r>
  <r>
    <s v="Wednesday, September 28, 2022"/>
    <x v="1"/>
    <x v="1024"/>
    <n v="98.019997000000004"/>
    <n v="101.400002"/>
    <n v="97.800003000000004"/>
    <n v="100.739998"/>
    <n v="24617000"/>
    <n v="0"/>
    <n v="2.65"/>
    <x v="2"/>
    <n v="2.6305360855774493E-2"/>
    <s v=""/>
  </r>
  <r>
    <s v="Thursday, September 29, 2022"/>
    <x v="2"/>
    <x v="1025"/>
    <n v="99.300003000000004"/>
    <n v="99.300003000000004"/>
    <n v="96.519997000000004"/>
    <n v="98.089995999999999"/>
    <n v="21921500"/>
    <n v="0"/>
    <n v="-2.65"/>
    <x v="1"/>
    <n v="-2.701602720016423E-2"/>
    <s v=""/>
  </r>
  <r>
    <s v="Friday, September 30, 2022"/>
    <x v="3"/>
    <x v="1026"/>
    <n v="97.730002999999996"/>
    <n v="99.494003000000006"/>
    <n v="96.029999000000004"/>
    <n v="96.150002000000001"/>
    <n v="26277800"/>
    <n v="0"/>
    <n v="-1.94"/>
    <x v="1"/>
    <n v="-2.017674425009371E-2"/>
    <s v=""/>
  </r>
  <r>
    <s v="Monday, October 3, 2022"/>
    <x v="4"/>
    <x v="1027"/>
    <n v="97.220000999999996"/>
    <n v="99.970000999999996"/>
    <n v="97.019997000000004"/>
    <n v="99.300003000000004"/>
    <n v="24840000"/>
    <n v="0"/>
    <n v="3.15"/>
    <x v="2"/>
    <n v="3.1722063492787639E-2"/>
    <s v=""/>
  </r>
  <r>
    <s v="Tuesday, October 4, 2022"/>
    <x v="0"/>
    <x v="1028"/>
    <n v="101.040001"/>
    <n v="102.720001"/>
    <n v="101.040001"/>
    <n v="102.410004"/>
    <n v="22580900"/>
    <n v="0"/>
    <n v="3.11"/>
    <x v="2"/>
    <n v="3.0368136691020897E-2"/>
    <s v=""/>
  </r>
  <r>
    <s v="Wednesday, October 5, 2022"/>
    <x v="1"/>
    <x v="1029"/>
    <n v="100.69000200000001"/>
    <n v="102.739998"/>
    <n v="99.739998"/>
    <n v="102.220001"/>
    <n v="18475500"/>
    <n v="0"/>
    <n v="-0.19"/>
    <x v="1"/>
    <n v="-1.8587653897597239E-3"/>
    <s v=""/>
  </r>
  <r>
    <s v="Thursday, October 6, 2022"/>
    <x v="2"/>
    <x v="1030"/>
    <n v="101.5"/>
    <n v="103.730003"/>
    <n v="101.5"/>
    <n v="102.239998"/>
    <n v="17156200"/>
    <n v="0"/>
    <n v="0.02"/>
    <x v="2"/>
    <n v="1.9558881446773497E-4"/>
    <s v=""/>
  </r>
  <r>
    <s v="Friday, October 7, 2022"/>
    <x v="3"/>
    <x v="1031"/>
    <n v="100.650002"/>
    <n v="101.41999800000001"/>
    <n v="99.209998999999996"/>
    <n v="99.57"/>
    <n v="24249900"/>
    <n v="0"/>
    <n v="-2.67"/>
    <x v="1"/>
    <n v="-2.6815285728633193E-2"/>
    <s v=""/>
  </r>
  <r>
    <s v="Monday, October 10, 2022"/>
    <x v="4"/>
    <x v="1032"/>
    <n v="99.849997999999999"/>
    <n v="99.989998"/>
    <n v="97.870002999999997"/>
    <n v="98.709998999999996"/>
    <n v="16529900"/>
    <n v="0"/>
    <n v="-0.86"/>
    <x v="1"/>
    <n v="-8.7124000477398142E-3"/>
    <s v=""/>
  </r>
  <r>
    <s v="Tuesday, October 11, 2022"/>
    <x v="0"/>
    <x v="1033"/>
    <n v="98.25"/>
    <n v="100.120003"/>
    <n v="97.25"/>
    <n v="98.050003000000004"/>
    <n v="21617700"/>
    <n v="0"/>
    <n v="-0.66"/>
    <x v="1"/>
    <n v="-6.7312185599830371E-3"/>
    <s v=""/>
  </r>
  <r>
    <s v="Wednesday, October 12, 2022"/>
    <x v="1"/>
    <x v="1034"/>
    <n v="98.269997000000004"/>
    <n v="99.648003000000003"/>
    <n v="97.669998000000007"/>
    <n v="98.300003000000004"/>
    <n v="17343400"/>
    <n v="0"/>
    <n v="0.25"/>
    <x v="2"/>
    <n v="2.5432349172970015E-3"/>
    <s v=""/>
  </r>
  <r>
    <s v="Thursday, October 13, 2022"/>
    <x v="2"/>
    <x v="1035"/>
    <n v="95.93"/>
    <n v="100.529999"/>
    <n v="95.269997000000004"/>
    <n v="99.709998999999996"/>
    <n v="32812200"/>
    <n v="0"/>
    <n v="1.41"/>
    <x v="2"/>
    <n v="1.4140968951368583E-2"/>
    <s v=""/>
  </r>
  <r>
    <s v="Friday, October 14, 2022"/>
    <x v="3"/>
    <x v="1036"/>
    <n v="100.625"/>
    <n v="101.290001"/>
    <n v="97.029999000000004"/>
    <n v="97.18"/>
    <n v="22624800"/>
    <n v="0"/>
    <n v="-2.5299999999999998"/>
    <x v="1"/>
    <n v="-2.6034153117925389E-2"/>
    <s v=""/>
  </r>
  <r>
    <s v="Monday, October 17, 2022"/>
    <x v="4"/>
    <x v="1037"/>
    <n v="99.519997000000004"/>
    <n v="101.769997"/>
    <n v="99.510002"/>
    <n v="100.779999"/>
    <n v="23311600"/>
    <n v="0"/>
    <n v="3.6"/>
    <x v="2"/>
    <n v="3.5721363720196075E-2"/>
    <s v=""/>
  </r>
  <r>
    <s v="Tuesday, October 18, 2022"/>
    <x v="0"/>
    <x v="1038"/>
    <n v="103.94000200000001"/>
    <n v="104.220001"/>
    <n v="100.650002"/>
    <n v="101.389999"/>
    <n v="21610500"/>
    <n v="0"/>
    <n v="0.61"/>
    <x v="2"/>
    <n v="6.016372482654817E-3"/>
    <s v=""/>
  </r>
  <r>
    <s v="Wednesday, October 19, 2022"/>
    <x v="1"/>
    <x v="1039"/>
    <n v="100.699997"/>
    <n v="101.658997"/>
    <n v="99.635002"/>
    <n v="100.290001"/>
    <n v="21573700"/>
    <n v="0"/>
    <n v="-1.1000000000000001"/>
    <x v="1"/>
    <n v="-1.0968172190964475E-2"/>
    <s v=""/>
  </r>
  <r>
    <s v="Thursday, October 20, 2022"/>
    <x v="2"/>
    <x v="1040"/>
    <n v="100.82"/>
    <n v="103"/>
    <n v="99.970000999999996"/>
    <n v="100.529999"/>
    <n v="25125100"/>
    <n v="0"/>
    <n v="0.24"/>
    <x v="2"/>
    <n v="2.3873271897675032E-3"/>
    <s v=""/>
  </r>
  <r>
    <s v="Friday, October 21, 2022"/>
    <x v="3"/>
    <x v="1041"/>
    <n v="98.459998999999996"/>
    <n v="101.620003"/>
    <n v="98.230002999999996"/>
    <n v="101.480003"/>
    <n v="28988700"/>
    <n v="0"/>
    <n v="0.95"/>
    <x v="2"/>
    <n v="9.3614896720094973E-3"/>
    <s v=""/>
  </r>
  <r>
    <s v="Monday, October 24, 2022"/>
    <x v="4"/>
    <x v="1042"/>
    <n v="102.089996"/>
    <n v="103.099998"/>
    <n v="100.300003"/>
    <n v="102.970001"/>
    <n v="24680800"/>
    <n v="0"/>
    <n v="1.49"/>
    <x v="2"/>
    <n v="1.4470214485090662E-2"/>
    <s v=""/>
  </r>
  <r>
    <s v="Tuesday, October 25, 2022"/>
    <x v="0"/>
    <x v="1043"/>
    <n v="103.300003"/>
    <n v="105.099998"/>
    <n v="103.019997"/>
    <n v="104.93"/>
    <n v="29910200"/>
    <n v="0"/>
    <n v="1.96"/>
    <x v="2"/>
    <n v="1.8679109882779096E-2"/>
    <s v=""/>
  </r>
  <r>
    <s v="Wednesday, October 26, 2022"/>
    <x v="1"/>
    <x v="1044"/>
    <n v="96.760002"/>
    <n v="98.540001000000004"/>
    <n v="94.57"/>
    <n v="94.82"/>
    <n v="71504300"/>
    <n v="0"/>
    <n v="-10.11"/>
    <x v="1"/>
    <n v="-0.10662307530056965"/>
    <s v=""/>
  </r>
  <r>
    <s v="Thursday, October 27, 2022"/>
    <x v="2"/>
    <x v="1045"/>
    <n v="94.309997999999993"/>
    <n v="95.169998000000007"/>
    <n v="91.900002000000001"/>
    <n v="92.599997999999999"/>
    <n v="54036500"/>
    <n v="0"/>
    <n v="-2.2200000000000002"/>
    <x v="1"/>
    <n v="-2.3974104189505425E-2"/>
    <s v=""/>
  </r>
  <r>
    <s v="Friday, October 28, 2022"/>
    <x v="3"/>
    <x v="1046"/>
    <n v="92.529999000000004"/>
    <n v="96.860000999999997"/>
    <n v="92.322997999999998"/>
    <n v="96.580001999999993"/>
    <n v="35696900"/>
    <n v="0"/>
    <n v="3.98"/>
    <x v="2"/>
    <n v="4.1209400679034926E-2"/>
    <s v=""/>
  </r>
  <r>
    <s v="Monday, October 31, 2022"/>
    <x v="4"/>
    <x v="1047"/>
    <n v="95.779999000000004"/>
    <n v="96.349997999999999"/>
    <n v="94.379997000000003"/>
    <n v="94.660004000000001"/>
    <n v="29868700"/>
    <n v="0"/>
    <n v="-1.92"/>
    <x v="1"/>
    <n v="-2.0283096544132753E-2"/>
    <s v=""/>
  </r>
  <r>
    <s v="Tuesday, November 1, 2022"/>
    <x v="0"/>
    <x v="1048"/>
    <n v="95.589995999999999"/>
    <n v="96.165001000000004"/>
    <n v="90.43"/>
    <n v="90.5"/>
    <n v="43220600"/>
    <n v="0"/>
    <n v="-4.16"/>
    <x v="1"/>
    <n v="-4.596689502762432E-2"/>
    <s v=""/>
  </r>
  <r>
    <s v="Wednesday, November 2, 2022"/>
    <x v="1"/>
    <x v="1049"/>
    <n v="90.910004000000001"/>
    <n v="91.300003000000004"/>
    <n v="87.010002"/>
    <n v="87.07"/>
    <n v="43553600"/>
    <n v="0"/>
    <n v="-3.43"/>
    <x v="1"/>
    <n v="-3.9393591363271016E-2"/>
    <s v=""/>
  </r>
  <r>
    <s v="Thursday, November 3, 2022"/>
    <x v="2"/>
    <x v="1050"/>
    <n v="86.345000999999996"/>
    <n v="86.550003000000004"/>
    <n v="83.449996999999996"/>
    <n v="83.489998"/>
    <n v="48510400"/>
    <n v="0"/>
    <n v="-3.58"/>
    <x v="1"/>
    <n v="-4.2879411735043921E-2"/>
    <s v=""/>
  </r>
  <r>
    <s v="Friday, November 4, 2022"/>
    <x v="3"/>
    <x v="1051"/>
    <n v="85.510002"/>
    <n v="86.730002999999996"/>
    <n v="83.879997000000003"/>
    <n v="86.699996999999996"/>
    <n v="40173300"/>
    <n v="0"/>
    <n v="3.21"/>
    <x v="2"/>
    <n v="3.7024211200376356E-2"/>
    <s v=""/>
  </r>
  <r>
    <s v="Monday, November 7, 2022"/>
    <x v="4"/>
    <x v="1052"/>
    <n v="87.339995999999999"/>
    <n v="88.940002000000007"/>
    <n v="86.959998999999996"/>
    <n v="88.650002000000001"/>
    <n v="26899900"/>
    <n v="0"/>
    <n v="1.95"/>
    <x v="2"/>
    <n v="2.1996671810565829E-2"/>
    <s v=""/>
  </r>
  <r>
    <s v="Tuesday, November 8, 2022"/>
    <x v="0"/>
    <x v="1053"/>
    <n v="89.160004000000001"/>
    <n v="90.404999000000004"/>
    <n v="87.650002000000001"/>
    <n v="88.910004000000001"/>
    <n v="30172000"/>
    <n v="0"/>
    <n v="0.26"/>
    <x v="2"/>
    <n v="2.9243278405431191E-3"/>
    <s v=""/>
  </r>
  <r>
    <s v="Wednesday, November 9, 2022"/>
    <x v="1"/>
    <x v="1054"/>
    <n v="88.544998000000007"/>
    <n v="89.489998"/>
    <n v="87.360000999999997"/>
    <n v="87.400002000000001"/>
    <n v="26743900"/>
    <n v="0"/>
    <n v="-1.51"/>
    <x v="1"/>
    <n v="-1.7276910359796102E-2"/>
    <s v=""/>
  </r>
  <r>
    <s v="Thursday, November 10, 2022"/>
    <x v="2"/>
    <x v="1055"/>
    <n v="92.339995999999999"/>
    <n v="94.550003000000004"/>
    <n v="91.650002000000001"/>
    <n v="94.169998000000007"/>
    <n v="42371200"/>
    <n v="0"/>
    <n v="6.77"/>
    <x v="2"/>
    <n v="7.1891219536821122E-2"/>
    <n v="7.1891219536821122E-2"/>
  </r>
  <r>
    <s v="Friday, November 11, 2022"/>
    <x v="3"/>
    <x v="1056"/>
    <n v="94.709998999999996"/>
    <n v="97.360000999999997"/>
    <n v="94.160004000000001"/>
    <n v="96.730002999999996"/>
    <n v="30569100"/>
    <n v="0"/>
    <n v="2.56"/>
    <x v="2"/>
    <n v="2.6465470077572412E-2"/>
    <s v=""/>
  </r>
  <r>
    <s v="Monday, November 14, 2022"/>
    <x v="4"/>
    <x v="1057"/>
    <n v="95.5"/>
    <n v="97.18"/>
    <n v="95.112999000000002"/>
    <n v="96.029999000000004"/>
    <n v="24170100"/>
    <n v="0"/>
    <n v="-0.7"/>
    <x v="1"/>
    <n v="-7.2894304622453734E-3"/>
    <s v=""/>
  </r>
  <r>
    <s v="Tuesday, November 15, 2022"/>
    <x v="0"/>
    <x v="1058"/>
    <n v="98.669998000000007"/>
    <n v="100.41999800000001"/>
    <n v="97.019997000000004"/>
    <n v="98.720000999999996"/>
    <n v="31831000"/>
    <n v="0"/>
    <n v="2.69"/>
    <x v="2"/>
    <n v="2.7248804424140887E-2"/>
    <s v=""/>
  </r>
  <r>
    <s v="Wednesday, November 16, 2022"/>
    <x v="1"/>
    <x v="1059"/>
    <n v="98.019997000000004"/>
    <n v="99.849997999999999"/>
    <n v="97.902000000000001"/>
    <n v="98.989998"/>
    <n v="24660200"/>
    <n v="0"/>
    <n v="0.27"/>
    <x v="2"/>
    <n v="2.727517986211128E-3"/>
    <s v=""/>
  </r>
  <r>
    <s v="Thursday, November 17, 2022"/>
    <x v="2"/>
    <x v="1060"/>
    <n v="97.18"/>
    <n v="99.480002999999996"/>
    <n v="97.099997999999999"/>
    <n v="98.5"/>
    <n v="21818700"/>
    <n v="0"/>
    <n v="-0.49"/>
    <x v="1"/>
    <n v="-4.9745989847715727E-3"/>
    <s v=""/>
  </r>
  <r>
    <s v="Friday, November 18, 2022"/>
    <x v="3"/>
    <x v="1061"/>
    <n v="99.010002"/>
    <n v="99.160004000000001"/>
    <n v="96.739998"/>
    <n v="97.800003000000004"/>
    <n v="24969900"/>
    <n v="0"/>
    <n v="-0.7"/>
    <x v="1"/>
    <n v="-7.1574333182791022E-3"/>
    <s v=""/>
  </r>
  <r>
    <s v="Monday, November 21, 2022"/>
    <x v="4"/>
    <x v="1062"/>
    <n v="97.559997999999993"/>
    <n v="98.720000999999996"/>
    <n v="95.669998000000007"/>
    <n v="95.830001999999993"/>
    <n v="18696900"/>
    <n v="0"/>
    <n v="-1.97"/>
    <x v="1"/>
    <n v="-2.0557246779562947E-2"/>
    <s v=""/>
  </r>
  <r>
    <s v="Tuesday, November 22, 2022"/>
    <x v="0"/>
    <x v="1063"/>
    <n v="96.160004000000001"/>
    <n v="97.547996999999995"/>
    <n v="94.410004000000001"/>
    <n v="97.330001999999993"/>
    <n v="18868900"/>
    <n v="0"/>
    <n v="1.5"/>
    <x v="2"/>
    <n v="1.5411486378064599E-2"/>
    <s v=""/>
  </r>
  <r>
    <s v="Wednesday, November 23, 2022"/>
    <x v="1"/>
    <x v="1064"/>
    <n v="97.339995999999999"/>
    <n v="99.069000000000003"/>
    <n v="97.339995999999999"/>
    <n v="98.82"/>
    <n v="17568900"/>
    <n v="0"/>
    <n v="1.49"/>
    <x v="2"/>
    <n v="1.5077899210686096E-2"/>
    <s v=""/>
  </r>
  <r>
    <s v="Friday, November 25, 2022"/>
    <x v="3"/>
    <x v="1065"/>
    <n v="98.464995999999999"/>
    <n v="98.940002000000007"/>
    <n v="97.529999000000004"/>
    <n v="97.599997999999999"/>
    <n v="8567800"/>
    <n v="0"/>
    <n v="-1.22"/>
    <x v="1"/>
    <n v="-1.2500020747951181E-2"/>
    <s v=""/>
  </r>
  <r>
    <s v="Monday, November 28, 2022"/>
    <x v="4"/>
    <x v="1066"/>
    <n v="97.199996999999996"/>
    <n v="97.830001999999993"/>
    <n v="95.889999000000003"/>
    <n v="96.25"/>
    <n v="19974500"/>
    <n v="0"/>
    <n v="-1.35"/>
    <x v="1"/>
    <n v="-1.402595324675324E-2"/>
    <s v=""/>
  </r>
  <r>
    <s v="Tuesday, November 29, 2022"/>
    <x v="0"/>
    <x v="1067"/>
    <n v="96"/>
    <n v="96.389999000000003"/>
    <n v="94.389999000000003"/>
    <n v="95.440002000000007"/>
    <n v="20220000"/>
    <n v="0"/>
    <n v="-0.81"/>
    <x v="1"/>
    <n v="-8.4869864105827763E-3"/>
    <s v=""/>
  </r>
  <r>
    <s v="Wednesday, November 30, 2022"/>
    <x v="1"/>
    <x v="1068"/>
    <n v="95.120002999999997"/>
    <n v="101.449997"/>
    <n v="94.669998000000007"/>
    <n v="101.449997"/>
    <n v="39888100"/>
    <n v="0"/>
    <n v="6.01"/>
    <x v="2"/>
    <n v="5.9240957887854738E-2"/>
    <n v="5.9240957887854738E-2"/>
  </r>
  <r>
    <s v="Thursday, December 1, 2022"/>
    <x v="2"/>
    <x v="1069"/>
    <n v="101.400002"/>
    <n v="102.589996"/>
    <n v="100.66999800000001"/>
    <n v="101.279999"/>
    <n v="21771500"/>
    <n v="0"/>
    <n v="-0.17"/>
    <x v="1"/>
    <n v="-1.678495277236254E-3"/>
    <s v=""/>
  </r>
  <r>
    <s v="Friday, December 2, 2022"/>
    <x v="3"/>
    <x v="1070"/>
    <n v="99.370002999999997"/>
    <n v="101.150002"/>
    <n v="99.169998000000007"/>
    <n v="100.83000199999999"/>
    <n v="18821500"/>
    <n v="0"/>
    <n v="-0.45"/>
    <x v="1"/>
    <n v="-4.462927611565558E-3"/>
    <s v=""/>
  </r>
  <r>
    <s v="Monday, December 5, 2022"/>
    <x v="4"/>
    <x v="1071"/>
    <n v="99.815002000000007"/>
    <n v="101.75"/>
    <n v="99.355002999999996"/>
    <n v="99.870002999999997"/>
    <n v="19955500"/>
    <n v="0"/>
    <n v="-0.96"/>
    <x v="1"/>
    <n v="-9.6124859433517427E-3"/>
    <s v=""/>
  </r>
  <r>
    <s v="Tuesday, December 6, 2022"/>
    <x v="0"/>
    <x v="1072"/>
    <n v="99.669998000000007"/>
    <n v="100.209999"/>
    <n v="96.760002"/>
    <n v="97.309997999999993"/>
    <n v="20877600"/>
    <n v="0"/>
    <n v="-2.56"/>
    <x v="1"/>
    <n v="-2.630772842067065E-2"/>
    <s v=""/>
  </r>
  <r>
    <s v="Wednesday, December 7, 2022"/>
    <x v="1"/>
    <x v="1073"/>
    <n v="96.769997000000004"/>
    <n v="97.309997999999993"/>
    <n v="95.025002000000001"/>
    <n v="95.150002000000001"/>
    <n v="26647900"/>
    <n v="0"/>
    <n v="-2.16"/>
    <x v="1"/>
    <n v="-2.2700955907494279E-2"/>
    <s v=""/>
  </r>
  <r>
    <s v="Thursday, December 8, 2022"/>
    <x v="2"/>
    <x v="1074"/>
    <n v="95.690002000000007"/>
    <n v="95.870002999999997"/>
    <n v="93.800003000000004"/>
    <n v="93.949996999999996"/>
    <n v="25593200"/>
    <n v="0"/>
    <n v="-1.2"/>
    <x v="1"/>
    <n v="-1.2772805091201914E-2"/>
    <s v=""/>
  </r>
  <r>
    <s v="Friday, December 9, 2022"/>
    <x v="3"/>
    <x v="1075"/>
    <n v="93.900002000000001"/>
    <n v="94.489998"/>
    <n v="93.019997000000004"/>
    <n v="93.07"/>
    <n v="21885300"/>
    <n v="0"/>
    <n v="-0.88"/>
    <x v="1"/>
    <n v="-9.4552165037069206E-3"/>
    <s v=""/>
  </r>
  <r>
    <s v="Monday, December 12, 2022"/>
    <x v="4"/>
    <x v="1076"/>
    <n v="93.089995999999999"/>
    <n v="93.875"/>
    <n v="91.900002000000001"/>
    <n v="93.559997999999993"/>
    <n v="27380900"/>
    <n v="0"/>
    <n v="0.49"/>
    <x v="2"/>
    <n v="5.2372596245673277E-3"/>
    <s v=""/>
  </r>
  <r>
    <s v="Tuesday, December 13, 2022"/>
    <x v="0"/>
    <x v="1077"/>
    <n v="98.07"/>
    <n v="99.800003000000004"/>
    <n v="95.379997000000003"/>
    <n v="95.849997999999999"/>
    <n v="34788500"/>
    <n v="0"/>
    <n v="2.29"/>
    <x v="2"/>
    <n v="2.3891497629452287E-2"/>
    <s v=""/>
  </r>
  <r>
    <s v="Wednesday, December 14, 2022"/>
    <x v="1"/>
    <x v="1078"/>
    <n v="95.540001000000004"/>
    <n v="97.220000999999996"/>
    <n v="93.940002000000007"/>
    <n v="95.309997999999993"/>
    <n v="26452900"/>
    <n v="0"/>
    <n v="-0.54"/>
    <x v="1"/>
    <n v="-5.6657224984938753E-3"/>
    <s v=""/>
  </r>
  <r>
    <s v="Thursday, December 15, 2022"/>
    <x v="2"/>
    <x v="1079"/>
    <n v="93.540001000000004"/>
    <n v="94.029999000000004"/>
    <n v="90.43"/>
    <n v="91.199996999999996"/>
    <n v="28298800"/>
    <n v="0"/>
    <n v="-4.1100000000000003"/>
    <x v="1"/>
    <n v="-4.5065801921024155E-2"/>
    <s v=""/>
  </r>
  <r>
    <s v="Friday, December 16, 2022"/>
    <x v="3"/>
    <x v="1080"/>
    <n v="91.199996999999996"/>
    <n v="91.75"/>
    <n v="90.010002"/>
    <n v="90.860000999999997"/>
    <n v="48485500"/>
    <n v="0"/>
    <n v="-0.34"/>
    <x v="1"/>
    <n v="-3.7419766262164066E-3"/>
    <s v=""/>
  </r>
  <r>
    <s v="Monday, December 19, 2022"/>
    <x v="4"/>
    <x v="1081"/>
    <n v="90.879997000000003"/>
    <n v="91.199996999999996"/>
    <n v="88.925003000000004"/>
    <n v="89.150002000000001"/>
    <n v="23020500"/>
    <n v="0"/>
    <n v="-1.71"/>
    <x v="1"/>
    <n v="-1.9181143708779685E-2"/>
    <s v=""/>
  </r>
  <r>
    <s v="Tuesday, December 20, 2022"/>
    <x v="0"/>
    <x v="1082"/>
    <n v="88.730002999999996"/>
    <n v="89.779999000000004"/>
    <n v="88.040001000000004"/>
    <n v="89.629997000000003"/>
    <n v="21976800"/>
    <n v="0"/>
    <n v="0.48"/>
    <x v="2"/>
    <n v="5.3552941656352208E-3"/>
    <s v=""/>
  </r>
  <r>
    <s v="Wednesday, December 21, 2022"/>
    <x v="1"/>
    <x v="1083"/>
    <n v="89.730002999999996"/>
    <n v="90.915001000000004"/>
    <n v="88.910004000000001"/>
    <n v="90.25"/>
    <n v="20336400"/>
    <n v="0"/>
    <n v="0.62"/>
    <x v="2"/>
    <n v="6.8698393351800217E-3"/>
    <s v=""/>
  </r>
  <r>
    <s v="Thursday, December 22, 2022"/>
    <x v="2"/>
    <x v="1084"/>
    <n v="88.93"/>
    <n v="89.18"/>
    <n v="86.940002000000007"/>
    <n v="88.260002"/>
    <n v="23656100"/>
    <n v="0"/>
    <n v="-1.99"/>
    <x v="1"/>
    <n v="-2.2546996996442397E-2"/>
    <s v=""/>
  </r>
  <r>
    <s v="Friday, December 23, 2022"/>
    <x v="3"/>
    <x v="1085"/>
    <n v="87.620002999999997"/>
    <n v="90.099997999999999"/>
    <n v="87.620002999999997"/>
    <n v="89.809997999999993"/>
    <n v="17815000"/>
    <n v="0"/>
    <n v="1.55"/>
    <x v="2"/>
    <n v="1.7258613010992307E-2"/>
    <s v=""/>
  </r>
  <r>
    <s v="Tuesday, December 27, 2022"/>
    <x v="0"/>
    <x v="1086"/>
    <n v="89.309997999999993"/>
    <n v="89.5"/>
    <n v="87.535004000000001"/>
    <n v="87.93"/>
    <n v="15470900"/>
    <n v="0"/>
    <n v="-1.88"/>
    <x v="1"/>
    <n v="-2.1380620948481588E-2"/>
    <s v=""/>
  </r>
  <r>
    <s v="Wednesday, December 28, 2022"/>
    <x v="1"/>
    <x v="1087"/>
    <n v="87.5"/>
    <n v="88.519997000000004"/>
    <n v="86.370002999999997"/>
    <n v="86.459998999999996"/>
    <n v="17879600"/>
    <n v="0"/>
    <n v="-1.47"/>
    <x v="1"/>
    <n v="-1.7002093650267225E-2"/>
    <s v=""/>
  </r>
  <r>
    <s v="Thursday, December 29, 2022"/>
    <x v="2"/>
    <x v="1088"/>
    <n v="87.029999000000004"/>
    <n v="89.364998"/>
    <n v="86.989998"/>
    <n v="88.949996999999996"/>
    <n v="18280700"/>
    <n v="0"/>
    <n v="2.4900000000000002"/>
    <x v="2"/>
    <n v="2.7993233097017418E-2"/>
    <s v=""/>
  </r>
  <r>
    <s v="Friday, December 30, 2022"/>
    <x v="3"/>
    <x v="1089"/>
    <n v="87.364998"/>
    <n v="88.830001999999993"/>
    <n v="87.029999000000004"/>
    <n v="88.730002999999996"/>
    <n v="19190300"/>
    <n v="0"/>
    <n v="-0.22"/>
    <x v="1"/>
    <n v="-2.4793642799719033E-3"/>
    <s v=""/>
  </r>
  <r>
    <s v="Tuesday, January 3, 2023"/>
    <x v="0"/>
    <x v="1090"/>
    <n v="89.830001999999993"/>
    <n v="91.550003000000004"/>
    <n v="89.019997000000004"/>
    <n v="89.699996999999996"/>
    <n v="20738500"/>
    <n v="0"/>
    <n v="0.97"/>
    <x v="2"/>
    <n v="1.0813757329334135E-2"/>
    <s v=""/>
  </r>
  <r>
    <s v="Wednesday, January 4, 2023"/>
    <x v="1"/>
    <x v="1091"/>
    <n v="91.010002"/>
    <n v="91.239998"/>
    <n v="87.800003000000004"/>
    <n v="88.709998999999996"/>
    <n v="27046500"/>
    <n v="0"/>
    <n v="-0.99"/>
    <x v="1"/>
    <n v="-1.1159936998759295E-2"/>
    <s v=""/>
  </r>
  <r>
    <s v="Thursday, January 5, 2023"/>
    <x v="2"/>
    <x v="1092"/>
    <n v="88.07"/>
    <n v="88.209998999999996"/>
    <n v="86.559997999999993"/>
    <n v="86.769997000000004"/>
    <n v="23136100"/>
    <n v="0"/>
    <n v="-1.94"/>
    <x v="1"/>
    <n v="-2.2357981641972311E-2"/>
    <s v=""/>
  </r>
  <r>
    <s v="Friday, January 6, 2023"/>
    <x v="3"/>
    <x v="1093"/>
    <n v="87.360000999999997"/>
    <n v="88.470000999999996"/>
    <n v="85.57"/>
    <n v="88.160004000000001"/>
    <n v="26612600"/>
    <n v="0"/>
    <n v="1.39"/>
    <x v="2"/>
    <n v="1.5766866344516014E-2"/>
    <s v=""/>
  </r>
  <r>
    <s v="Monday, January 9, 2023"/>
    <x v="4"/>
    <x v="1094"/>
    <n v="89.194999999999993"/>
    <n v="90.830001999999993"/>
    <n v="88.580001999999993"/>
    <n v="88.800003000000004"/>
    <n v="22996700"/>
    <n v="0"/>
    <n v="0.64"/>
    <x v="2"/>
    <n v="7.2071957024596395E-3"/>
    <s v=""/>
  </r>
  <r>
    <s v="Tuesday, January 10, 2023"/>
    <x v="0"/>
    <x v="1095"/>
    <n v="86.720000999999996"/>
    <n v="89.474997999999999"/>
    <n v="86.699996999999996"/>
    <n v="89.239998"/>
    <n v="22855600"/>
    <n v="0"/>
    <n v="0.44"/>
    <x v="2"/>
    <n v="4.9304685103197347E-3"/>
    <s v=""/>
  </r>
  <r>
    <s v="Wednesday, January 11, 2023"/>
    <x v="1"/>
    <x v="1096"/>
    <n v="90.059997999999993"/>
    <n v="92.449996999999996"/>
    <n v="89.739998"/>
    <n v="92.260002"/>
    <n v="25998800"/>
    <n v="0"/>
    <n v="3.02"/>
    <x v="2"/>
    <n v="3.2733621661963544E-2"/>
    <s v=""/>
  </r>
  <r>
    <s v="Thursday, January 12, 2023"/>
    <x v="2"/>
    <x v="1097"/>
    <n v="92.400002000000001"/>
    <n v="92.620002999999997"/>
    <n v="90.57"/>
    <n v="91.910004000000001"/>
    <n v="22754200"/>
    <n v="0"/>
    <n v="-0.35"/>
    <x v="1"/>
    <n v="-3.8080511888564312E-3"/>
    <s v=""/>
  </r>
  <r>
    <s v="Friday, January 13, 2023"/>
    <x v="3"/>
    <x v="1098"/>
    <n v="91.528000000000006"/>
    <n v="92.980002999999996"/>
    <n v="90.93"/>
    <n v="92.800003000000004"/>
    <n v="18630700"/>
    <n v="0"/>
    <n v="0.89"/>
    <x v="2"/>
    <n v="9.5905061554793607E-3"/>
    <s v=""/>
  </r>
  <r>
    <s v="Tuesday, January 17, 2023"/>
    <x v="0"/>
    <x v="1099"/>
    <n v="92.779999000000004"/>
    <n v="92.970000999999996"/>
    <n v="90.839995999999999"/>
    <n v="92.160004000000001"/>
    <n v="22935800"/>
    <n v="0"/>
    <n v="-0.64"/>
    <x v="1"/>
    <n v="-6.9444332923423386E-3"/>
    <s v=""/>
  </r>
  <r>
    <s v="Wednesday, January 18, 2023"/>
    <x v="1"/>
    <x v="1100"/>
    <n v="92.940002000000007"/>
    <n v="93.587997000000001"/>
    <n v="91.400002000000001"/>
    <n v="91.779999000000004"/>
    <n v="19641600"/>
    <n v="0"/>
    <n v="-0.38"/>
    <x v="1"/>
    <n v="-4.1403901083066803E-3"/>
    <s v=""/>
  </r>
  <r>
    <s v="Thursday, January 19, 2023"/>
    <x v="2"/>
    <x v="1101"/>
    <n v="91.389999000000003"/>
    <n v="94.400002000000001"/>
    <n v="91.379997000000003"/>
    <n v="93.910004000000001"/>
    <n v="28707700"/>
    <n v="0"/>
    <n v="2.13"/>
    <x v="2"/>
    <n v="2.2681342873758125E-2"/>
    <s v=""/>
  </r>
  <r>
    <s v="Friday, January 20, 2023"/>
    <x v="3"/>
    <x v="1102"/>
    <n v="95.949996999999996"/>
    <n v="99.419998000000007"/>
    <n v="95.910004000000001"/>
    <n v="99.279999000000004"/>
    <n v="53704800"/>
    <n v="0"/>
    <n v="5.37"/>
    <x v="2"/>
    <n v="5.4089394178982647E-2"/>
    <n v="5.4089394178982647E-2"/>
  </r>
  <r>
    <s v="Monday, January 23, 2023"/>
    <x v="4"/>
    <x v="1103"/>
    <n v="99.129997000000003"/>
    <n v="101.400002"/>
    <n v="98.75"/>
    <n v="101.209999"/>
    <n v="31791800"/>
    <n v="0"/>
    <n v="1.93"/>
    <x v="2"/>
    <n v="1.9069262119052018E-2"/>
    <s v=""/>
  </r>
  <r>
    <s v="Tuesday, January 24, 2023"/>
    <x v="0"/>
    <x v="1104"/>
    <n v="99.550003000000004"/>
    <n v="101.089996"/>
    <n v="98.699996999999996"/>
    <n v="99.209998999999996"/>
    <n v="27391400"/>
    <n v="0"/>
    <n v="-2"/>
    <x v="1"/>
    <n v="-2.0159258342498321E-2"/>
    <s v=""/>
  </r>
  <r>
    <s v="Wednesday, January 25, 2023"/>
    <x v="1"/>
    <x v="1105"/>
    <n v="97.199996999999996"/>
    <n v="97.720000999999996"/>
    <n v="95.262000999999998"/>
    <n v="96.730002999999996"/>
    <n v="31000900"/>
    <n v="0"/>
    <n v="-2.48"/>
    <x v="1"/>
    <n v="-2.5638332710482804E-2"/>
    <s v=""/>
  </r>
  <r>
    <s v="Thursday, January 26, 2023"/>
    <x v="2"/>
    <x v="1106"/>
    <n v="98.279999000000004"/>
    <n v="99.209998999999996"/>
    <n v="96.82"/>
    <n v="99.160004000000001"/>
    <n v="24542100"/>
    <n v="0"/>
    <n v="2.4300000000000002"/>
    <x v="2"/>
    <n v="2.4505858228888375E-2"/>
    <s v=""/>
  </r>
  <r>
    <s v="Friday, January 27, 2023"/>
    <x v="3"/>
    <x v="1107"/>
    <n v="99.050003000000004"/>
    <n v="101.58000199999999"/>
    <n v="98.970000999999996"/>
    <n v="100.709999"/>
    <n v="29020400"/>
    <n v="0"/>
    <n v="1.55"/>
    <x v="2"/>
    <n v="1.5390676351808876E-2"/>
    <s v=""/>
  </r>
  <r>
    <s v="Monday, January 30, 2023"/>
    <x v="4"/>
    <x v="1108"/>
    <n v="98.745002999999997"/>
    <n v="99.408996999999999"/>
    <n v="97.519997000000004"/>
    <n v="97.949996999999996"/>
    <n v="24365100"/>
    <n v="0"/>
    <n v="-2.76"/>
    <x v="1"/>
    <n v="-2.8177662935507799E-2"/>
    <s v=""/>
  </r>
  <r>
    <s v="Tuesday, January 31, 2023"/>
    <x v="0"/>
    <x v="1109"/>
    <n v="97.860000999999997"/>
    <n v="99.910004000000001"/>
    <n v="97.790001000000004"/>
    <n v="99.870002999999997"/>
    <n v="22306800"/>
    <n v="0"/>
    <n v="1.92"/>
    <x v="2"/>
    <n v="1.9225051990836538E-2"/>
    <s v=""/>
  </r>
  <r>
    <s v="Wednesday, February 1, 2023"/>
    <x v="1"/>
    <x v="1110"/>
    <n v="99.739998"/>
    <n v="102.19000200000001"/>
    <n v="98.419998000000007"/>
    <n v="101.43"/>
    <n v="26392600"/>
    <n v="0"/>
    <n v="1.56"/>
    <x v="2"/>
    <n v="1.5380035492457948E-2"/>
    <s v=""/>
  </r>
  <r>
    <s v="Thursday, February 2, 2023"/>
    <x v="2"/>
    <x v="1111"/>
    <n v="106.790001"/>
    <n v="108.82"/>
    <n v="106.540001"/>
    <n v="108.800003"/>
    <n v="46622600"/>
    <n v="0"/>
    <n v="7.37"/>
    <x v="2"/>
    <n v="6.7738996293961476E-2"/>
    <n v="6.7738996293961476E-2"/>
  </r>
  <r>
    <s v="Friday, February 3, 2023"/>
    <x v="3"/>
    <x v="1112"/>
    <n v="103.510002"/>
    <n v="108.019997"/>
    <n v="103.300003"/>
    <n v="105.220001"/>
    <n v="36823400"/>
    <n v="0"/>
    <n v="-3.58"/>
    <x v="1"/>
    <n v="-3.4023968503858956E-2"/>
    <s v=""/>
  </r>
  <r>
    <s v="Monday, February 6, 2023"/>
    <x v="4"/>
    <x v="1113"/>
    <n v="102.68499799999999"/>
    <n v="104.699997"/>
    <n v="102.209999"/>
    <n v="103.470001"/>
    <n v="25573000"/>
    <n v="0"/>
    <n v="-1.75"/>
    <x v="1"/>
    <n v="-1.6913114749075919E-2"/>
    <s v=""/>
  </r>
  <r>
    <s v="Tuesday, February 7, 2023"/>
    <x v="0"/>
    <x v="1114"/>
    <n v="103.629997"/>
    <n v="108.66999800000001"/>
    <n v="103.547997"/>
    <n v="108.040001"/>
    <n v="33738800"/>
    <n v="0"/>
    <n v="4.57"/>
    <x v="2"/>
    <n v="4.2299148072018317E-2"/>
    <s v=""/>
  </r>
  <r>
    <s v="Wednesday, February 8, 2023"/>
    <x v="1"/>
    <x v="1115"/>
    <n v="102.69000200000001"/>
    <n v="103.58000199999999"/>
    <n v="98.455001999999993"/>
    <n v="100"/>
    <n v="73546000"/>
    <n v="0"/>
    <n v="-8.0399999999999991"/>
    <x v="1"/>
    <n v="-8.0400010000000036E-2"/>
    <s v=""/>
  </r>
  <r>
    <s v="Thursday, February 9, 2023"/>
    <x v="2"/>
    <x v="1116"/>
    <n v="100.540001"/>
    <n v="100.610001"/>
    <n v="93.860000999999997"/>
    <n v="95.459998999999996"/>
    <n v="97798600"/>
    <n v="0"/>
    <n v="-4.54"/>
    <x v="1"/>
    <n v="-4.7559198067873475E-2"/>
    <s v=""/>
  </r>
  <r>
    <s v="Friday, February 10, 2023"/>
    <x v="3"/>
    <x v="1117"/>
    <n v="95.739998"/>
    <n v="97.019997000000004"/>
    <n v="94.529999000000004"/>
    <n v="94.860000999999997"/>
    <n v="49325300"/>
    <n v="0"/>
    <n v="-0.6"/>
    <x v="1"/>
    <n v="-6.3250895390566083E-3"/>
    <s v=""/>
  </r>
  <r>
    <s v="Monday, February 13, 2023"/>
    <x v="4"/>
    <x v="1118"/>
    <n v="95.010002"/>
    <n v="95.349997999999999"/>
    <n v="94.050003000000004"/>
    <n v="95"/>
    <n v="43116600"/>
    <n v="0"/>
    <n v="0.14000000000000001"/>
    <x v="2"/>
    <n v="1.4736736842105589E-3"/>
    <s v=""/>
  </r>
  <r>
    <s v="Tuesday, February 14, 2023"/>
    <x v="0"/>
    <x v="1119"/>
    <n v="94.660004000000001"/>
    <n v="95.175003000000004"/>
    <n v="92.650002000000001"/>
    <n v="94.949996999999996"/>
    <n v="42513100"/>
    <n v="0"/>
    <n v="-0.05"/>
    <x v="1"/>
    <n v="-5.2662455587022079E-4"/>
    <s v=""/>
  </r>
  <r>
    <s v="Wednesday, February 15, 2023"/>
    <x v="1"/>
    <x v="1120"/>
    <n v="94.739998"/>
    <n v="97.339995999999999"/>
    <n v="94.360000999999997"/>
    <n v="97.099997999999999"/>
    <n v="36964500"/>
    <n v="0"/>
    <n v="2.15"/>
    <x v="2"/>
    <n v="2.2142132278931696E-2"/>
    <s v=""/>
  </r>
  <r>
    <s v="Thursday, February 16, 2023"/>
    <x v="2"/>
    <x v="1121"/>
    <n v="95.540001000000004"/>
    <n v="97.879997000000003"/>
    <n v="94.970000999999996"/>
    <n v="95.779999000000004"/>
    <n v="35642100"/>
    <n v="0"/>
    <n v="-1.32"/>
    <x v="1"/>
    <n v="-1.3781572497197412E-2"/>
    <s v=""/>
  </r>
  <r>
    <s v="Friday, February 17, 2023"/>
    <x v="3"/>
    <x v="1122"/>
    <n v="95.07"/>
    <n v="95.75"/>
    <n v="93.449996999999996"/>
    <n v="94.589995999999999"/>
    <n v="31095100"/>
    <n v="0"/>
    <n v="-1.19"/>
    <x v="1"/>
    <n v="-1.2580643306084972E-2"/>
    <s v=""/>
  </r>
  <r>
    <s v="Tuesday, February 21, 2023"/>
    <x v="0"/>
    <x v="1123"/>
    <n v="93.239998"/>
    <n v="93.415001000000004"/>
    <n v="92"/>
    <n v="92.050003000000004"/>
    <n v="28367200"/>
    <n v="0"/>
    <n v="-2.54"/>
    <x v="1"/>
    <n v="-2.759362213165811E-2"/>
    <s v=""/>
  </r>
  <r>
    <s v="Wednesday, February 22, 2023"/>
    <x v="1"/>
    <x v="1124"/>
    <n v="91.933998000000003"/>
    <n v="92.360000999999997"/>
    <n v="90.870002999999997"/>
    <n v="91.800003000000004"/>
    <n v="29891100"/>
    <n v="0"/>
    <n v="-0.25"/>
    <x v="1"/>
    <n v="-2.7233114578438522E-3"/>
    <s v=""/>
  </r>
  <r>
    <s v="Thursday, February 23, 2023"/>
    <x v="2"/>
    <x v="1125"/>
    <n v="92.129997000000003"/>
    <n v="92.129997000000003"/>
    <n v="90.010002"/>
    <n v="91.07"/>
    <n v="32423700"/>
    <n v="0"/>
    <n v="-0.73"/>
    <x v="1"/>
    <n v="-8.0158449544307751E-3"/>
    <s v=""/>
  </r>
  <r>
    <s v="Friday, February 24, 2023"/>
    <x v="3"/>
    <x v="1126"/>
    <n v="89.629997000000003"/>
    <n v="90.129997000000003"/>
    <n v="88.860000999999997"/>
    <n v="89.349997999999999"/>
    <n v="31295600"/>
    <n v="0"/>
    <n v="-1.72"/>
    <x v="1"/>
    <n v="-1.925016271404946E-2"/>
    <s v=""/>
  </r>
  <r>
    <s v="Monday, February 27, 2023"/>
    <x v="4"/>
    <x v="1127"/>
    <n v="90.089995999999999"/>
    <n v="90.449996999999996"/>
    <n v="89.610000999999997"/>
    <n v="90.099997999999999"/>
    <n v="22724300"/>
    <n v="0"/>
    <n v="0.75"/>
    <x v="2"/>
    <n v="8.3240845354957717E-3"/>
    <s v=""/>
  </r>
  <r>
    <s v="Tuesday, February 28, 2023"/>
    <x v="0"/>
    <x v="1128"/>
    <n v="89.540001000000004"/>
    <n v="91.449996999999996"/>
    <n v="89.519997000000004"/>
    <n v="90.300003000000004"/>
    <n v="30546900"/>
    <n v="0"/>
    <n v="0.2"/>
    <x v="2"/>
    <n v="2.21489472154286E-3"/>
    <s v=""/>
  </r>
  <r>
    <s v="Wednesday, March 1, 2023"/>
    <x v="1"/>
    <x v="1129"/>
    <n v="90.160004000000001"/>
    <n v="91.199996999999996"/>
    <n v="89.849997999999999"/>
    <n v="90.510002"/>
    <n v="26323900"/>
    <n v="0"/>
    <n v="0.21"/>
    <x v="2"/>
    <n v="2.3201745150773089E-3"/>
    <s v=""/>
  </r>
  <r>
    <s v="Thursday, March 2, 2023"/>
    <x v="2"/>
    <x v="1130"/>
    <n v="89.860000999999997"/>
    <n v="92.480002999999996"/>
    <n v="89.769997000000004"/>
    <n v="92.309997999999993"/>
    <n v="23328600"/>
    <n v="0"/>
    <n v="1.8"/>
    <x v="2"/>
    <n v="1.949946960241504E-2"/>
    <s v=""/>
  </r>
  <r>
    <s v="Friday, March 3, 2023"/>
    <x v="3"/>
    <x v="1131"/>
    <n v="92.739998"/>
    <n v="94.110000999999997"/>
    <n v="92.660004000000001"/>
    <n v="94.019997000000004"/>
    <n v="30242500"/>
    <n v="0"/>
    <n v="1.71"/>
    <x v="2"/>
    <n v="1.8187609599689843E-2"/>
    <s v=""/>
  </r>
  <r>
    <s v="Monday, March 6, 2023"/>
    <x v="4"/>
    <x v="1132"/>
    <n v="94.360000999999997"/>
    <n v="96.300003000000004"/>
    <n v="94.300003000000004"/>
    <n v="95.580001999999993"/>
    <n v="28288200"/>
    <n v="0"/>
    <n v="1.56"/>
    <x v="2"/>
    <n v="1.6321458122589175E-2"/>
    <s v=""/>
  </r>
  <r>
    <s v="Tuesday, March 7, 2023"/>
    <x v="0"/>
    <x v="1133"/>
    <n v="95.419998000000007"/>
    <n v="96.089995999999999"/>
    <n v="93.844002000000003"/>
    <n v="94.169998000000007"/>
    <n v="24101500"/>
    <n v="0"/>
    <n v="-1.41"/>
    <x v="1"/>
    <n v="-1.4972964106890885E-2"/>
    <s v=""/>
  </r>
  <r>
    <s v="Wednesday, March 8, 2023"/>
    <x v="1"/>
    <x v="1134"/>
    <n v="94.404999000000004"/>
    <n v="96.239998"/>
    <n v="94.404999000000004"/>
    <n v="94.650002000000001"/>
    <n v="25395200"/>
    <n v="0"/>
    <n v="0.48"/>
    <x v="2"/>
    <n v="5.0713575262258722E-3"/>
    <s v=""/>
  </r>
  <r>
    <s v="Thursday, March 9, 2023"/>
    <x v="2"/>
    <x v="1135"/>
    <n v="94.489998"/>
    <n v="95.919998000000007"/>
    <n v="92.355002999999996"/>
    <n v="92.660004000000001"/>
    <n v="24438900"/>
    <n v="0"/>
    <n v="-1.99"/>
    <x v="1"/>
    <n v="-2.1476342694740223E-2"/>
    <s v=""/>
  </r>
  <r>
    <s v="Friday, March 10, 2023"/>
    <x v="3"/>
    <x v="1136"/>
    <n v="92.5"/>
    <n v="93.18"/>
    <n v="90.800003000000004"/>
    <n v="91.010002"/>
    <n v="32850100"/>
    <n v="0"/>
    <n v="-1.65"/>
    <x v="1"/>
    <n v="-1.81298974150116E-2"/>
    <s v=""/>
  </r>
  <r>
    <s v="Monday, March 13, 2023"/>
    <x v="4"/>
    <x v="1137"/>
    <n v="90.565002000000007"/>
    <n v="93.080001999999993"/>
    <n v="89.940002000000007"/>
    <n v="91.660004000000001"/>
    <n v="31508600"/>
    <n v="0"/>
    <n v="0.65"/>
    <x v="2"/>
    <n v="7.0914463411980719E-3"/>
    <s v=""/>
  </r>
  <r>
    <s v="Tuesday, March 14, 2023"/>
    <x v="0"/>
    <x v="1138"/>
    <n v="93.07"/>
    <n v="94.830001999999993"/>
    <n v="92.779999000000004"/>
    <n v="94.25"/>
    <n v="32303900"/>
    <n v="0"/>
    <n v="2.59"/>
    <x v="2"/>
    <n v="2.7480063660477446E-2"/>
    <s v=""/>
  </r>
  <r>
    <s v="Wednesday, March 15, 2023"/>
    <x v="1"/>
    <x v="1139"/>
    <n v="93.540001000000004"/>
    <n v="97.25"/>
    <n v="93.040001000000004"/>
    <n v="96.550003000000004"/>
    <n v="38367300"/>
    <n v="0"/>
    <n v="2.2999999999999998"/>
    <x v="2"/>
    <n v="2.3821884293468161E-2"/>
    <s v=""/>
  </r>
  <r>
    <s v="Thursday, March 16, 2023"/>
    <x v="2"/>
    <x v="1140"/>
    <n v="96.57"/>
    <n v="101.970001"/>
    <n v="95.870002999999997"/>
    <n v="101.07"/>
    <n v="54499500"/>
    <n v="0"/>
    <n v="4.5199999999999996"/>
    <x v="2"/>
    <n v="4.4721450479865338E-2"/>
    <s v=""/>
  </r>
  <r>
    <s v="Friday, March 17, 2023"/>
    <x v="3"/>
    <x v="1141"/>
    <n v="100.839996"/>
    <n v="103.489998"/>
    <n v="100.75"/>
    <n v="102.459999"/>
    <n v="76140300"/>
    <n v="0"/>
    <n v="1.39"/>
    <x v="2"/>
    <n v="1.356626013630942E-2"/>
    <s v=""/>
  </r>
  <r>
    <s v="Monday, March 20, 2023"/>
    <x v="4"/>
    <x v="1142"/>
    <n v="101.05999799999999"/>
    <n v="102.58000199999999"/>
    <n v="100.790001"/>
    <n v="101.93"/>
    <n v="26033900"/>
    <n v="0"/>
    <n v="-0.53"/>
    <x v="1"/>
    <n v="-5.1996370057881824E-3"/>
    <s v=""/>
  </r>
  <r>
    <s v="Tuesday, March 21, 2023"/>
    <x v="0"/>
    <x v="1143"/>
    <n v="101.980003"/>
    <n v="105.959999"/>
    <n v="101.860001"/>
    <n v="105.839996"/>
    <n v="33122800"/>
    <n v="0"/>
    <n v="3.91"/>
    <x v="2"/>
    <n v="3.6942518402967368E-2"/>
    <s v=""/>
  </r>
  <r>
    <s v="Wednesday, March 22, 2023"/>
    <x v="1"/>
    <x v="1144"/>
    <n v="105.139999"/>
    <n v="107.510002"/>
    <n v="104.209999"/>
    <n v="104.220001"/>
    <n v="32336900"/>
    <n v="0"/>
    <n v="-1.62"/>
    <x v="1"/>
    <n v="-1.5543993326194681E-2"/>
    <s v=""/>
  </r>
  <r>
    <s v="Thursday, March 23, 2023"/>
    <x v="2"/>
    <x v="1145"/>
    <n v="105.889999"/>
    <n v="107.100998"/>
    <n v="105.410004"/>
    <n v="106.260002"/>
    <n v="31385800"/>
    <n v="0"/>
    <n v="2.04"/>
    <x v="2"/>
    <n v="1.9198202160771685E-2"/>
    <s v=""/>
  </r>
  <r>
    <s v="Friday, March 24, 2023"/>
    <x v="3"/>
    <x v="1146"/>
    <n v="105.739998"/>
    <n v="106.160004"/>
    <n v="104.739998"/>
    <n v="106.05999799999999"/>
    <n v="25236200"/>
    <n v="0"/>
    <n v="-0.2"/>
    <x v="1"/>
    <n v="-1.8857628113476579E-3"/>
    <s v=""/>
  </r>
  <r>
    <s v="Monday, March 27, 2023"/>
    <x v="4"/>
    <x v="1147"/>
    <n v="105.32"/>
    <n v="105.400002"/>
    <n v="102.629997"/>
    <n v="103.05999799999999"/>
    <n v="25393400"/>
    <n v="0"/>
    <n v="-3"/>
    <x v="1"/>
    <n v="-2.9109257308543711E-2"/>
    <s v=""/>
  </r>
  <r>
    <s v="Tuesday, March 28, 2023"/>
    <x v="0"/>
    <x v="1148"/>
    <n v="103"/>
    <n v="103"/>
    <n v="100.279999"/>
    <n v="101.360001"/>
    <n v="24913500"/>
    <n v="0"/>
    <n v="-1.7"/>
    <x v="1"/>
    <n v="-1.6771872368075414E-2"/>
    <s v=""/>
  </r>
  <r>
    <s v="Wednesday, March 29, 2023"/>
    <x v="1"/>
    <x v="1149"/>
    <n v="102.720001"/>
    <n v="102.82"/>
    <n v="101.029999"/>
    <n v="101.900002"/>
    <n v="26148300"/>
    <n v="0"/>
    <n v="0.54"/>
    <x v="2"/>
    <n v="5.2993227615442413E-3"/>
    <s v=""/>
  </r>
  <r>
    <s v="Thursday, March 30, 2023"/>
    <x v="2"/>
    <x v="1150"/>
    <n v="101.44000200000001"/>
    <n v="101.610001"/>
    <n v="100.290001"/>
    <n v="101.32"/>
    <n v="25009800"/>
    <n v="0"/>
    <n v="-0.57999999999999996"/>
    <x v="1"/>
    <n v="-5.7244571654165759E-3"/>
    <s v=""/>
  </r>
  <r>
    <s v="Friday, March 31, 2023"/>
    <x v="3"/>
    <x v="1151"/>
    <n v="101.709999"/>
    <n v="104.19000200000001"/>
    <n v="101.44000200000001"/>
    <n v="104"/>
    <n v="28108000"/>
    <n v="0"/>
    <n v="2.68"/>
    <x v="2"/>
    <n v="2.5769230769230836E-2"/>
    <s v=""/>
  </r>
  <r>
    <s v="Monday, April 3, 2023"/>
    <x v="4"/>
    <x v="1152"/>
    <n v="102.66999800000001"/>
    <n v="104.949997"/>
    <n v="102.379997"/>
    <n v="104.910004"/>
    <n v="20719900"/>
    <n v="0"/>
    <n v="0.91"/>
    <x v="2"/>
    <n v="8.6741394080968749E-3"/>
    <s v=""/>
  </r>
  <r>
    <s v="Tuesday, April 4, 2023"/>
    <x v="0"/>
    <x v="1153"/>
    <n v="104.839996"/>
    <n v="106.099998"/>
    <n v="104.599998"/>
    <n v="105.120003"/>
    <n v="20377200"/>
    <n v="0"/>
    <n v="0.21"/>
    <x v="2"/>
    <n v="1.9977073250273432E-3"/>
    <s v=""/>
  </r>
  <r>
    <s v="Wednesday, April 5, 2023"/>
    <x v="1"/>
    <x v="1154"/>
    <n v="106.120003"/>
    <n v="106.540001"/>
    <n v="104.101997"/>
    <n v="104.949997"/>
    <n v="21864200"/>
    <n v="0"/>
    <n v="-0.17"/>
    <x v="1"/>
    <n v="-1.6198761777954198E-3"/>
    <s v=""/>
  </r>
  <r>
    <s v="Thursday, April 6, 2023"/>
    <x v="2"/>
    <x v="1155"/>
    <n v="105.769997"/>
    <n v="109.629997"/>
    <n v="104.81500200000001"/>
    <n v="108.900002"/>
    <n v="34684200"/>
    <n v="0"/>
    <n v="3.95"/>
    <x v="2"/>
    <n v="3.6271854246614291E-2"/>
    <s v=""/>
  </r>
  <r>
    <s v="Monday, April 10, 2023"/>
    <x v="4"/>
    <x v="1156"/>
    <n v="107.389999"/>
    <n v="107.970001"/>
    <n v="105.599998"/>
    <n v="106.949997"/>
    <n v="19741500"/>
    <n v="0"/>
    <n v="-1.95"/>
    <x v="1"/>
    <n v="-1.8232866336592834E-2"/>
    <s v=""/>
  </r>
  <r>
    <s v="Tuesday, April 11, 2023"/>
    <x v="0"/>
    <x v="1157"/>
    <n v="106.91999800000001"/>
    <n v="107.220001"/>
    <n v="105.279999"/>
    <n v="106.120003"/>
    <n v="18721300"/>
    <n v="0"/>
    <n v="-0.83"/>
    <x v="1"/>
    <n v="-7.821277577611821E-3"/>
    <s v=""/>
  </r>
  <r>
    <s v="Wednesday, April 12, 2023"/>
    <x v="1"/>
    <x v="1158"/>
    <n v="107.389999"/>
    <n v="107.58699799999999"/>
    <n v="104.970001"/>
    <n v="105.220001"/>
    <n v="22761600"/>
    <n v="0"/>
    <n v="-0.9"/>
    <x v="1"/>
    <n v="-8.5535258643458928E-3"/>
    <s v=""/>
  </r>
  <r>
    <s v="Thursday, April 13, 2023"/>
    <x v="2"/>
    <x v="1159"/>
    <n v="106.470001"/>
    <n v="108.264999"/>
    <n v="106.44000200000001"/>
    <n v="108.19000200000001"/>
    <n v="21650700"/>
    <n v="0"/>
    <n v="2.97"/>
    <x v="2"/>
    <n v="2.7451714068736317E-2"/>
    <s v=""/>
  </r>
  <r>
    <s v="Friday, April 14, 2023"/>
    <x v="3"/>
    <x v="1160"/>
    <n v="107.69000200000001"/>
    <n v="109.58000199999999"/>
    <n v="107.589996"/>
    <n v="109.459999"/>
    <n v="20758700"/>
    <n v="0"/>
    <n v="1.27"/>
    <x v="2"/>
    <n v="1.1602384538665942E-2"/>
    <s v=""/>
  </r>
  <r>
    <s v="Monday, April 17, 2023"/>
    <x v="4"/>
    <x v="1161"/>
    <n v="105.43"/>
    <n v="106.709999"/>
    <n v="105.32"/>
    <n v="106.41999800000001"/>
    <n v="29043400"/>
    <n v="0"/>
    <n v="-3.04"/>
    <x v="1"/>
    <n v="-2.8566068945049119E-2"/>
    <s v=""/>
  </r>
  <r>
    <s v="Tuesday, April 18, 2023"/>
    <x v="0"/>
    <x v="1162"/>
    <n v="107"/>
    <n v="107.050003"/>
    <n v="104.779999"/>
    <n v="105.120003"/>
    <n v="17641400"/>
    <n v="0"/>
    <n v="-1.3"/>
    <x v="1"/>
    <n v="-1.2366770956047345E-2"/>
    <s v=""/>
  </r>
  <r>
    <s v="Wednesday, April 19, 2023"/>
    <x v="1"/>
    <x v="1163"/>
    <n v="104.214996"/>
    <n v="105.724998"/>
    <n v="103.800003"/>
    <n v="105.019997"/>
    <n v="16732000"/>
    <n v="0"/>
    <n v="-0.1"/>
    <x v="1"/>
    <n v="-9.5225674020913721E-4"/>
    <s v=""/>
  </r>
  <r>
    <s v="Thursday, April 20, 2023"/>
    <x v="2"/>
    <x v="1164"/>
    <n v="104.650002"/>
    <n v="106.88800000000001"/>
    <n v="104.639999"/>
    <n v="105.900002"/>
    <n v="22515300"/>
    <n v="0"/>
    <n v="0.88"/>
    <x v="2"/>
    <n v="8.3097732141685608E-3"/>
    <s v=""/>
  </r>
  <r>
    <s v="Friday, April 21, 2023"/>
    <x v="3"/>
    <x v="1165"/>
    <n v="106.089996"/>
    <n v="106.639999"/>
    <n v="105.485001"/>
    <n v="105.910004"/>
    <n v="22379000"/>
    <n v="0"/>
    <n v="0.01"/>
    <x v="2"/>
    <n v="9.4438670779391782E-5"/>
    <s v=""/>
  </r>
  <r>
    <s v="Monday, April 24, 2023"/>
    <x v="4"/>
    <x v="1166"/>
    <n v="106.050003"/>
    <n v="107.32"/>
    <n v="105.360001"/>
    <n v="106.779999"/>
    <n v="21410900"/>
    <n v="0"/>
    <n v="0.87"/>
    <x v="2"/>
    <n v="8.1475464332978961E-3"/>
    <s v=""/>
  </r>
  <r>
    <s v="Tuesday, April 25, 2023"/>
    <x v="0"/>
    <x v="1167"/>
    <n v="106.610001"/>
    <n v="107.44000200000001"/>
    <n v="104.55999799999999"/>
    <n v="104.610001"/>
    <n v="31408100"/>
    <n v="0"/>
    <n v="-2.17"/>
    <x v="1"/>
    <n v="-2.0743695433097328E-2"/>
    <s v=""/>
  </r>
  <r>
    <s v="Wednesday, April 26, 2023"/>
    <x v="1"/>
    <x v="1168"/>
    <n v="105.55999799999999"/>
    <n v="107.019997"/>
    <n v="103.269997"/>
    <n v="104.449997"/>
    <n v="37068200"/>
    <n v="0"/>
    <n v="-0.16"/>
    <x v="1"/>
    <n v="-1.5318717529498895E-3"/>
    <s v=""/>
  </r>
  <r>
    <s v="Thursday, April 27, 2023"/>
    <x v="2"/>
    <x v="1169"/>
    <n v="105.230003"/>
    <n v="109.150002"/>
    <n v="104.41999800000001"/>
    <n v="108.370003"/>
    <n v="38235200"/>
    <n v="0"/>
    <n v="3.92"/>
    <x v="2"/>
    <n v="3.6172426792310794E-2"/>
    <s v=""/>
  </r>
  <r>
    <s v="Friday, April 28, 2023"/>
    <x v="3"/>
    <x v="1170"/>
    <n v="107.800003"/>
    <n v="108.290001"/>
    <n v="106.040001"/>
    <n v="108.220001"/>
    <n v="23957900"/>
    <n v="0"/>
    <n v="-0.15"/>
    <x v="1"/>
    <n v="-1.3860838903522153E-3"/>
    <s v=""/>
  </r>
  <r>
    <s v="Monday, May 1, 2023"/>
    <x v="4"/>
    <x v="1171"/>
    <n v="107.720001"/>
    <n v="108.68"/>
    <n v="107.5"/>
    <n v="107.709999"/>
    <n v="20926300"/>
    <n v="0"/>
    <n v="-0.51"/>
    <x v="1"/>
    <n v="-4.7349550156434413E-3"/>
    <s v=""/>
  </r>
  <r>
    <s v="Tuesday, May 2, 2023"/>
    <x v="0"/>
    <x v="1172"/>
    <n v="107.660004"/>
    <n v="107.730003"/>
    <n v="104.5"/>
    <n v="105.980003"/>
    <n v="20343100"/>
    <n v="0"/>
    <n v="-1.73"/>
    <x v="1"/>
    <n v="-1.6323796480737975E-2"/>
    <s v=""/>
  </r>
  <r>
    <s v="Wednesday, May 3, 2023"/>
    <x v="1"/>
    <x v="1173"/>
    <n v="106.220001"/>
    <n v="108.129997"/>
    <n v="105.620003"/>
    <n v="106.120003"/>
    <n v="17116300"/>
    <n v="0"/>
    <n v="0.14000000000000001"/>
    <x v="2"/>
    <n v="1.3192611764249627E-3"/>
    <s v=""/>
  </r>
  <r>
    <s v="Thursday, May 4, 2023"/>
    <x v="2"/>
    <x v="1174"/>
    <n v="106.160004"/>
    <n v="106.300003"/>
    <n v="104.699997"/>
    <n v="105.209999"/>
    <n v="19780600"/>
    <n v="0"/>
    <n v="-0.91"/>
    <x v="1"/>
    <n v="-8.649406032215633E-3"/>
    <s v=""/>
  </r>
  <r>
    <s v="Friday, May 5, 2023"/>
    <x v="3"/>
    <x v="1175"/>
    <n v="105.32"/>
    <n v="106.44000200000001"/>
    <n v="104.738998"/>
    <n v="106.214996"/>
    <n v="20705300"/>
    <n v="0"/>
    <n v="1"/>
    <x v="2"/>
    <n v="9.4619125156301196E-3"/>
    <s v=""/>
  </r>
  <r>
    <s v="Monday, May 8, 2023"/>
    <x v="4"/>
    <x v="1176"/>
    <n v="105.79499800000001"/>
    <n v="108.41999800000001"/>
    <n v="105.790001"/>
    <n v="108.239998"/>
    <n v="17266000"/>
    <n v="0"/>
    <n v="2.0299999999999998"/>
    <x v="2"/>
    <n v="1.8708444543762838E-2"/>
    <s v=""/>
  </r>
  <r>
    <s v="Tuesday, May 9, 2023"/>
    <x v="0"/>
    <x v="1177"/>
    <n v="108.779999"/>
    <n v="110.595001"/>
    <n v="107.724998"/>
    <n v="107.94000200000001"/>
    <n v="24782400"/>
    <n v="0"/>
    <n v="-0.3"/>
    <x v="1"/>
    <n v="-2.7792847363481894E-3"/>
    <s v=""/>
  </r>
  <r>
    <s v="Wednesday, May 10, 2023"/>
    <x v="1"/>
    <x v="1178"/>
    <n v="108.550003"/>
    <n v="113.510002"/>
    <n v="108.480003"/>
    <n v="112.279999"/>
    <n v="47533500"/>
    <n v="0"/>
    <n v="4.34"/>
    <x v="2"/>
    <n v="3.8653340208882586E-2"/>
    <s v=""/>
  </r>
  <r>
    <s v="Thursday, May 11, 2023"/>
    <x v="2"/>
    <x v="1179"/>
    <n v="115.860001"/>
    <n v="118.44000200000001"/>
    <n v="114.93"/>
    <n v="116.900002"/>
    <n v="57115100"/>
    <n v="0"/>
    <n v="4.62"/>
    <x v="2"/>
    <n v="3.9520983070641835E-2"/>
    <s v=""/>
  </r>
  <r>
    <s v="Friday, May 12, 2023"/>
    <x v="3"/>
    <x v="1180"/>
    <n v="117"/>
    <n v="118.260002"/>
    <n v="116.550003"/>
    <n v="117.91999800000001"/>
    <n v="31272500"/>
    <n v="0"/>
    <n v="1.02"/>
    <x v="2"/>
    <n v="8.6498983828002269E-3"/>
    <s v=""/>
  </r>
  <r>
    <s v="Monday, May 15, 2023"/>
    <x v="4"/>
    <x v="1181"/>
    <n v="116.489998"/>
    <n v="118.79499800000001"/>
    <n v="116.480003"/>
    <n v="116.959999"/>
    <n v="22107900"/>
    <n v="0"/>
    <n v="-0.96"/>
    <x v="1"/>
    <n v="-8.207925856771001E-3"/>
    <s v=""/>
  </r>
  <r>
    <s v="Tuesday, May 16, 2023"/>
    <x v="0"/>
    <x v="1182"/>
    <n v="116.83000199999999"/>
    <n v="121.199997"/>
    <n v="116.83000199999999"/>
    <n v="120.089996"/>
    <n v="32370100"/>
    <n v="0"/>
    <n v="3.13"/>
    <x v="2"/>
    <n v="2.6063761381089588E-2"/>
    <s v=""/>
  </r>
  <r>
    <s v="Wednesday, May 17, 2023"/>
    <x v="1"/>
    <x v="1183"/>
    <n v="120.18"/>
    <n v="122.279999"/>
    <n v="119.459999"/>
    <n v="121.480003"/>
    <n v="26659600"/>
    <n v="0"/>
    <n v="1.39"/>
    <x v="2"/>
    <n v="1.1442270049993307E-2"/>
    <s v=""/>
  </r>
  <r>
    <s v="Thursday, May 18, 2023"/>
    <x v="2"/>
    <x v="1184"/>
    <n v="121.55999799999999"/>
    <n v="123.900002"/>
    <n v="121.489998"/>
    <n v="123.519997"/>
    <n v="27014500"/>
    <n v="0"/>
    <n v="2.04"/>
    <x v="2"/>
    <n v="1.6515495867442477E-2"/>
    <s v=""/>
  </r>
  <r>
    <s v="Friday, May 19, 2023"/>
    <x v="3"/>
    <x v="1185"/>
    <n v="124.199997"/>
    <n v="126.478996"/>
    <n v="122.720001"/>
    <n v="123.25"/>
    <n v="30251300"/>
    <n v="0"/>
    <n v="-0.27"/>
    <x v="1"/>
    <n v="-2.1906450304259926E-3"/>
    <s v=""/>
  </r>
  <r>
    <s v="Monday, May 22, 2023"/>
    <x v="4"/>
    <x v="1186"/>
    <n v="123.510002"/>
    <n v="127.050003"/>
    <n v="123.449997"/>
    <n v="125.870003"/>
    <n v="29760200"/>
    <n v="0"/>
    <n v="2.62"/>
    <x v="2"/>
    <n v="2.0815150056046294E-2"/>
    <s v=""/>
  </r>
  <r>
    <s v="Tuesday, May 23, 2023"/>
    <x v="0"/>
    <x v="1187"/>
    <n v="124.93"/>
    <n v="125.41999800000001"/>
    <n v="123.050003"/>
    <n v="123.290001"/>
    <n v="24477900"/>
    <n v="0"/>
    <n v="-2.58"/>
    <x v="1"/>
    <n v="-2.092628744483499E-2"/>
    <s v=""/>
  </r>
  <r>
    <s v="Wednesday, May 24, 2023"/>
    <x v="1"/>
    <x v="1188"/>
    <n v="121.879997"/>
    <n v="122.75"/>
    <n v="120.75"/>
    <n v="121.639999"/>
    <n v="23087900"/>
    <n v="0"/>
    <n v="-1.65"/>
    <x v="1"/>
    <n v="-1.3564633455809225E-2"/>
    <s v=""/>
  </r>
  <r>
    <s v="Thursday, May 25, 2023"/>
    <x v="2"/>
    <x v="1189"/>
    <n v="125.209999"/>
    <n v="125.980003"/>
    <n v="122.900002"/>
    <n v="124.349998"/>
    <n v="33812700"/>
    <n v="0"/>
    <n v="2.71"/>
    <x v="2"/>
    <n v="2.1793317600214166E-2"/>
    <s v=""/>
  </r>
  <r>
    <s v="Friday, May 26, 2023"/>
    <x v="3"/>
    <x v="1190"/>
    <n v="124.06500200000001"/>
    <n v="126"/>
    <n v="123.290001"/>
    <n v="125.43"/>
    <n v="25154700"/>
    <n v="0"/>
    <n v="1.08"/>
    <x v="2"/>
    <n v="8.6103962369449682E-3"/>
    <s v=""/>
  </r>
  <r>
    <s v="Tuesday, May 30, 2023"/>
    <x v="0"/>
    <x v="1191"/>
    <n v="126.290001"/>
    <n v="126.379997"/>
    <n v="122.889999"/>
    <n v="124.639999"/>
    <n v="27230700"/>
    <n v="0"/>
    <n v="-0.79"/>
    <x v="1"/>
    <n v="-6.338262245974534E-3"/>
    <s v=""/>
  </r>
  <r>
    <s v="Wednesday, May 31, 2023"/>
    <x v="1"/>
    <x v="1192"/>
    <n v="123.699997"/>
    <n v="124.900002"/>
    <n v="123.099998"/>
    <n v="123.370003"/>
    <n v="41548800"/>
    <n v="0"/>
    <n v="-1.27"/>
    <x v="1"/>
    <n v="-1.0294204175386184E-2"/>
    <s v=""/>
  </r>
  <r>
    <s v="Thursday, June 1, 2023"/>
    <x v="2"/>
    <x v="1193"/>
    <n v="123.5"/>
    <n v="125.040001"/>
    <n v="123.300003"/>
    <n v="124.370003"/>
    <n v="25017700"/>
    <n v="0"/>
    <n v="1"/>
    <x v="2"/>
    <n v="8.0405240482305049E-3"/>
    <s v=""/>
  </r>
  <r>
    <s v="Friday, June 2, 2023"/>
    <x v="3"/>
    <x v="1194"/>
    <n v="124.489998"/>
    <n v="126.745003"/>
    <n v="124.349998"/>
    <n v="125.230003"/>
    <n v="19362400"/>
    <n v="0"/>
    <n v="0.86"/>
    <x v="2"/>
    <n v="6.8673638856336962E-3"/>
    <s v=""/>
  </r>
  <r>
    <s v="Monday, June 5, 2023"/>
    <x v="4"/>
    <x v="1195"/>
    <n v="124.610001"/>
    <n v="127.989998"/>
    <n v="124.379997"/>
    <n v="126.629997"/>
    <n v="22672500"/>
    <n v="0"/>
    <n v="1.4"/>
    <x v="2"/>
    <n v="1.1055784831140813E-2"/>
    <s v=""/>
  </r>
  <r>
    <s v="Tuesday, June 6, 2023"/>
    <x v="0"/>
    <x v="1196"/>
    <n v="126.599998"/>
    <n v="128.88000500000001"/>
    <n v="125.970001"/>
    <n v="127.910004"/>
    <n v="19450100"/>
    <n v="0"/>
    <n v="1.28"/>
    <x v="2"/>
    <n v="1.0007090610363813E-2"/>
    <s v=""/>
  </r>
  <r>
    <s v="Wednesday, June 7, 2023"/>
    <x v="1"/>
    <x v="1197"/>
    <n v="127.574997"/>
    <n v="129.550003"/>
    <n v="122.629997"/>
    <n v="122.94000200000001"/>
    <n v="34179300"/>
    <n v="0"/>
    <n v="-4.97"/>
    <x v="1"/>
    <n v="-4.042623978483418E-2"/>
    <s v=""/>
  </r>
  <r>
    <s v="Thursday, June 8, 2023"/>
    <x v="2"/>
    <x v="1198"/>
    <n v="122.584999"/>
    <n v="123.730003"/>
    <n v="122.010002"/>
    <n v="122.66999800000001"/>
    <n v="24815000"/>
    <n v="0"/>
    <n v="-0.27"/>
    <x v="1"/>
    <n v="-2.2010597896969081E-3"/>
    <s v=""/>
  </r>
  <r>
    <s v="Friday, June 9, 2023"/>
    <x v="3"/>
    <x v="1199"/>
    <n v="122.55999799999999"/>
    <n v="124.285004"/>
    <n v="122.41999800000001"/>
    <n v="122.870003"/>
    <n v="20304500"/>
    <n v="0"/>
    <n v="0.2"/>
    <x v="2"/>
    <n v="1.6277772858847429E-3"/>
    <s v=""/>
  </r>
  <r>
    <s v="Monday, June 12, 2023"/>
    <x v="4"/>
    <x v="1200"/>
    <n v="123.394997"/>
    <n v="124.75"/>
    <n v="122.349998"/>
    <n v="124.349998"/>
    <n v="22255700"/>
    <n v="0"/>
    <n v="1.48"/>
    <x v="2"/>
    <n v="1.1901849809438697E-2"/>
    <s v=""/>
  </r>
  <r>
    <s v="Tuesday, June 13, 2023"/>
    <x v="0"/>
    <x v="1201"/>
    <n v="125.650002"/>
    <n v="125.860001"/>
    <n v="123.845001"/>
    <n v="124.43"/>
    <n v="19287700"/>
    <n v="0"/>
    <n v="0.08"/>
    <x v="2"/>
    <n v="6.4294784216031061E-4"/>
    <s v=""/>
  </r>
  <r>
    <s v="Wednesday, June 14, 2023"/>
    <x v="1"/>
    <x v="1202"/>
    <n v="123.800003"/>
    <n v="124.790001"/>
    <n v="122.160004"/>
    <n v="124.379997"/>
    <n v="24659600"/>
    <n v="0"/>
    <n v="-0.05"/>
    <x v="1"/>
    <n v="-4.0201801902281595E-4"/>
    <s v=""/>
  </r>
  <r>
    <s v="Thursday, June 15, 2023"/>
    <x v="2"/>
    <x v="1203"/>
    <n v="123.879997"/>
    <n v="126.160004"/>
    <n v="123.139999"/>
    <n v="125.790001"/>
    <n v="24517100"/>
    <n v="0"/>
    <n v="1.41"/>
    <x v="2"/>
    <n v="1.1209189830597113E-2"/>
    <s v=""/>
  </r>
  <r>
    <s v="Friday, June 16, 2023"/>
    <x v="3"/>
    <x v="1204"/>
    <n v="126.699997"/>
    <n v="126.699997"/>
    <n v="123.790001"/>
    <n v="124.05999799999999"/>
    <n v="56686800"/>
    <n v="0"/>
    <n v="-1.73"/>
    <x v="1"/>
    <n v="-1.3944889794371999E-2"/>
    <s v=""/>
  </r>
  <r>
    <s v="Tuesday, June 20, 2023"/>
    <x v="0"/>
    <x v="1205"/>
    <n v="123.535004"/>
    <n v="125.175003"/>
    <n v="122.83000199999999"/>
    <n v="123.849998"/>
    <n v="22698000"/>
    <n v="0"/>
    <n v="-0.21"/>
    <x v="1"/>
    <n v="-1.6955995429244477E-3"/>
    <s v=""/>
  </r>
  <r>
    <s v="Wednesday, June 21, 2023"/>
    <x v="1"/>
    <x v="1206"/>
    <n v="123.235001"/>
    <n v="123.410004"/>
    <n v="120.860001"/>
    <n v="121.260002"/>
    <n v="22612000"/>
    <n v="0"/>
    <n v="-2.59"/>
    <x v="1"/>
    <n v="-2.1359029830792839E-2"/>
    <s v=""/>
  </r>
  <r>
    <s v="Thursday, June 22, 2023"/>
    <x v="2"/>
    <x v="1207"/>
    <n v="120.660004"/>
    <n v="123.93499799999999"/>
    <n v="119.599998"/>
    <n v="123.870003"/>
    <n v="20781900"/>
    <n v="0"/>
    <n v="2.61"/>
    <x v="2"/>
    <n v="2.1070484675777372E-2"/>
    <s v=""/>
  </r>
  <r>
    <s v="Friday, June 23, 2023"/>
    <x v="3"/>
    <x v="1208"/>
    <n v="122.040001"/>
    <n v="123.44000200000001"/>
    <n v="121.860001"/>
    <n v="123.019997"/>
    <n v="29542900"/>
    <n v="0"/>
    <n v="-0.85"/>
    <x v="1"/>
    <n v="-6.9094945596527152E-3"/>
    <s v=""/>
  </r>
  <r>
    <s v="Monday, June 26, 2023"/>
    <x v="4"/>
    <x v="1209"/>
    <n v="121.466003"/>
    <n v="122.720001"/>
    <n v="118.989998"/>
    <n v="119.089996"/>
    <n v="23185000"/>
    <n v="0"/>
    <n v="-3.93"/>
    <x v="1"/>
    <n v="-3.3000261415744817E-2"/>
    <s v=""/>
  </r>
  <r>
    <s v="Tuesday, June 27, 2023"/>
    <x v="0"/>
    <x v="1210"/>
    <n v="117.839996"/>
    <n v="119.894997"/>
    <n v="116.910004"/>
    <n v="119.010002"/>
    <n v="27221700"/>
    <n v="0"/>
    <n v="-0.08"/>
    <x v="1"/>
    <n v="-6.7216199189711154E-4"/>
    <s v=""/>
  </r>
  <r>
    <s v="Wednesday, June 28, 2023"/>
    <x v="1"/>
    <x v="1211"/>
    <n v="117.959999"/>
    <n v="121.269997"/>
    <n v="117.599998"/>
    <n v="121.08000199999999"/>
    <n v="19753100"/>
    <n v="0"/>
    <n v="2.0699999999999998"/>
    <x v="2"/>
    <n v="1.7096134504523654E-2"/>
    <s v=""/>
  </r>
  <r>
    <s v="Thursday, June 29, 2023"/>
    <x v="2"/>
    <x v="1212"/>
    <n v="120.089996"/>
    <n v="120.910004"/>
    <n v="119.209999"/>
    <n v="120.010002"/>
    <n v="18517500"/>
    <n v="0"/>
    <n v="-1.07"/>
    <x v="1"/>
    <n v="-8.9159235244408476E-3"/>
    <s v=""/>
  </r>
  <r>
    <s v="Friday, June 30, 2023"/>
    <x v="3"/>
    <x v="1213"/>
    <n v="121.099998"/>
    <n v="122.029999"/>
    <n v="120.879997"/>
    <n v="120.970001"/>
    <n v="23865800"/>
    <n v="0"/>
    <n v="0.96"/>
    <x v="2"/>
    <n v="7.935843531984399E-3"/>
    <s v=""/>
  </r>
  <r>
    <s v="Monday, July 3, 2023"/>
    <x v="4"/>
    <x v="1214"/>
    <n v="120.32"/>
    <n v="121.019997"/>
    <n v="119.70500199999999"/>
    <n v="120.55999799999999"/>
    <n v="13888300"/>
    <n v="0"/>
    <n v="-0.41"/>
    <x v="1"/>
    <n v="-3.4008212243003128E-3"/>
    <s v=""/>
  </r>
  <r>
    <s v="Wednesday, July 5, 2023"/>
    <x v="1"/>
    <x v="1215"/>
    <n v="120.05999799999999"/>
    <n v="123.370003"/>
    <n v="120.05999799999999"/>
    <n v="122.629997"/>
    <n v="17830300"/>
    <n v="0"/>
    <n v="2.0699999999999998"/>
    <x v="2"/>
    <n v="1.6880037924163122E-2"/>
    <s v=""/>
  </r>
  <r>
    <s v="Thursday, July 6, 2023"/>
    <x v="2"/>
    <x v="1216"/>
    <n v="120.639999"/>
    <n v="121.150002"/>
    <n v="119.25"/>
    <n v="120.93"/>
    <n v="17732500"/>
    <n v="0"/>
    <n v="-1.7"/>
    <x v="1"/>
    <n v="-1.4057694534027918E-2"/>
    <s v=""/>
  </r>
  <r>
    <s v="Friday, July 7, 2023"/>
    <x v="3"/>
    <x v="1217"/>
    <n v="120.889999"/>
    <n v="121.75"/>
    <n v="120.089996"/>
    <n v="120.139999"/>
    <n v="20982400"/>
    <n v="0"/>
    <n v="-0.79"/>
    <x v="1"/>
    <n v="-6.5756701063398853E-3"/>
    <s v=""/>
  </r>
  <r>
    <s v="Monday, July 10, 2023"/>
    <x v="4"/>
    <x v="1218"/>
    <n v="119.07"/>
    <n v="119.07"/>
    <n v="116.639999"/>
    <n v="116.870003"/>
    <n v="32960100"/>
    <n v="0"/>
    <n v="-3.27"/>
    <x v="1"/>
    <n v="-2.7979771678452052E-2"/>
    <s v=""/>
  </r>
  <r>
    <s v="Tuesday, July 11, 2023"/>
    <x v="0"/>
    <x v="1219"/>
    <n v="116.760002"/>
    <n v="118.224998"/>
    <n v="115.83000199999999"/>
    <n v="117.709999"/>
    <n v="18286600"/>
    <n v="0"/>
    <n v="0.84"/>
    <x v="2"/>
    <n v="7.1361482213588272E-3"/>
    <s v=""/>
  </r>
  <r>
    <s v="Wednesday, July 12, 2023"/>
    <x v="1"/>
    <x v="1220"/>
    <n v="119.300003"/>
    <n v="120.959999"/>
    <n v="119"/>
    <n v="119.620003"/>
    <n v="22059600"/>
    <n v="0"/>
    <n v="1.91"/>
    <x v="2"/>
    <n v="1.5967262599048761E-2"/>
    <s v=""/>
  </r>
  <r>
    <s v="Thursday, July 13, 2023"/>
    <x v="2"/>
    <x v="1221"/>
    <n v="121.540001"/>
    <n v="125.334999"/>
    <n v="121.05999799999999"/>
    <n v="124.83000199999999"/>
    <n v="31535900"/>
    <n v="0"/>
    <n v="5.21"/>
    <x v="2"/>
    <n v="4.1736753316722663E-2"/>
    <s v=""/>
  </r>
  <r>
    <s v="Friday, July 14, 2023"/>
    <x v="3"/>
    <x v="1222"/>
    <n v="125.129997"/>
    <n v="127.089996"/>
    <n v="124.900002"/>
    <n v="125.699997"/>
    <n v="20482800"/>
    <n v="0"/>
    <n v="0.87"/>
    <x v="2"/>
    <n v="6.9212014380557463E-3"/>
    <s v=""/>
  </r>
  <r>
    <s v="Monday, July 17, 2023"/>
    <x v="4"/>
    <x v="1223"/>
    <n v="126.05999799999999"/>
    <n v="127.279999"/>
    <n v="124.5"/>
    <n v="125.05999799999999"/>
    <n v="20675300"/>
    <n v="0"/>
    <n v="-0.64"/>
    <x v="1"/>
    <n v="-5.11753566476151E-3"/>
    <s v=""/>
  </r>
  <r>
    <s v="Tuesday, July 18, 2023"/>
    <x v="0"/>
    <x v="1224"/>
    <n v="124.904999"/>
    <n v="124.989998"/>
    <n v="123.300003"/>
    <n v="124.08000199999999"/>
    <n v="21071200"/>
    <n v="0"/>
    <n v="-0.98"/>
    <x v="1"/>
    <n v="-7.8980978739829483E-3"/>
    <s v=""/>
  </r>
  <r>
    <s v="Wednesday, July 19, 2023"/>
    <x v="1"/>
    <x v="1225"/>
    <n v="124.790001"/>
    <n v="125.470001"/>
    <n v="122.470001"/>
    <n v="122.779999"/>
    <n v="22313800"/>
    <n v="0"/>
    <n v="-1.3"/>
    <x v="1"/>
    <n v="-1.0588068175501366E-2"/>
    <s v=""/>
  </r>
  <r>
    <s v="Thursday, July 20, 2023"/>
    <x v="2"/>
    <x v="1226"/>
    <n v="122.120003"/>
    <n v="124.699997"/>
    <n v="118.68499799999999"/>
    <n v="119.529999"/>
    <n v="27541700"/>
    <n v="0"/>
    <n v="-3.25"/>
    <x v="1"/>
    <n v="-2.7189827049191224E-2"/>
    <s v=""/>
  </r>
  <r>
    <s v="Friday, July 21, 2023"/>
    <x v="3"/>
    <x v="1227"/>
    <n v="120.870003"/>
    <n v="121.300003"/>
    <n v="119.07"/>
    <n v="120.30999799999999"/>
    <n v="56498100"/>
    <n v="0"/>
    <n v="0.78"/>
    <x v="2"/>
    <n v="6.4832433959477707E-3"/>
    <s v=""/>
  </r>
  <r>
    <s v="Monday, July 24, 2023"/>
    <x v="4"/>
    <x v="1228"/>
    <n v="121.92600299999999"/>
    <n v="123.349998"/>
    <n v="121.379997"/>
    <n v="121.879997"/>
    <n v="22276100"/>
    <n v="0"/>
    <n v="1.57"/>
    <x v="2"/>
    <n v="1.2881514921599562E-2"/>
    <s v=""/>
  </r>
  <r>
    <s v="Tuesday, July 25, 2023"/>
    <x v="0"/>
    <x v="1229"/>
    <n v="121.879997"/>
    <n v="123.69000200000001"/>
    <n v="121.529999"/>
    <n v="122.790001"/>
    <n v="31820800"/>
    <n v="0"/>
    <n v="0.91"/>
    <x v="2"/>
    <n v="7.4110594721796662E-3"/>
    <s v=""/>
  </r>
  <r>
    <s v="Wednesday, July 26, 2023"/>
    <x v="1"/>
    <x v="1230"/>
    <n v="130.36000100000001"/>
    <n v="131.36999499999999"/>
    <n v="128.71000699999999"/>
    <n v="129.66000399999999"/>
    <n v="46216900"/>
    <n v="0"/>
    <n v="6.87"/>
    <x v="2"/>
    <n v="5.2984750794855623E-2"/>
    <n v="5.2984750794855623E-2"/>
  </r>
  <r>
    <s v="Thursday, July 27, 2023"/>
    <x v="2"/>
    <x v="1231"/>
    <n v="131.800003"/>
    <n v="133.60000600000001"/>
    <n v="129.179993"/>
    <n v="129.86999499999999"/>
    <n v="35931600"/>
    <n v="0"/>
    <n v="0.21"/>
    <x v="2"/>
    <n v="1.6169323791842933E-3"/>
    <s v=""/>
  </r>
  <r>
    <s v="Friday, July 28, 2023"/>
    <x v="3"/>
    <x v="1232"/>
    <n v="130.970001"/>
    <n v="134.070007"/>
    <n v="130.91999799999999"/>
    <n v="133.009995"/>
    <n v="26971000"/>
    <n v="0"/>
    <n v="3.14"/>
    <x v="2"/>
    <n v="2.3607248462794203E-2"/>
    <s v=""/>
  </r>
  <r>
    <s v="Monday, July 31, 2023"/>
    <x v="4"/>
    <x v="1233"/>
    <n v="133.009995"/>
    <n v="133.83000200000001"/>
    <n v="132.13000500000001"/>
    <n v="133.11000100000001"/>
    <n v="18381900"/>
    <n v="0"/>
    <n v="0.1"/>
    <x v="2"/>
    <n v="7.5130342760652206E-4"/>
    <s v=""/>
  </r>
  <r>
    <s v="Tuesday, August 1, 2023"/>
    <x v="0"/>
    <x v="1234"/>
    <n v="130.854996"/>
    <n v="132.91999799999999"/>
    <n v="130.75"/>
    <n v="131.88999899999999"/>
    <n v="22154300"/>
    <n v="0"/>
    <n v="-1.22"/>
    <x v="1"/>
    <n v="-9.2501479206169562E-3"/>
    <s v=""/>
  </r>
  <r>
    <s v="Wednesday, August 2, 2023"/>
    <x v="1"/>
    <x v="1235"/>
    <n v="129.83999600000001"/>
    <n v="130.41999799999999"/>
    <n v="127.849998"/>
    <n v="128.63999899999999"/>
    <n v="22705800"/>
    <n v="0"/>
    <n v="-3.25"/>
    <x v="1"/>
    <n v="-2.5264303678982462E-2"/>
    <s v=""/>
  </r>
  <r>
    <s v="Thursday, August 3, 2023"/>
    <x v="2"/>
    <x v="1236"/>
    <n v="128.36999499999999"/>
    <n v="129.770004"/>
    <n v="127.775002"/>
    <n v="128.770004"/>
    <n v="15018100"/>
    <n v="0"/>
    <n v="0.13"/>
    <x v="2"/>
    <n v="1.0095907118245586E-3"/>
    <s v=""/>
  </r>
  <r>
    <s v="Friday, August 4, 2023"/>
    <x v="3"/>
    <x v="1237"/>
    <n v="129.60000600000001"/>
    <n v="131.929993"/>
    <n v="128.31500199999999"/>
    <n v="128.53999300000001"/>
    <n v="20509500"/>
    <n v="0"/>
    <n v="-0.23"/>
    <x v="1"/>
    <n v="-1.7894119536788088E-3"/>
    <s v=""/>
  </r>
  <r>
    <s v="Monday, August 7, 2023"/>
    <x v="4"/>
    <x v="1238"/>
    <n v="129.509995"/>
    <n v="132.05999800000001"/>
    <n v="129.429993"/>
    <n v="131.94000199999999"/>
    <n v="17621000"/>
    <n v="0"/>
    <n v="3.4"/>
    <x v="2"/>
    <n v="2.5769356892991278E-2"/>
    <s v=""/>
  </r>
  <r>
    <s v="Tuesday, August 8, 2023"/>
    <x v="0"/>
    <x v="1239"/>
    <n v="130.979996"/>
    <n v="131.94000199999999"/>
    <n v="130.13000500000001"/>
    <n v="131.83999600000001"/>
    <n v="16836000"/>
    <n v="0"/>
    <n v="-0.1"/>
    <x v="1"/>
    <n v="-7.5854067835362461E-4"/>
    <s v=""/>
  </r>
  <r>
    <s v="Wednesday, August 9, 2023"/>
    <x v="1"/>
    <x v="1240"/>
    <n v="132.19000199999999"/>
    <n v="132.470001"/>
    <n v="129.50500500000001"/>
    <n v="130.14999399999999"/>
    <n v="17745200"/>
    <n v="0"/>
    <n v="-1.69"/>
    <x v="1"/>
    <n v="-1.298503325324795E-2"/>
    <s v=""/>
  </r>
  <r>
    <s v="Thursday, August 10, 2023"/>
    <x v="2"/>
    <x v="1241"/>
    <n v="131.970001"/>
    <n v="132.64700300000001"/>
    <n v="130.03500399999999"/>
    <n v="130.21000699999999"/>
    <n v="17855700"/>
    <n v="0"/>
    <n v="0.06"/>
    <x v="2"/>
    <n v="4.608939157802048E-4"/>
    <s v=""/>
  </r>
  <r>
    <s v="Friday, August 11, 2023"/>
    <x v="3"/>
    <x v="1242"/>
    <n v="129.20199600000001"/>
    <n v="130.44000199999999"/>
    <n v="128.75"/>
    <n v="130.16999799999999"/>
    <n v="15191500"/>
    <n v="0"/>
    <n v="-0.04"/>
    <x v="1"/>
    <n v="-3.0735961139061971E-4"/>
    <s v=""/>
  </r>
  <r>
    <s v="Monday, August 14, 2023"/>
    <x v="4"/>
    <x v="1243"/>
    <n v="129.85000600000001"/>
    <n v="131.91000399999999"/>
    <n v="129.58999600000001"/>
    <n v="131.83000200000001"/>
    <n v="17526200"/>
    <n v="0"/>
    <n v="1.66"/>
    <x v="2"/>
    <n v="1.2592004663703296E-2"/>
    <s v=""/>
  </r>
  <r>
    <s v="Tuesday, August 15, 2023"/>
    <x v="0"/>
    <x v="1244"/>
    <n v="131.58999600000001"/>
    <n v="131.990005"/>
    <n v="129.81899999999999"/>
    <n v="130.270004"/>
    <n v="14769200"/>
    <n v="0"/>
    <n v="-1.56"/>
    <x v="1"/>
    <n v="-1.1975112858674721E-2"/>
    <s v=""/>
  </r>
  <r>
    <s v="Wednesday, August 16, 2023"/>
    <x v="1"/>
    <x v="1245"/>
    <n v="129.279999"/>
    <n v="130.89799500000001"/>
    <n v="128.46000699999999"/>
    <n v="129.11000100000001"/>
    <n v="17548400"/>
    <n v="0"/>
    <n v="-1.1599999999999999"/>
    <x v="1"/>
    <n v="-8.9846099528725805E-3"/>
    <s v=""/>
  </r>
  <r>
    <s v="Thursday, August 17, 2023"/>
    <x v="2"/>
    <x v="1246"/>
    <n v="130.449997"/>
    <n v="132.49099699999999"/>
    <n v="129.85000600000001"/>
    <n v="130.46000699999999"/>
    <n v="23665600"/>
    <n v="0"/>
    <n v="1.35"/>
    <x v="2"/>
    <n v="1.0348044822655722E-2"/>
    <s v=""/>
  </r>
  <r>
    <s v="Friday, August 18, 2023"/>
    <x v="3"/>
    <x v="1247"/>
    <n v="129.05999800000001"/>
    <n v="129.83000200000001"/>
    <n v="127"/>
    <n v="128.11000100000001"/>
    <n v="23619400"/>
    <n v="0"/>
    <n v="-2.35"/>
    <x v="1"/>
    <n v="-1.834365765089627E-2"/>
    <s v=""/>
  </r>
  <r>
    <s v="Monday, August 21, 2023"/>
    <x v="4"/>
    <x v="1248"/>
    <n v="127.849998"/>
    <n v="129.259995"/>
    <n v="127.160004"/>
    <n v="128.929993"/>
    <n v="21851100"/>
    <n v="0"/>
    <n v="0.82"/>
    <x v="2"/>
    <n v="6.3599786280914864E-3"/>
    <s v=""/>
  </r>
  <r>
    <s v="Tuesday, August 22, 2023"/>
    <x v="0"/>
    <x v="1249"/>
    <n v="129.13000500000001"/>
    <n v="130.949997"/>
    <n v="128.925003"/>
    <n v="129.69000199999999"/>
    <n v="15569400"/>
    <n v="0"/>
    <n v="0.76"/>
    <x v="2"/>
    <n v="5.860197303412769E-3"/>
    <s v=""/>
  </r>
  <r>
    <s v="Wednesday, August 23, 2023"/>
    <x v="1"/>
    <x v="1250"/>
    <n v="130.85000600000001"/>
    <n v="134.070007"/>
    <n v="130.509995"/>
    <n v="133.21000699999999"/>
    <n v="26497000"/>
    <n v="0"/>
    <n v="3.52"/>
    <x v="2"/>
    <n v="2.6424478755563745E-2"/>
    <s v=""/>
  </r>
  <r>
    <s v="Thursday, August 24, 2023"/>
    <x v="2"/>
    <x v="1251"/>
    <n v="134.72700499999999"/>
    <n v="134.970001"/>
    <n v="130.300003"/>
    <n v="130.41999799999999"/>
    <n v="18680400"/>
    <n v="0"/>
    <n v="-2.79"/>
    <x v="1"/>
    <n v="-2.1392493810650098E-2"/>
    <s v=""/>
  </r>
  <r>
    <s v="Friday, August 25, 2023"/>
    <x v="3"/>
    <x v="1252"/>
    <n v="130.13999899999999"/>
    <n v="131.39999399999999"/>
    <n v="128.03999300000001"/>
    <n v="130.69000199999999"/>
    <n v="20678100"/>
    <n v="0"/>
    <n v="0.27"/>
    <x v="2"/>
    <n v="2.065988184773309E-3"/>
    <s v=""/>
  </r>
  <r>
    <s v="Monday, August 28, 2023"/>
    <x v="4"/>
    <x v="1253"/>
    <n v="132.08000200000001"/>
    <n v="133.240005"/>
    <n v="130.85000600000001"/>
    <n v="131.78999300000001"/>
    <n v="16715500"/>
    <n v="0"/>
    <n v="1.1000000000000001"/>
    <x v="2"/>
    <n v="8.3465441871600748E-3"/>
    <s v=""/>
  </r>
  <r>
    <s v="Tuesday, August 29, 2023"/>
    <x v="0"/>
    <x v="1254"/>
    <n v="132.99800099999999"/>
    <n v="137.29499799999999"/>
    <n v="132.979996"/>
    <n v="135.490005"/>
    <n v="30803300"/>
    <n v="0"/>
    <n v="3.7"/>
    <x v="2"/>
    <n v="2.7308375994229146E-2"/>
    <s v=""/>
  </r>
  <r>
    <s v="Wednesday, August 30, 2023"/>
    <x v="1"/>
    <x v="1255"/>
    <n v="135.570007"/>
    <n v="137.25"/>
    <n v="135.020996"/>
    <n v="136.929993"/>
    <n v="21773400"/>
    <n v="0"/>
    <n v="1.44"/>
    <x v="2"/>
    <n v="1.0516235110009826E-2"/>
    <s v=""/>
  </r>
  <r>
    <s v="Thursday, August 31, 2023"/>
    <x v="2"/>
    <x v="1256"/>
    <n v="137.050003"/>
    <n v="138.39999399999999"/>
    <n v="136.820007"/>
    <n v="137.35000600000001"/>
    <n v="28147900"/>
    <n v="0"/>
    <n v="0.42"/>
    <x v="2"/>
    <n v="3.0579758402049977E-3"/>
    <s v=""/>
  </r>
  <r>
    <s v="Friday, September 1, 2023"/>
    <x v="3"/>
    <x v="1257"/>
    <n v="138.429993"/>
    <n v="138.58000200000001"/>
    <n v="135.94000199999999"/>
    <n v="136.800003"/>
    <n v="16665700"/>
    <n v="0"/>
    <n v="-0.55000000000000004"/>
    <x v="1"/>
    <n v="-4.0204896779132658E-3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09153D-5F48-3740-B039-9A3B930F5FBB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9" firstHeaderRow="1" firstDataRow="2" firstDataCol="1" rowPageCount="1" colPageCount="1"/>
  <pivotFields count="15">
    <pivotField showAll="0"/>
    <pivotField dataField="1"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1"/>
        <item x="0"/>
        <item x="2"/>
        <item t="default"/>
      </items>
    </pivotField>
    <pivotField numFmtId="10" showAll="0"/>
    <pivotField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9">
        <item h="1" x="0"/>
        <item h="1" x="1"/>
        <item h="1" x="2"/>
        <item h="1" x="3"/>
        <item h="1" x="4"/>
        <item x="5"/>
        <item h="1" x="6"/>
        <item h="1" x="7"/>
        <item t="default"/>
      </items>
    </pivotField>
  </pivotFields>
  <rowFields count="1">
    <field x="13"/>
  </rowFields>
  <rowItems count="5">
    <i>
      <x v="1"/>
    </i>
    <i>
      <x v="2"/>
    </i>
    <i>
      <x v="3"/>
    </i>
    <i>
      <x v="4"/>
    </i>
    <i t="grand">
      <x/>
    </i>
  </rowItems>
  <colFields count="1">
    <field x="10"/>
  </colFields>
  <colItems count="3">
    <i>
      <x/>
    </i>
    <i>
      <x v="2"/>
    </i>
    <i t="grand">
      <x/>
    </i>
  </colItems>
  <pageFields count="1">
    <pageField fld="14" hier="-1"/>
  </pageFields>
  <dataFields count="1">
    <dataField name="Count of Day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14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E0DA1-A8BE-E54F-BEE2-537BA539A8CB}">
  <sheetPr codeName="Sheet3"/>
  <dimension ref="A1:M1259"/>
  <sheetViews>
    <sheetView zoomScale="85" workbookViewId="0">
      <pane ySplit="1" topLeftCell="A996" activePane="bottomLeft" state="frozen"/>
      <selection sqref="A1:XFD1"/>
      <selection pane="bottomLeft" activeCell="Q18" sqref="Q18"/>
    </sheetView>
  </sheetViews>
  <sheetFormatPr baseColWidth="10" defaultRowHeight="16" x14ac:dyDescent="0.2"/>
  <cols>
    <col min="1" max="1" width="28.6640625" style="21" bestFit="1" customWidth="1"/>
    <col min="2" max="2" width="15.1640625" style="21" customWidth="1"/>
    <col min="3" max="3" width="15.83203125" style="9" customWidth="1"/>
    <col min="4" max="6" width="11.1640625" bestFit="1" customWidth="1"/>
    <col min="7" max="7" width="14" customWidth="1"/>
    <col min="8" max="8" width="10.1640625" bestFit="1" customWidth="1"/>
    <col min="9" max="9" width="14.1640625" bestFit="1" customWidth="1"/>
    <col min="10" max="10" width="14.5" bestFit="1" customWidth="1"/>
    <col min="12" max="12" width="13.33203125" bestFit="1" customWidth="1"/>
    <col min="13" max="13" width="12.6640625" bestFit="1" customWidth="1"/>
  </cols>
  <sheetData>
    <row r="1" spans="1:13" ht="51" x14ac:dyDescent="0.2">
      <c r="A1" s="3" t="s">
        <v>15</v>
      </c>
      <c r="B1" s="20" t="s">
        <v>16</v>
      </c>
      <c r="C1" s="20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5" t="s">
        <v>23</v>
      </c>
      <c r="J1" s="6" t="s">
        <v>24</v>
      </c>
      <c r="K1" s="5" t="s">
        <v>25</v>
      </c>
      <c r="L1" s="7" t="s">
        <v>26</v>
      </c>
      <c r="M1" s="8" t="s">
        <v>27</v>
      </c>
    </row>
    <row r="2" spans="1:13" x14ac:dyDescent="0.2">
      <c r="A2" s="21" t="s">
        <v>28</v>
      </c>
      <c r="B2" s="21" t="str">
        <f>LEFT(A2,SEARCH(",",A2)-1)</f>
        <v>Tuesday</v>
      </c>
      <c r="C2" s="9">
        <f>DATEVALUE(RIGHT(A2,LEN(A2) - SEARCH(",",A2)))</f>
        <v>43347</v>
      </c>
      <c r="D2">
        <v>60.213501000000001</v>
      </c>
      <c r="E2">
        <v>60.649501999999998</v>
      </c>
      <c r="F2">
        <v>59.625</v>
      </c>
      <c r="G2">
        <v>59.849997999999999</v>
      </c>
      <c r="H2">
        <v>36620000</v>
      </c>
      <c r="I2">
        <f>COUNTBLANK(A2:H2)</f>
        <v>0</v>
      </c>
      <c r="J2">
        <f>ROUND(IF(ISNUMBER(G1),G2-G1,0),2)</f>
        <v>0</v>
      </c>
      <c r="K2" t="str">
        <f>IF(J2=0,"Neutral",IF(J2&gt;0,"Positive","Negative"))</f>
        <v>Neutral</v>
      </c>
      <c r="L2" s="10">
        <f>IF(ISNUMBER(G1),((G2-G1)/G2),0)</f>
        <v>0</v>
      </c>
      <c r="M2" t="str">
        <f>IF(L2&gt;0.05,L2,"")</f>
        <v/>
      </c>
    </row>
    <row r="3" spans="1:13" x14ac:dyDescent="0.2">
      <c r="A3" s="21" t="s">
        <v>29</v>
      </c>
      <c r="B3" s="21" t="str">
        <f t="shared" ref="B3:B66" si="0">LEFT(A3,SEARCH(",",A3)-1)</f>
        <v>Wednesday</v>
      </c>
      <c r="C3" s="9">
        <f t="shared" ref="C3:C66" si="1">DATEVALUE(RIGHT(A3,LEN(A3) - SEARCH(",",A3)))</f>
        <v>43348</v>
      </c>
      <c r="D3">
        <v>59.689999</v>
      </c>
      <c r="E3">
        <v>59.950499999999998</v>
      </c>
      <c r="F3">
        <v>58.099997999999999</v>
      </c>
      <c r="G3">
        <v>59.324001000000003</v>
      </c>
      <c r="H3">
        <v>41226000</v>
      </c>
      <c r="I3">
        <f t="shared" ref="I3:I66" si="2">COUNTBLANK(A3:H3)</f>
        <v>0</v>
      </c>
      <c r="J3">
        <f t="shared" ref="J3:J66" si="3">ROUND(IF(ISNUMBER(G2),G3-G2,0),2)</f>
        <v>-0.53</v>
      </c>
      <c r="K3" t="str">
        <f t="shared" ref="K3:K66" si="4">IF(J3=0,"Neutral",IF(J3&gt;0,"Positive","Negative"))</f>
        <v>Negative</v>
      </c>
      <c r="L3" s="10">
        <f t="shared" ref="L3:L66" si="5">IF(ISNUMBER(G2),((G3-G2)/G3),0)</f>
        <v>-8.866512560405302E-3</v>
      </c>
      <c r="M3" t="str">
        <f t="shared" ref="M3:M66" si="6">IF(L3&gt;0.05,L3,"")</f>
        <v/>
      </c>
    </row>
    <row r="4" spans="1:13" x14ac:dyDescent="0.2">
      <c r="A4" s="21" t="s">
        <v>30</v>
      </c>
      <c r="B4" s="21" t="str">
        <f t="shared" si="0"/>
        <v>Thursday</v>
      </c>
      <c r="C4" s="9">
        <f t="shared" si="1"/>
        <v>43349</v>
      </c>
      <c r="D4">
        <v>59.314999</v>
      </c>
      <c r="E4">
        <v>59.314999</v>
      </c>
      <c r="F4">
        <v>57.599997999999999</v>
      </c>
      <c r="G4">
        <v>58.571998999999998</v>
      </c>
      <c r="H4">
        <v>37770000</v>
      </c>
      <c r="I4">
        <f t="shared" si="2"/>
        <v>0</v>
      </c>
      <c r="J4">
        <f t="shared" si="3"/>
        <v>-0.75</v>
      </c>
      <c r="K4" t="str">
        <f t="shared" si="4"/>
        <v>Negative</v>
      </c>
      <c r="L4" s="10">
        <f t="shared" si="5"/>
        <v>-1.2838933497898962E-2</v>
      </c>
      <c r="M4" t="str">
        <f t="shared" si="6"/>
        <v/>
      </c>
    </row>
    <row r="5" spans="1:13" x14ac:dyDescent="0.2">
      <c r="A5" s="21" t="s">
        <v>31</v>
      </c>
      <c r="B5" s="21" t="str">
        <f t="shared" si="0"/>
        <v>Friday</v>
      </c>
      <c r="C5" s="9">
        <f t="shared" si="1"/>
        <v>43350</v>
      </c>
      <c r="D5">
        <v>57.933498</v>
      </c>
      <c r="E5">
        <v>58.762999999999998</v>
      </c>
      <c r="F5">
        <v>57.860748000000001</v>
      </c>
      <c r="G5">
        <v>58.241501</v>
      </c>
      <c r="H5">
        <v>28026000</v>
      </c>
      <c r="I5">
        <f t="shared" si="2"/>
        <v>0</v>
      </c>
      <c r="J5">
        <f t="shared" si="3"/>
        <v>-0.33</v>
      </c>
      <c r="K5" t="str">
        <f t="shared" si="4"/>
        <v>Negative</v>
      </c>
      <c r="L5" s="10">
        <f t="shared" si="5"/>
        <v>-5.6746133654762545E-3</v>
      </c>
      <c r="M5" t="str">
        <f t="shared" si="6"/>
        <v/>
      </c>
    </row>
    <row r="6" spans="1:13" x14ac:dyDescent="0.2">
      <c r="A6" s="21" t="s">
        <v>32</v>
      </c>
      <c r="B6" s="21" t="str">
        <f t="shared" si="0"/>
        <v>Monday</v>
      </c>
      <c r="C6" s="9">
        <f t="shared" si="1"/>
        <v>43353</v>
      </c>
      <c r="D6">
        <v>58.609501000000002</v>
      </c>
      <c r="E6">
        <v>58.727001000000001</v>
      </c>
      <c r="F6">
        <v>58.005501000000002</v>
      </c>
      <c r="G6">
        <v>58.231997999999997</v>
      </c>
      <c r="H6">
        <v>22308000</v>
      </c>
      <c r="I6">
        <f t="shared" si="2"/>
        <v>0</v>
      </c>
      <c r="J6">
        <f t="shared" si="3"/>
        <v>-0.01</v>
      </c>
      <c r="K6" t="str">
        <f t="shared" si="4"/>
        <v>Negative</v>
      </c>
      <c r="L6" s="10">
        <f t="shared" si="5"/>
        <v>-1.6319206495374347E-4</v>
      </c>
      <c r="M6" t="str">
        <f t="shared" si="6"/>
        <v/>
      </c>
    </row>
    <row r="7" spans="1:13" x14ac:dyDescent="0.2">
      <c r="A7" s="21" t="s">
        <v>33</v>
      </c>
      <c r="B7" s="21" t="str">
        <f t="shared" si="0"/>
        <v>Tuesday</v>
      </c>
      <c r="C7" s="9">
        <f t="shared" si="1"/>
        <v>43354</v>
      </c>
      <c r="D7">
        <v>58.081501000000003</v>
      </c>
      <c r="E7">
        <v>58.933998000000003</v>
      </c>
      <c r="F7">
        <v>57.811999999999998</v>
      </c>
      <c r="G7">
        <v>58.868000000000002</v>
      </c>
      <c r="H7">
        <v>24186000</v>
      </c>
      <c r="I7">
        <f t="shared" si="2"/>
        <v>0</v>
      </c>
      <c r="J7">
        <f t="shared" si="3"/>
        <v>0.64</v>
      </c>
      <c r="K7" t="str">
        <f t="shared" si="4"/>
        <v>Positive</v>
      </c>
      <c r="L7" s="10">
        <f t="shared" si="5"/>
        <v>1.0803866277094598E-2</v>
      </c>
      <c r="M7" t="str">
        <f t="shared" si="6"/>
        <v/>
      </c>
    </row>
    <row r="8" spans="1:13" x14ac:dyDescent="0.2">
      <c r="A8" s="21" t="s">
        <v>34</v>
      </c>
      <c r="B8" s="21" t="str">
        <f t="shared" si="0"/>
        <v>Wednesday</v>
      </c>
      <c r="C8" s="9">
        <f t="shared" si="1"/>
        <v>43355</v>
      </c>
      <c r="D8">
        <v>58.636001999999998</v>
      </c>
      <c r="E8">
        <v>58.930500000000002</v>
      </c>
      <c r="F8">
        <v>57.917999000000002</v>
      </c>
      <c r="G8">
        <v>58.140999000000001</v>
      </c>
      <c r="H8">
        <v>25910000</v>
      </c>
      <c r="I8">
        <f t="shared" si="2"/>
        <v>0</v>
      </c>
      <c r="J8">
        <f t="shared" si="3"/>
        <v>-0.73</v>
      </c>
      <c r="K8" t="str">
        <f t="shared" si="4"/>
        <v>Negative</v>
      </c>
      <c r="L8" s="10">
        <f t="shared" si="5"/>
        <v>-1.2504102311692328E-2</v>
      </c>
      <c r="M8" t="str">
        <f t="shared" si="6"/>
        <v/>
      </c>
    </row>
    <row r="9" spans="1:13" x14ac:dyDescent="0.2">
      <c r="A9" s="21" t="s">
        <v>35</v>
      </c>
      <c r="B9" s="21" t="str">
        <f t="shared" si="0"/>
        <v>Thursday</v>
      </c>
      <c r="C9" s="9">
        <f t="shared" si="1"/>
        <v>43356</v>
      </c>
      <c r="D9">
        <v>58.536999000000002</v>
      </c>
      <c r="E9">
        <v>58.930500000000002</v>
      </c>
      <c r="F9">
        <v>58.142502</v>
      </c>
      <c r="G9">
        <v>58.766499000000003</v>
      </c>
      <c r="H9">
        <v>28624000</v>
      </c>
      <c r="I9">
        <f t="shared" si="2"/>
        <v>0</v>
      </c>
      <c r="J9">
        <f t="shared" si="3"/>
        <v>0.63</v>
      </c>
      <c r="K9" t="str">
        <f t="shared" si="4"/>
        <v>Positive</v>
      </c>
      <c r="L9" s="10">
        <f t="shared" si="5"/>
        <v>1.0643819363818191E-2</v>
      </c>
      <c r="M9" t="str">
        <f t="shared" si="6"/>
        <v/>
      </c>
    </row>
    <row r="10" spans="1:13" x14ac:dyDescent="0.2">
      <c r="A10" s="21" t="s">
        <v>36</v>
      </c>
      <c r="B10" s="21" t="str">
        <f t="shared" si="0"/>
        <v>Friday</v>
      </c>
      <c r="C10" s="9">
        <f t="shared" si="1"/>
        <v>43357</v>
      </c>
      <c r="D10">
        <v>58.955002</v>
      </c>
      <c r="E10">
        <v>59.021251999999997</v>
      </c>
      <c r="F10">
        <v>58.416499999999999</v>
      </c>
      <c r="G10">
        <v>58.626499000000003</v>
      </c>
      <c r="H10">
        <v>18880000</v>
      </c>
      <c r="I10">
        <f t="shared" si="2"/>
        <v>0</v>
      </c>
      <c r="J10">
        <f t="shared" si="3"/>
        <v>-0.14000000000000001</v>
      </c>
      <c r="K10" t="str">
        <f t="shared" si="4"/>
        <v>Negative</v>
      </c>
      <c r="L10" s="10">
        <f t="shared" si="5"/>
        <v>-2.3879986420475246E-3</v>
      </c>
      <c r="M10" t="str">
        <f t="shared" si="6"/>
        <v/>
      </c>
    </row>
    <row r="11" spans="1:13" x14ac:dyDescent="0.2">
      <c r="A11" s="21" t="s">
        <v>37</v>
      </c>
      <c r="B11" s="21" t="str">
        <f t="shared" si="0"/>
        <v>Monday</v>
      </c>
      <c r="C11" s="9">
        <f t="shared" si="1"/>
        <v>43360</v>
      </c>
      <c r="D11">
        <v>58.506999999999998</v>
      </c>
      <c r="E11">
        <v>58.862000000000002</v>
      </c>
      <c r="F11">
        <f>F10</f>
        <v>58.416499999999999</v>
      </c>
      <c r="G11">
        <v>57.802501999999997</v>
      </c>
      <c r="H11">
        <f>H10</f>
        <v>18880000</v>
      </c>
      <c r="I11">
        <f t="shared" si="2"/>
        <v>0</v>
      </c>
      <c r="J11">
        <f t="shared" si="3"/>
        <v>-0.82</v>
      </c>
      <c r="K11" t="str">
        <f t="shared" si="4"/>
        <v>Negative</v>
      </c>
      <c r="L11" s="10">
        <f t="shared" si="5"/>
        <v>-1.4255386384485669E-2</v>
      </c>
      <c r="M11" t="str">
        <f t="shared" si="6"/>
        <v/>
      </c>
    </row>
    <row r="12" spans="1:13" x14ac:dyDescent="0.2">
      <c r="A12" s="21" t="s">
        <v>38</v>
      </c>
      <c r="B12" s="21" t="str">
        <f t="shared" si="0"/>
        <v>Tuesday</v>
      </c>
      <c r="C12" s="9">
        <f t="shared" si="1"/>
        <v>43361</v>
      </c>
      <c r="D12">
        <v>57.854500000000002</v>
      </c>
      <c r="E12">
        <v>58.804001</v>
      </c>
      <c r="F12">
        <v>57.854500000000002</v>
      </c>
      <c r="G12">
        <v>58.061000999999997</v>
      </c>
      <c r="H12">
        <v>24072000</v>
      </c>
      <c r="I12">
        <f t="shared" si="2"/>
        <v>0</v>
      </c>
      <c r="J12">
        <f t="shared" si="3"/>
        <v>0.26</v>
      </c>
      <c r="K12" t="str">
        <f t="shared" si="4"/>
        <v>Positive</v>
      </c>
      <c r="L12" s="10">
        <f t="shared" si="5"/>
        <v>4.4521967507931961E-3</v>
      </c>
      <c r="M12" t="str">
        <f t="shared" si="6"/>
        <v/>
      </c>
    </row>
    <row r="13" spans="1:13" x14ac:dyDescent="0.2">
      <c r="A13" s="21" t="s">
        <v>39</v>
      </c>
      <c r="B13" s="21" t="str">
        <f t="shared" si="0"/>
        <v>Wednesday</v>
      </c>
      <c r="C13" s="9">
        <f t="shared" si="1"/>
        <v>43362</v>
      </c>
      <c r="D13">
        <v>58.249001</v>
      </c>
      <c r="E13">
        <v>58.660499999999999</v>
      </c>
      <c r="F13">
        <v>57.728999999999999</v>
      </c>
      <c r="G13">
        <v>58.554501000000002</v>
      </c>
      <c r="H13">
        <v>23828000</v>
      </c>
      <c r="I13">
        <f t="shared" si="2"/>
        <v>0</v>
      </c>
      <c r="J13">
        <f t="shared" si="3"/>
        <v>0.49</v>
      </c>
      <c r="K13" t="str">
        <f t="shared" si="4"/>
        <v>Positive</v>
      </c>
      <c r="L13" s="10">
        <f t="shared" si="5"/>
        <v>8.428045522922388E-3</v>
      </c>
      <c r="M13" t="str">
        <f t="shared" si="6"/>
        <v/>
      </c>
    </row>
    <row r="14" spans="1:13" x14ac:dyDescent="0.2">
      <c r="A14" s="21" t="s">
        <v>40</v>
      </c>
      <c r="B14" s="21" t="str">
        <f t="shared" si="0"/>
        <v>Thursday</v>
      </c>
      <c r="C14" s="9">
        <f t="shared" si="1"/>
        <v>43363</v>
      </c>
      <c r="D14">
        <v>58.999499999999998</v>
      </c>
      <c r="E14">
        <v>59.494498999999998</v>
      </c>
      <c r="F14">
        <v>58.667999000000002</v>
      </c>
      <c r="G14">
        <v>59.343497999999997</v>
      </c>
      <c r="H14">
        <v>24508000</v>
      </c>
      <c r="I14">
        <f t="shared" si="2"/>
        <v>0</v>
      </c>
      <c r="J14">
        <f t="shared" si="3"/>
        <v>0.79</v>
      </c>
      <c r="K14" t="str">
        <f t="shared" si="4"/>
        <v>Positive</v>
      </c>
      <c r="L14" s="10">
        <f t="shared" si="5"/>
        <v>1.3295424546763234E-2</v>
      </c>
      <c r="M14" t="str">
        <f t="shared" si="6"/>
        <v/>
      </c>
    </row>
    <row r="15" spans="1:13" x14ac:dyDescent="0.2">
      <c r="A15" s="21" t="s">
        <v>41</v>
      </c>
      <c r="B15" s="21" t="str">
        <f t="shared" si="0"/>
        <v>Friday</v>
      </c>
      <c r="C15" s="9">
        <f t="shared" si="1"/>
        <v>43364</v>
      </c>
      <c r="D15">
        <v>59.599997999999999</v>
      </c>
      <c r="E15">
        <v>59.610500000000002</v>
      </c>
      <c r="F15">
        <v>58.301997999999998</v>
      </c>
      <c r="G15">
        <v>58.304501000000002</v>
      </c>
      <c r="H15">
        <v>88112000</v>
      </c>
      <c r="I15">
        <f t="shared" si="2"/>
        <v>0</v>
      </c>
      <c r="J15">
        <f t="shared" si="3"/>
        <v>-1.04</v>
      </c>
      <c r="K15" t="str">
        <f t="shared" si="4"/>
        <v>Negative</v>
      </c>
      <c r="L15" s="10">
        <f t="shared" si="5"/>
        <v>-1.7820185100289168E-2</v>
      </c>
      <c r="M15" t="str">
        <f t="shared" si="6"/>
        <v/>
      </c>
    </row>
    <row r="16" spans="1:13" x14ac:dyDescent="0.2">
      <c r="A16" s="21" t="s">
        <v>42</v>
      </c>
      <c r="B16" s="21" t="str">
        <f t="shared" si="0"/>
        <v>Monday</v>
      </c>
      <c r="C16" s="9">
        <f t="shared" si="1"/>
        <v>43367</v>
      </c>
      <c r="D16">
        <v>57.858500999999997</v>
      </c>
      <c r="E16">
        <v>58.900002000000001</v>
      </c>
      <c r="F16">
        <v>57.345500999999999</v>
      </c>
      <c r="G16">
        <v>58.668498999999997</v>
      </c>
      <c r="H16">
        <v>25420000</v>
      </c>
      <c r="I16">
        <f t="shared" si="2"/>
        <v>0</v>
      </c>
      <c r="J16">
        <f t="shared" si="3"/>
        <v>0.36</v>
      </c>
      <c r="K16" t="str">
        <f t="shared" si="4"/>
        <v>Positive</v>
      </c>
      <c r="L16" s="10">
        <f t="shared" si="5"/>
        <v>6.2043175844671804E-3</v>
      </c>
      <c r="M16" t="str">
        <f t="shared" si="6"/>
        <v/>
      </c>
    </row>
    <row r="17" spans="1:13" x14ac:dyDescent="0.2">
      <c r="A17" s="21" t="s">
        <v>43</v>
      </c>
      <c r="B17" s="21" t="str">
        <f t="shared" si="0"/>
        <v>Tuesday</v>
      </c>
      <c r="C17" s="9">
        <f t="shared" si="1"/>
        <v>43368</v>
      </c>
      <c r="D17">
        <v>58.807499</v>
      </c>
      <c r="E17">
        <v>59.344002000000003</v>
      </c>
      <c r="F17">
        <v>58.400002000000001</v>
      </c>
      <c r="G17">
        <v>59.232498</v>
      </c>
      <c r="H17">
        <v>19554000</v>
      </c>
      <c r="I17">
        <f t="shared" si="2"/>
        <v>0</v>
      </c>
      <c r="J17">
        <f t="shared" si="3"/>
        <v>0.56000000000000005</v>
      </c>
      <c r="K17" t="str">
        <f t="shared" si="4"/>
        <v>Positive</v>
      </c>
      <c r="L17" s="10">
        <f t="shared" si="5"/>
        <v>9.5217831265533084E-3</v>
      </c>
      <c r="M17" t="str">
        <f t="shared" si="6"/>
        <v/>
      </c>
    </row>
    <row r="18" spans="1:13" x14ac:dyDescent="0.2">
      <c r="A18" s="21" t="s">
        <v>44</v>
      </c>
      <c r="B18" s="21" t="str">
        <f t="shared" si="0"/>
        <v>Wednesday</v>
      </c>
      <c r="C18" s="9">
        <f t="shared" si="1"/>
        <v>43369</v>
      </c>
      <c r="D18">
        <v>59.2575</v>
      </c>
      <c r="E18">
        <v>59.711497999999999</v>
      </c>
      <c r="F18">
        <v>58.738250999999998</v>
      </c>
      <c r="G18">
        <v>59.024501999999998</v>
      </c>
      <c r="H18">
        <v>29246000</v>
      </c>
      <c r="I18">
        <f t="shared" si="2"/>
        <v>0</v>
      </c>
      <c r="J18">
        <f t="shared" si="3"/>
        <v>-0.21</v>
      </c>
      <c r="K18" t="str">
        <f t="shared" si="4"/>
        <v>Negative</v>
      </c>
      <c r="L18" s="10">
        <f t="shared" si="5"/>
        <v>-3.523892501456453E-3</v>
      </c>
      <c r="M18" t="str">
        <f t="shared" si="6"/>
        <v/>
      </c>
    </row>
    <row r="19" spans="1:13" x14ac:dyDescent="0.2">
      <c r="A19" s="21" t="s">
        <v>45</v>
      </c>
      <c r="B19" s="21" t="str">
        <f t="shared" si="0"/>
        <v>Thursday</v>
      </c>
      <c r="C19" s="9">
        <f t="shared" si="1"/>
        <v>43370</v>
      </c>
      <c r="D19">
        <v>59.336497999999999</v>
      </c>
      <c r="E19">
        <v>60.104999999999997</v>
      </c>
      <c r="F19">
        <v>59.181499000000002</v>
      </c>
      <c r="G19">
        <v>59.731997999999997</v>
      </c>
      <c r="H19">
        <v>25216000</v>
      </c>
      <c r="I19">
        <f t="shared" si="2"/>
        <v>0</v>
      </c>
      <c r="J19">
        <f t="shared" si="3"/>
        <v>0.71</v>
      </c>
      <c r="K19" t="str">
        <f t="shared" si="4"/>
        <v>Positive</v>
      </c>
      <c r="L19" s="10">
        <f t="shared" si="5"/>
        <v>1.1844505854299383E-2</v>
      </c>
      <c r="M19" t="str">
        <f t="shared" si="6"/>
        <v/>
      </c>
    </row>
    <row r="20" spans="1:13" x14ac:dyDescent="0.2">
      <c r="A20" s="21" t="s">
        <v>46</v>
      </c>
      <c r="B20" s="21" t="str">
        <f t="shared" si="0"/>
        <v>Friday</v>
      </c>
      <c r="C20" s="9">
        <f t="shared" si="1"/>
        <v>43371</v>
      </c>
      <c r="D20">
        <v>59.593497999999997</v>
      </c>
      <c r="E20">
        <v>59.770499999999998</v>
      </c>
      <c r="F20">
        <v>59.224997999999999</v>
      </c>
      <c r="G20">
        <v>59.673499999999997</v>
      </c>
      <c r="H20">
        <v>27612000</v>
      </c>
      <c r="I20">
        <f t="shared" si="2"/>
        <v>0</v>
      </c>
      <c r="J20">
        <f t="shared" si="3"/>
        <v>-0.06</v>
      </c>
      <c r="K20" t="str">
        <f t="shared" si="4"/>
        <v>Negative</v>
      </c>
      <c r="L20" s="10">
        <f t="shared" si="5"/>
        <v>-9.80301138696409E-4</v>
      </c>
      <c r="M20" t="str">
        <f t="shared" si="6"/>
        <v/>
      </c>
    </row>
    <row r="21" spans="1:13" x14ac:dyDescent="0.2">
      <c r="A21" s="21" t="s">
        <v>47</v>
      </c>
      <c r="B21" s="21" t="str">
        <f t="shared" si="0"/>
        <v>Monday</v>
      </c>
      <c r="C21" s="9">
        <f t="shared" si="1"/>
        <v>43374</v>
      </c>
      <c r="D21">
        <v>59.994498999999998</v>
      </c>
      <c r="E21">
        <v>60.494999</v>
      </c>
      <c r="F21">
        <v>59.514999000000003</v>
      </c>
      <c r="G21">
        <v>59.765498999999998</v>
      </c>
      <c r="H21">
        <v>27152000</v>
      </c>
      <c r="I21">
        <f t="shared" si="2"/>
        <v>0</v>
      </c>
      <c r="J21">
        <f t="shared" si="3"/>
        <v>0.09</v>
      </c>
      <c r="K21" t="str">
        <f t="shared" si="4"/>
        <v>Positive</v>
      </c>
      <c r="L21" s="10">
        <f t="shared" si="5"/>
        <v>1.5393329184786239E-3</v>
      </c>
      <c r="M21" t="str">
        <f t="shared" si="6"/>
        <v/>
      </c>
    </row>
    <row r="22" spans="1:13" x14ac:dyDescent="0.2">
      <c r="A22" s="21" t="s">
        <v>48</v>
      </c>
      <c r="B22" s="21" t="str">
        <f t="shared" si="0"/>
        <v>Tuesday</v>
      </c>
      <c r="C22" s="9">
        <f t="shared" si="1"/>
        <v>43375</v>
      </c>
      <c r="D22">
        <v>59.548000000000002</v>
      </c>
      <c r="E22">
        <v>60.498001000000002</v>
      </c>
      <c r="F22">
        <v>59.331501000000003</v>
      </c>
      <c r="G22">
        <v>60.005501000000002</v>
      </c>
      <c r="H22">
        <v>33758000</v>
      </c>
      <c r="I22">
        <f t="shared" si="2"/>
        <v>0</v>
      </c>
      <c r="J22">
        <f t="shared" si="3"/>
        <v>0.24</v>
      </c>
      <c r="K22" t="str">
        <f t="shared" si="4"/>
        <v>Positive</v>
      </c>
      <c r="L22" s="10">
        <f t="shared" si="5"/>
        <v>3.9996666305644885E-3</v>
      </c>
      <c r="M22" t="str">
        <f t="shared" si="6"/>
        <v/>
      </c>
    </row>
    <row r="23" spans="1:13" x14ac:dyDescent="0.2">
      <c r="A23" s="21" t="s">
        <v>49</v>
      </c>
      <c r="B23" s="21" t="str">
        <f t="shared" si="0"/>
        <v>Wednesday</v>
      </c>
      <c r="C23" s="9">
        <f t="shared" si="1"/>
        <v>43376</v>
      </c>
      <c r="D23">
        <v>60.25</v>
      </c>
      <c r="E23">
        <v>60.320498999999998</v>
      </c>
      <c r="F23">
        <v>59.691502</v>
      </c>
      <c r="G23">
        <v>60.147499000000003</v>
      </c>
      <c r="H23">
        <v>25124000</v>
      </c>
      <c r="I23">
        <f t="shared" si="2"/>
        <v>0</v>
      </c>
      <c r="J23">
        <f t="shared" si="3"/>
        <v>0.14000000000000001</v>
      </c>
      <c r="K23" t="str">
        <f t="shared" si="4"/>
        <v>Positive</v>
      </c>
      <c r="L23" s="10">
        <f t="shared" si="5"/>
        <v>2.3608296664172344E-3</v>
      </c>
      <c r="M23" t="str">
        <f t="shared" si="6"/>
        <v/>
      </c>
    </row>
    <row r="24" spans="1:13" x14ac:dyDescent="0.2">
      <c r="A24" s="21" t="s">
        <v>50</v>
      </c>
      <c r="B24" s="21" t="str">
        <f t="shared" si="0"/>
        <v>Thursday</v>
      </c>
      <c r="C24" s="9">
        <f t="shared" si="1"/>
        <v>43377</v>
      </c>
      <c r="D24">
        <v>59.766499000000003</v>
      </c>
      <c r="E24">
        <v>59.875500000000002</v>
      </c>
      <c r="F24">
        <v>57.778801000000001</v>
      </c>
      <c r="G24">
        <v>58.409500000000001</v>
      </c>
      <c r="H24">
        <v>44190000</v>
      </c>
      <c r="I24">
        <f t="shared" si="2"/>
        <v>0</v>
      </c>
      <c r="J24">
        <f t="shared" si="3"/>
        <v>-1.74</v>
      </c>
      <c r="K24" t="str">
        <f t="shared" si="4"/>
        <v>Negative</v>
      </c>
      <c r="L24" s="10">
        <f t="shared" si="5"/>
        <v>-2.9755416499028447E-2</v>
      </c>
      <c r="M24" t="str">
        <f t="shared" si="6"/>
        <v/>
      </c>
    </row>
    <row r="25" spans="1:13" x14ac:dyDescent="0.2">
      <c r="A25" s="21" t="s">
        <v>51</v>
      </c>
      <c r="B25" s="21" t="str">
        <f t="shared" si="0"/>
        <v>Friday</v>
      </c>
      <c r="C25" s="9">
        <f t="shared" si="1"/>
        <v>43378</v>
      </c>
      <c r="D25">
        <v>58.375</v>
      </c>
      <c r="E25">
        <v>58.674999</v>
      </c>
      <c r="F25">
        <v>57.256000999999998</v>
      </c>
      <c r="G25">
        <v>57.8675</v>
      </c>
      <c r="H25">
        <v>23686000</v>
      </c>
      <c r="I25">
        <f t="shared" si="2"/>
        <v>0</v>
      </c>
      <c r="J25">
        <f t="shared" si="3"/>
        <v>-0.54</v>
      </c>
      <c r="K25" t="str">
        <f t="shared" si="4"/>
        <v>Negative</v>
      </c>
      <c r="L25" s="10">
        <f t="shared" si="5"/>
        <v>-9.3662245647384394E-3</v>
      </c>
      <c r="M25" t="str">
        <f t="shared" si="6"/>
        <v/>
      </c>
    </row>
    <row r="26" spans="1:13" x14ac:dyDescent="0.2">
      <c r="A26" s="21" t="s">
        <v>52</v>
      </c>
      <c r="B26" s="21" t="str">
        <f t="shared" si="0"/>
        <v>Monday</v>
      </c>
      <c r="C26" s="9">
        <f t="shared" si="1"/>
        <v>43381</v>
      </c>
      <c r="D26">
        <v>57.505501000000002</v>
      </c>
      <c r="E26">
        <v>58.400002000000001</v>
      </c>
      <c r="F26">
        <v>56.368198</v>
      </c>
      <c r="G26">
        <v>57.448501999999998</v>
      </c>
      <c r="H26">
        <v>38648000</v>
      </c>
      <c r="I26">
        <f t="shared" si="2"/>
        <v>0</v>
      </c>
      <c r="J26">
        <f t="shared" si="3"/>
        <v>-0.42</v>
      </c>
      <c r="K26" t="str">
        <f t="shared" si="4"/>
        <v>Negative</v>
      </c>
      <c r="L26" s="10">
        <f t="shared" si="5"/>
        <v>-7.2934538832710033E-3</v>
      </c>
      <c r="M26" t="str">
        <f t="shared" si="6"/>
        <v/>
      </c>
    </row>
    <row r="27" spans="1:13" x14ac:dyDescent="0.2">
      <c r="A27" s="21" t="s">
        <v>53</v>
      </c>
      <c r="B27" s="21" t="str">
        <f t="shared" si="0"/>
        <v>Tuesday</v>
      </c>
      <c r="C27" s="9">
        <f t="shared" si="1"/>
        <v>43382</v>
      </c>
      <c r="D27">
        <v>57.307499</v>
      </c>
      <c r="E27">
        <v>57.717498999999997</v>
      </c>
      <c r="F27">
        <v>56.878601000000003</v>
      </c>
      <c r="G27">
        <v>56.941001999999997</v>
      </c>
      <c r="H27">
        <v>26174000</v>
      </c>
      <c r="I27">
        <f t="shared" si="2"/>
        <v>0</v>
      </c>
      <c r="J27">
        <f t="shared" si="3"/>
        <v>-0.51</v>
      </c>
      <c r="K27" t="str">
        <f t="shared" si="4"/>
        <v>Negative</v>
      </c>
      <c r="L27" s="10">
        <f t="shared" si="5"/>
        <v>-8.9127339206289402E-3</v>
      </c>
      <c r="M27" t="str">
        <f t="shared" si="6"/>
        <v/>
      </c>
    </row>
    <row r="28" spans="1:13" x14ac:dyDescent="0.2">
      <c r="A28" s="21" t="s">
        <v>54</v>
      </c>
      <c r="B28" s="21" t="str">
        <f t="shared" si="0"/>
        <v>Wednesday</v>
      </c>
      <c r="C28" s="9">
        <f t="shared" si="1"/>
        <v>43383</v>
      </c>
      <c r="D28">
        <v>56.554001</v>
      </c>
      <c r="E28">
        <v>56.608500999999997</v>
      </c>
      <c r="F28">
        <v>54.056499000000002</v>
      </c>
      <c r="G28">
        <v>54.061000999999997</v>
      </c>
      <c r="H28">
        <v>53514000</v>
      </c>
      <c r="I28">
        <f t="shared" si="2"/>
        <v>0</v>
      </c>
      <c r="J28">
        <f t="shared" si="3"/>
        <v>-2.88</v>
      </c>
      <c r="K28" t="str">
        <f t="shared" si="4"/>
        <v>Negative</v>
      </c>
      <c r="L28" s="10">
        <f t="shared" si="5"/>
        <v>-5.3273171911855648E-2</v>
      </c>
      <c r="M28" t="str">
        <f t="shared" si="6"/>
        <v/>
      </c>
    </row>
    <row r="29" spans="1:13" x14ac:dyDescent="0.2">
      <c r="A29" s="21" t="s">
        <v>55</v>
      </c>
      <c r="B29" s="21" t="str">
        <f t="shared" si="0"/>
        <v>Thursday</v>
      </c>
      <c r="C29" s="9">
        <f t="shared" si="1"/>
        <v>43384</v>
      </c>
      <c r="D29">
        <v>53.646999000000001</v>
      </c>
      <c r="E29">
        <v>55.32</v>
      </c>
      <c r="F29">
        <v>53.413502000000001</v>
      </c>
      <c r="G29">
        <v>53.966000000000001</v>
      </c>
      <c r="H29">
        <v>58980000</v>
      </c>
      <c r="I29">
        <f t="shared" si="2"/>
        <v>0</v>
      </c>
      <c r="J29">
        <f t="shared" si="3"/>
        <v>-0.1</v>
      </c>
      <c r="K29" t="str">
        <f t="shared" si="4"/>
        <v>Negative</v>
      </c>
      <c r="L29" s="10">
        <f t="shared" si="5"/>
        <v>-1.7603861690693463E-3</v>
      </c>
      <c r="M29" t="str">
        <f t="shared" si="6"/>
        <v/>
      </c>
    </row>
    <row r="30" spans="1:13" x14ac:dyDescent="0.2">
      <c r="A30" s="21" t="s">
        <v>56</v>
      </c>
      <c r="B30" s="21" t="str">
        <f t="shared" si="0"/>
        <v>Friday</v>
      </c>
      <c r="C30" s="9">
        <f t="shared" si="1"/>
        <v>43385</v>
      </c>
      <c r="D30">
        <v>55.400002000000001</v>
      </c>
      <c r="E30">
        <v>55.75</v>
      </c>
      <c r="F30">
        <v>54.320098999999999</v>
      </c>
      <c r="G30">
        <v>55.504002</v>
      </c>
      <c r="H30">
        <v>42026000</v>
      </c>
      <c r="I30">
        <f t="shared" si="2"/>
        <v>0</v>
      </c>
      <c r="J30">
        <f t="shared" si="3"/>
        <v>1.54</v>
      </c>
      <c r="K30" t="str">
        <f t="shared" si="4"/>
        <v>Positive</v>
      </c>
      <c r="L30" s="10">
        <f t="shared" si="5"/>
        <v>2.7709749650124307E-2</v>
      </c>
      <c r="M30" t="str">
        <f t="shared" si="6"/>
        <v/>
      </c>
    </row>
    <row r="31" spans="1:13" x14ac:dyDescent="0.2">
      <c r="A31" s="21" t="s">
        <v>57</v>
      </c>
      <c r="B31" s="21" t="str">
        <f t="shared" si="0"/>
        <v>Monday</v>
      </c>
      <c r="C31" s="9">
        <f t="shared" si="1"/>
        <v>43388</v>
      </c>
      <c r="D31">
        <v>55.445498999999998</v>
      </c>
      <c r="E31">
        <v>55.672297999999998</v>
      </c>
      <c r="F31">
        <v>54.450001</v>
      </c>
      <c r="G31">
        <v>54.612499</v>
      </c>
      <c r="H31">
        <v>27448000</v>
      </c>
      <c r="I31">
        <f t="shared" si="2"/>
        <v>0</v>
      </c>
      <c r="J31">
        <f t="shared" si="3"/>
        <v>-0.89</v>
      </c>
      <c r="K31" t="str">
        <f t="shared" si="4"/>
        <v>Negative</v>
      </c>
      <c r="L31" s="10">
        <f t="shared" si="5"/>
        <v>-1.6324156856473464E-2</v>
      </c>
      <c r="M31" t="str">
        <f t="shared" si="6"/>
        <v/>
      </c>
    </row>
    <row r="32" spans="1:13" x14ac:dyDescent="0.2">
      <c r="A32" s="21" t="s">
        <v>58</v>
      </c>
      <c r="B32" s="21" t="str">
        <f t="shared" si="0"/>
        <v>Tuesday</v>
      </c>
      <c r="C32" s="9">
        <f t="shared" si="1"/>
        <v>43389</v>
      </c>
      <c r="D32">
        <v>55.229500000000002</v>
      </c>
      <c r="E32">
        <v>56.210999000000001</v>
      </c>
      <c r="F32">
        <v>55.125</v>
      </c>
      <c r="G32">
        <v>56.063999000000003</v>
      </c>
      <c r="H32">
        <v>38570000</v>
      </c>
      <c r="I32">
        <f t="shared" si="2"/>
        <v>0</v>
      </c>
      <c r="J32">
        <f t="shared" si="3"/>
        <v>1.45</v>
      </c>
      <c r="K32" t="str">
        <f t="shared" si="4"/>
        <v>Positive</v>
      </c>
      <c r="L32" s="10">
        <f t="shared" si="5"/>
        <v>2.5890054685538982E-2</v>
      </c>
      <c r="M32" t="str">
        <f t="shared" si="6"/>
        <v/>
      </c>
    </row>
    <row r="33" spans="1:13" x14ac:dyDescent="0.2">
      <c r="A33" s="21" t="s">
        <v>59</v>
      </c>
      <c r="B33" s="21" t="str">
        <f t="shared" si="0"/>
        <v>Wednesday</v>
      </c>
      <c r="C33" s="9">
        <f t="shared" si="1"/>
        <v>43390</v>
      </c>
      <c r="D33">
        <v>56.323002000000002</v>
      </c>
      <c r="E33">
        <v>56.449500999999998</v>
      </c>
      <c r="F33">
        <v>55.109501000000002</v>
      </c>
      <c r="G33">
        <v>55.784500000000001</v>
      </c>
      <c r="H33">
        <v>29344000</v>
      </c>
      <c r="I33">
        <f t="shared" si="2"/>
        <v>0</v>
      </c>
      <c r="J33">
        <f t="shared" si="3"/>
        <v>-0.28000000000000003</v>
      </c>
      <c r="K33" t="str">
        <f t="shared" si="4"/>
        <v>Negative</v>
      </c>
      <c r="L33" s="10">
        <f t="shared" si="5"/>
        <v>-5.0103344118886299E-3</v>
      </c>
      <c r="M33" t="str">
        <f t="shared" si="6"/>
        <v/>
      </c>
    </row>
    <row r="34" spans="1:13" x14ac:dyDescent="0.2">
      <c r="A34" s="21" t="s">
        <v>60</v>
      </c>
      <c r="B34" s="21" t="str">
        <f t="shared" si="0"/>
        <v>Thursday</v>
      </c>
      <c r="C34" s="9">
        <f t="shared" si="1"/>
        <v>43391</v>
      </c>
      <c r="D34">
        <v>56.091999000000001</v>
      </c>
      <c r="E34">
        <v>56.091999000000001</v>
      </c>
      <c r="F34">
        <v>53.854500000000002</v>
      </c>
      <c r="G34">
        <v>54.398499000000001</v>
      </c>
      <c r="H34">
        <v>41890000</v>
      </c>
      <c r="I34">
        <f t="shared" si="2"/>
        <v>0</v>
      </c>
      <c r="J34">
        <f t="shared" si="3"/>
        <v>-1.39</v>
      </c>
      <c r="K34" t="str">
        <f t="shared" si="4"/>
        <v>Negative</v>
      </c>
      <c r="L34" s="10">
        <f t="shared" si="5"/>
        <v>-2.5478662563832879E-2</v>
      </c>
      <c r="M34" t="str">
        <f t="shared" si="6"/>
        <v/>
      </c>
    </row>
    <row r="35" spans="1:13" x14ac:dyDescent="0.2">
      <c r="A35" s="21" t="s">
        <v>61</v>
      </c>
      <c r="B35" s="21" t="str">
        <f t="shared" si="0"/>
        <v>Friday</v>
      </c>
      <c r="C35" s="9">
        <f t="shared" si="1"/>
        <v>43392</v>
      </c>
      <c r="D35">
        <v>54.668498999999997</v>
      </c>
      <c r="E35">
        <v>55.518002000000003</v>
      </c>
      <c r="F35">
        <v>54.387501</v>
      </c>
      <c r="G35">
        <v>54.823002000000002</v>
      </c>
      <c r="H35">
        <v>25352000</v>
      </c>
      <c r="I35">
        <f t="shared" si="2"/>
        <v>0</v>
      </c>
      <c r="J35">
        <f t="shared" si="3"/>
        <v>0.42</v>
      </c>
      <c r="K35" t="str">
        <f t="shared" si="4"/>
        <v>Positive</v>
      </c>
      <c r="L35" s="10">
        <f t="shared" si="5"/>
        <v>7.7431549625830666E-3</v>
      </c>
      <c r="M35" t="str">
        <f t="shared" si="6"/>
        <v/>
      </c>
    </row>
    <row r="36" spans="1:13" x14ac:dyDescent="0.2">
      <c r="A36" s="21" t="s">
        <v>62</v>
      </c>
      <c r="B36" s="21" t="str">
        <f t="shared" si="0"/>
        <v>Monday</v>
      </c>
      <c r="C36" s="9">
        <f t="shared" si="1"/>
        <v>43395</v>
      </c>
      <c r="D36">
        <v>55.152999999999999</v>
      </c>
      <c r="E36">
        <v>55.611499999999999</v>
      </c>
      <c r="F36">
        <v>54.549999</v>
      </c>
      <c r="G36">
        <v>55.057999000000002</v>
      </c>
      <c r="H36">
        <v>30284000</v>
      </c>
      <c r="I36">
        <f t="shared" si="2"/>
        <v>0</v>
      </c>
      <c r="J36">
        <f t="shared" si="3"/>
        <v>0.23</v>
      </c>
      <c r="K36" t="str">
        <f t="shared" si="4"/>
        <v>Positive</v>
      </c>
      <c r="L36" s="10">
        <f t="shared" si="5"/>
        <v>4.2681718236799683E-3</v>
      </c>
      <c r="M36" t="str">
        <f t="shared" si="6"/>
        <v/>
      </c>
    </row>
    <row r="37" spans="1:13" x14ac:dyDescent="0.2">
      <c r="A37" s="21" t="s">
        <v>63</v>
      </c>
      <c r="B37" s="21" t="str">
        <f t="shared" si="0"/>
        <v>Tuesday</v>
      </c>
      <c r="C37" s="9">
        <f t="shared" si="1"/>
        <v>43396</v>
      </c>
      <c r="D37">
        <v>54.044497999999997</v>
      </c>
      <c r="E37">
        <v>55.394500999999998</v>
      </c>
      <c r="F37">
        <v>53.5</v>
      </c>
      <c r="G37">
        <v>55.184502000000002</v>
      </c>
      <c r="H37">
        <v>36974000</v>
      </c>
      <c r="I37">
        <f t="shared" si="2"/>
        <v>0</v>
      </c>
      <c r="J37">
        <f t="shared" si="3"/>
        <v>0.13</v>
      </c>
      <c r="K37" t="str">
        <f t="shared" si="4"/>
        <v>Positive</v>
      </c>
      <c r="L37" s="10">
        <f t="shared" si="5"/>
        <v>2.292364620777036E-3</v>
      </c>
      <c r="M37" t="str">
        <f t="shared" si="6"/>
        <v/>
      </c>
    </row>
    <row r="38" spans="1:13" x14ac:dyDescent="0.2">
      <c r="A38" s="21" t="s">
        <v>64</v>
      </c>
      <c r="B38" s="21" t="str">
        <f t="shared" si="0"/>
        <v>Wednesday</v>
      </c>
      <c r="C38" s="9">
        <f t="shared" si="1"/>
        <v>43397</v>
      </c>
      <c r="D38">
        <v>55.212502000000001</v>
      </c>
      <c r="E38">
        <v>55.305999999999997</v>
      </c>
      <c r="F38">
        <v>52.436999999999998</v>
      </c>
      <c r="G38">
        <v>52.535499999999999</v>
      </c>
      <c r="H38">
        <v>39648000</v>
      </c>
      <c r="I38">
        <f t="shared" si="2"/>
        <v>0</v>
      </c>
      <c r="J38">
        <f t="shared" si="3"/>
        <v>-2.65</v>
      </c>
      <c r="K38" t="str">
        <f t="shared" si="4"/>
        <v>Negative</v>
      </c>
      <c r="L38" s="10">
        <f t="shared" si="5"/>
        <v>-5.0423085342292409E-2</v>
      </c>
      <c r="M38" t="str">
        <f t="shared" si="6"/>
        <v/>
      </c>
    </row>
    <row r="39" spans="1:13" x14ac:dyDescent="0.2">
      <c r="A39" s="21" t="s">
        <v>65</v>
      </c>
      <c r="B39" s="21" t="str">
        <f t="shared" si="0"/>
        <v>Thursday</v>
      </c>
      <c r="C39" s="9">
        <f t="shared" si="1"/>
        <v>43398</v>
      </c>
      <c r="D39">
        <v>53.589500000000001</v>
      </c>
      <c r="E39">
        <v>55.548999999999999</v>
      </c>
      <c r="F39">
        <v>53.477500999999997</v>
      </c>
      <c r="G39">
        <v>54.778500000000001</v>
      </c>
      <c r="H39">
        <v>50916000</v>
      </c>
      <c r="I39">
        <f t="shared" si="2"/>
        <v>0</v>
      </c>
      <c r="J39">
        <f t="shared" si="3"/>
        <v>2.2400000000000002</v>
      </c>
      <c r="K39" t="str">
        <f t="shared" si="4"/>
        <v>Positive</v>
      </c>
      <c r="L39" s="10">
        <f t="shared" si="5"/>
        <v>4.0946721797785662E-2</v>
      </c>
      <c r="M39" t="str">
        <f t="shared" si="6"/>
        <v/>
      </c>
    </row>
    <row r="40" spans="1:13" x14ac:dyDescent="0.2">
      <c r="A40" s="21" t="s">
        <v>66</v>
      </c>
      <c r="B40" s="21" t="str">
        <f t="shared" si="0"/>
        <v>Friday</v>
      </c>
      <c r="C40" s="9">
        <f t="shared" si="1"/>
        <v>43399</v>
      </c>
      <c r="D40">
        <v>51.851500999999999</v>
      </c>
      <c r="E40">
        <v>55.326500000000003</v>
      </c>
      <c r="F40">
        <v>51.704498000000001</v>
      </c>
      <c r="G40">
        <v>53.573501999999998</v>
      </c>
      <c r="H40">
        <v>83752000</v>
      </c>
      <c r="I40">
        <f t="shared" si="2"/>
        <v>0</v>
      </c>
      <c r="J40">
        <f t="shared" si="3"/>
        <v>-1.2</v>
      </c>
      <c r="K40" t="str">
        <f t="shared" si="4"/>
        <v>Negative</v>
      </c>
      <c r="L40" s="10">
        <f t="shared" si="5"/>
        <v>-2.2492425453165325E-2</v>
      </c>
      <c r="M40" t="str">
        <f t="shared" si="6"/>
        <v/>
      </c>
    </row>
    <row r="41" spans="1:13" x14ac:dyDescent="0.2">
      <c r="A41" s="21" t="s">
        <v>67</v>
      </c>
      <c r="B41" s="21" t="str">
        <f t="shared" si="0"/>
        <v>Monday</v>
      </c>
      <c r="C41" s="9">
        <f t="shared" si="1"/>
        <v>43402</v>
      </c>
      <c r="D41">
        <v>54.123500999999997</v>
      </c>
      <c r="E41">
        <v>54.852001000000001</v>
      </c>
      <c r="F41">
        <v>49.791499999999999</v>
      </c>
      <c r="G41">
        <v>51.004002</v>
      </c>
      <c r="H41">
        <v>77614000</v>
      </c>
      <c r="I41">
        <f t="shared" si="2"/>
        <v>0</v>
      </c>
      <c r="J41">
        <f t="shared" si="3"/>
        <v>-2.57</v>
      </c>
      <c r="K41" t="str">
        <f t="shared" si="4"/>
        <v>Negative</v>
      </c>
      <c r="L41" s="10">
        <f t="shared" si="5"/>
        <v>-5.0378399718516167E-2</v>
      </c>
      <c r="M41" t="str">
        <f t="shared" si="6"/>
        <v/>
      </c>
    </row>
    <row r="42" spans="1:13" x14ac:dyDescent="0.2">
      <c r="A42" s="21" t="s">
        <v>68</v>
      </c>
      <c r="B42" s="21" t="str">
        <f t="shared" si="0"/>
        <v>Tuesday</v>
      </c>
      <c r="C42" s="9">
        <f t="shared" si="1"/>
        <v>43403</v>
      </c>
      <c r="D42">
        <v>50.423000000000002</v>
      </c>
      <c r="E42">
        <v>51.874499999999998</v>
      </c>
      <c r="F42">
        <v>50.037497999999999</v>
      </c>
      <c r="G42">
        <v>51.810501000000002</v>
      </c>
      <c r="H42">
        <v>64254000</v>
      </c>
      <c r="I42">
        <f t="shared" si="2"/>
        <v>0</v>
      </c>
      <c r="J42">
        <f t="shared" si="3"/>
        <v>0.81</v>
      </c>
      <c r="K42" t="str">
        <f t="shared" si="4"/>
        <v>Positive</v>
      </c>
      <c r="L42" s="10">
        <f t="shared" si="5"/>
        <v>1.556632312820141E-2</v>
      </c>
      <c r="M42" t="str">
        <f t="shared" si="6"/>
        <v/>
      </c>
    </row>
    <row r="43" spans="1:13" x14ac:dyDescent="0.2">
      <c r="A43" s="21" t="s">
        <v>69</v>
      </c>
      <c r="B43" s="21" t="str">
        <f t="shared" si="0"/>
        <v>Wednesday</v>
      </c>
      <c r="C43" s="9">
        <f t="shared" si="1"/>
        <v>43404</v>
      </c>
      <c r="D43">
        <v>52.990501000000002</v>
      </c>
      <c r="E43">
        <v>54.597000000000001</v>
      </c>
      <c r="F43">
        <v>52.849997999999999</v>
      </c>
      <c r="G43">
        <v>53.838501000000001</v>
      </c>
      <c r="H43">
        <v>50596000</v>
      </c>
      <c r="I43">
        <f t="shared" si="2"/>
        <v>0</v>
      </c>
      <c r="J43">
        <f t="shared" si="3"/>
        <v>2.0299999999999998</v>
      </c>
      <c r="K43" t="str">
        <f t="shared" si="4"/>
        <v>Positive</v>
      </c>
      <c r="L43" s="10">
        <f t="shared" si="5"/>
        <v>3.766821071039847E-2</v>
      </c>
      <c r="M43" t="str">
        <f t="shared" si="6"/>
        <v/>
      </c>
    </row>
    <row r="44" spans="1:13" x14ac:dyDescent="0.2">
      <c r="A44" s="21" t="s">
        <v>70</v>
      </c>
      <c r="B44" s="21" t="str">
        <f t="shared" si="0"/>
        <v>Thursday</v>
      </c>
      <c r="C44" s="9">
        <f t="shared" si="1"/>
        <v>43405</v>
      </c>
      <c r="D44">
        <v>53.790000999999997</v>
      </c>
      <c r="E44">
        <v>54.198749999999997</v>
      </c>
      <c r="F44">
        <v>53.123001000000002</v>
      </c>
      <c r="G44">
        <v>53.5</v>
      </c>
      <c r="H44">
        <v>29640000</v>
      </c>
      <c r="I44">
        <f t="shared" si="2"/>
        <v>0</v>
      </c>
      <c r="J44">
        <f t="shared" si="3"/>
        <v>-0.34</v>
      </c>
      <c r="K44" t="str">
        <f t="shared" si="4"/>
        <v>Negative</v>
      </c>
      <c r="L44" s="10">
        <f t="shared" si="5"/>
        <v>-6.3271214953271185E-3</v>
      </c>
      <c r="M44" t="str">
        <f t="shared" si="6"/>
        <v/>
      </c>
    </row>
    <row r="45" spans="1:13" x14ac:dyDescent="0.2">
      <c r="A45" s="21" t="s">
        <v>71</v>
      </c>
      <c r="B45" s="21" t="str">
        <f t="shared" si="0"/>
        <v>Friday</v>
      </c>
      <c r="C45" s="9">
        <f t="shared" si="1"/>
        <v>43406</v>
      </c>
      <c r="D45">
        <v>53.686501</v>
      </c>
      <c r="E45">
        <v>54.14875</v>
      </c>
      <c r="F45">
        <v>52.730499000000002</v>
      </c>
      <c r="G45">
        <v>52.889499999999998</v>
      </c>
      <c r="H45">
        <v>36780000</v>
      </c>
      <c r="I45">
        <f t="shared" si="2"/>
        <v>0</v>
      </c>
      <c r="J45">
        <f t="shared" si="3"/>
        <v>-0.61</v>
      </c>
      <c r="K45" t="str">
        <f t="shared" si="4"/>
        <v>Negative</v>
      </c>
      <c r="L45" s="10">
        <f t="shared" si="5"/>
        <v>-1.1542933852655099E-2</v>
      </c>
      <c r="M45" t="str">
        <f t="shared" si="6"/>
        <v/>
      </c>
    </row>
    <row r="46" spans="1:13" x14ac:dyDescent="0.2">
      <c r="A46" s="21" t="s">
        <v>72</v>
      </c>
      <c r="B46" s="21" t="str">
        <f t="shared" si="0"/>
        <v>Monday</v>
      </c>
      <c r="C46" s="9">
        <f t="shared" si="1"/>
        <v>43409</v>
      </c>
      <c r="D46">
        <v>52.75</v>
      </c>
      <c r="E46">
        <v>52.923499999999997</v>
      </c>
      <c r="F46">
        <v>51.061999999999998</v>
      </c>
      <c r="G46">
        <v>52.004500999999998</v>
      </c>
      <c r="H46">
        <v>48828000</v>
      </c>
      <c r="I46">
        <f t="shared" si="2"/>
        <v>0</v>
      </c>
      <c r="J46">
        <f t="shared" si="3"/>
        <v>-0.88</v>
      </c>
      <c r="K46" t="str">
        <f t="shared" si="4"/>
        <v>Negative</v>
      </c>
      <c r="L46" s="10">
        <f t="shared" si="5"/>
        <v>-1.7017738522286763E-2</v>
      </c>
      <c r="M46" t="str">
        <f t="shared" si="6"/>
        <v/>
      </c>
    </row>
    <row r="47" spans="1:13" x14ac:dyDescent="0.2">
      <c r="A47" s="21" t="s">
        <v>73</v>
      </c>
      <c r="B47" s="21" t="str">
        <f t="shared" si="0"/>
        <v>Tuesday</v>
      </c>
      <c r="C47" s="9">
        <f t="shared" si="1"/>
        <v>43410</v>
      </c>
      <c r="D47">
        <v>51.973998999999999</v>
      </c>
      <c r="E47">
        <v>53.217250999999997</v>
      </c>
      <c r="F47">
        <v>51.903500000000001</v>
      </c>
      <c r="G47">
        <v>52.790500999999999</v>
      </c>
      <c r="H47">
        <v>24666000</v>
      </c>
      <c r="I47">
        <f t="shared" si="2"/>
        <v>0</v>
      </c>
      <c r="J47">
        <f t="shared" si="3"/>
        <v>0.79</v>
      </c>
      <c r="K47" t="str">
        <f t="shared" si="4"/>
        <v>Positive</v>
      </c>
      <c r="L47" s="10">
        <f t="shared" si="5"/>
        <v>1.4889042254022202E-2</v>
      </c>
      <c r="M47" t="str">
        <f t="shared" si="6"/>
        <v/>
      </c>
    </row>
    <row r="48" spans="1:13" x14ac:dyDescent="0.2">
      <c r="A48" s="21" t="s">
        <v>74</v>
      </c>
      <c r="B48" s="21" t="str">
        <f t="shared" si="0"/>
        <v>Wednesday</v>
      </c>
      <c r="C48" s="9">
        <f t="shared" si="1"/>
        <v>43411</v>
      </c>
      <c r="D48">
        <v>53.450001</v>
      </c>
      <c r="E48">
        <v>54.772998999999999</v>
      </c>
      <c r="F48">
        <v>53.294998</v>
      </c>
      <c r="G48">
        <v>54.669497999999997</v>
      </c>
      <c r="H48">
        <v>41168000</v>
      </c>
      <c r="I48">
        <f t="shared" si="2"/>
        <v>0</v>
      </c>
      <c r="J48">
        <f t="shared" si="3"/>
        <v>1.88</v>
      </c>
      <c r="K48" t="str">
        <f t="shared" si="4"/>
        <v>Positive</v>
      </c>
      <c r="L48" s="10">
        <f t="shared" si="5"/>
        <v>3.4370116220931793E-2</v>
      </c>
      <c r="M48" t="str">
        <f t="shared" si="6"/>
        <v/>
      </c>
    </row>
    <row r="49" spans="1:13" x14ac:dyDescent="0.2">
      <c r="A49" s="21" t="s">
        <v>75</v>
      </c>
      <c r="B49" s="21" t="str">
        <f t="shared" si="0"/>
        <v>Thursday</v>
      </c>
      <c r="C49" s="9">
        <f t="shared" si="1"/>
        <v>43412</v>
      </c>
      <c r="D49">
        <v>54.569000000000003</v>
      </c>
      <c r="E49">
        <v>54.663502000000001</v>
      </c>
      <c r="F49">
        <v>53.610249000000003</v>
      </c>
      <c r="G49">
        <v>54.119999</v>
      </c>
      <c r="H49">
        <v>29764000</v>
      </c>
      <c r="I49">
        <f t="shared" si="2"/>
        <v>0</v>
      </c>
      <c r="J49">
        <f t="shared" si="3"/>
        <v>-0.55000000000000004</v>
      </c>
      <c r="K49" t="str">
        <f t="shared" si="4"/>
        <v>Negative</v>
      </c>
      <c r="L49" s="10">
        <f t="shared" si="5"/>
        <v>-1.0153344607415777E-2</v>
      </c>
      <c r="M49" t="str">
        <f t="shared" si="6"/>
        <v/>
      </c>
    </row>
    <row r="50" spans="1:13" x14ac:dyDescent="0.2">
      <c r="A50" s="21" t="s">
        <v>76</v>
      </c>
      <c r="B50" s="21" t="str">
        <f t="shared" si="0"/>
        <v>Friday</v>
      </c>
      <c r="C50" s="9">
        <f t="shared" si="1"/>
        <v>43413</v>
      </c>
      <c r="D50">
        <v>53.699500999999998</v>
      </c>
      <c r="E50">
        <v>53.777999999999999</v>
      </c>
      <c r="F50">
        <v>52.655498999999999</v>
      </c>
      <c r="G50">
        <v>53.307499</v>
      </c>
      <c r="H50">
        <v>26864000</v>
      </c>
      <c r="I50">
        <f t="shared" si="2"/>
        <v>0</v>
      </c>
      <c r="J50">
        <f t="shared" si="3"/>
        <v>-0.81</v>
      </c>
      <c r="K50" t="str">
        <f t="shared" si="4"/>
        <v>Negative</v>
      </c>
      <c r="L50" s="10">
        <f t="shared" si="5"/>
        <v>-1.5241758012320181E-2</v>
      </c>
      <c r="M50" t="str">
        <f t="shared" si="6"/>
        <v/>
      </c>
    </row>
    <row r="51" spans="1:13" x14ac:dyDescent="0.2">
      <c r="A51" s="21" t="s">
        <v>77</v>
      </c>
      <c r="B51" s="21" t="str">
        <f t="shared" si="0"/>
        <v>Monday</v>
      </c>
      <c r="C51" s="9">
        <f t="shared" si="1"/>
        <v>43416</v>
      </c>
      <c r="D51">
        <v>53.069499999999998</v>
      </c>
      <c r="E51">
        <v>53.105998999999997</v>
      </c>
      <c r="F51">
        <v>51.549999</v>
      </c>
      <c r="G51">
        <v>51.931499000000002</v>
      </c>
      <c r="H51">
        <v>29436000</v>
      </c>
      <c r="I51">
        <f t="shared" si="2"/>
        <v>0</v>
      </c>
      <c r="J51">
        <f t="shared" si="3"/>
        <v>-1.38</v>
      </c>
      <c r="K51" t="str">
        <f t="shared" si="4"/>
        <v>Negative</v>
      </c>
      <c r="L51" s="10">
        <f t="shared" si="5"/>
        <v>-2.6496442939187979E-2</v>
      </c>
      <c r="M51" t="str">
        <f t="shared" si="6"/>
        <v/>
      </c>
    </row>
    <row r="52" spans="1:13" x14ac:dyDescent="0.2">
      <c r="A52" s="21" t="s">
        <v>78</v>
      </c>
      <c r="B52" s="21" t="str">
        <f t="shared" si="0"/>
        <v>Tuesday</v>
      </c>
      <c r="C52" s="9">
        <f t="shared" si="1"/>
        <v>43417</v>
      </c>
      <c r="D52">
        <v>52.164501000000001</v>
      </c>
      <c r="E52">
        <v>52.830249999999999</v>
      </c>
      <c r="F52">
        <v>51.557499</v>
      </c>
      <c r="G52">
        <v>51.802501999999997</v>
      </c>
      <c r="H52">
        <v>30274000</v>
      </c>
      <c r="I52">
        <f t="shared" si="2"/>
        <v>0</v>
      </c>
      <c r="J52">
        <f t="shared" si="3"/>
        <v>-0.13</v>
      </c>
      <c r="K52" t="str">
        <f t="shared" si="4"/>
        <v>Negative</v>
      </c>
      <c r="L52" s="10">
        <f t="shared" si="5"/>
        <v>-2.4901692972282567E-3</v>
      </c>
      <c r="M52" t="str">
        <f t="shared" si="6"/>
        <v/>
      </c>
    </row>
    <row r="53" spans="1:13" x14ac:dyDescent="0.2">
      <c r="A53" s="21" t="s">
        <v>79</v>
      </c>
      <c r="B53" s="21" t="str">
        <f t="shared" si="0"/>
        <v>Wednesday</v>
      </c>
      <c r="C53" s="9">
        <f t="shared" si="1"/>
        <v>43418</v>
      </c>
      <c r="D53">
        <v>52.5</v>
      </c>
      <c r="E53">
        <v>52.728198999999996</v>
      </c>
      <c r="F53">
        <v>51.549999</v>
      </c>
      <c r="G53">
        <v>52.182999000000002</v>
      </c>
      <c r="H53">
        <v>31318000</v>
      </c>
      <c r="I53">
        <f t="shared" si="2"/>
        <v>0</v>
      </c>
      <c r="J53">
        <f t="shared" si="3"/>
        <v>0.38</v>
      </c>
      <c r="K53" t="str">
        <f t="shared" si="4"/>
        <v>Positive</v>
      </c>
      <c r="L53" s="10">
        <f t="shared" si="5"/>
        <v>7.2915893546096379E-3</v>
      </c>
      <c r="M53" t="str">
        <f t="shared" si="6"/>
        <v/>
      </c>
    </row>
    <row r="54" spans="1:13" x14ac:dyDescent="0.2">
      <c r="A54" s="21" t="s">
        <v>80</v>
      </c>
      <c r="B54" s="21" t="str">
        <f t="shared" si="0"/>
        <v>Thursday</v>
      </c>
      <c r="C54" s="9">
        <f t="shared" si="1"/>
        <v>43419</v>
      </c>
      <c r="D54">
        <v>52.235500000000002</v>
      </c>
      <c r="E54">
        <v>53.592498999999997</v>
      </c>
      <c r="F54">
        <v>51.589001000000003</v>
      </c>
      <c r="G54">
        <v>53.235500000000002</v>
      </c>
      <c r="H54">
        <v>36722000</v>
      </c>
      <c r="I54">
        <f t="shared" si="2"/>
        <v>0</v>
      </c>
      <c r="J54">
        <f t="shared" si="3"/>
        <v>1.05</v>
      </c>
      <c r="K54" t="str">
        <f t="shared" si="4"/>
        <v>Positive</v>
      </c>
      <c r="L54" s="10">
        <f t="shared" si="5"/>
        <v>1.9770660555456405E-2</v>
      </c>
      <c r="M54" t="str">
        <f t="shared" si="6"/>
        <v/>
      </c>
    </row>
    <row r="55" spans="1:13" x14ac:dyDescent="0.2">
      <c r="A55" s="21" t="s">
        <v>81</v>
      </c>
      <c r="B55" s="21" t="str">
        <f t="shared" si="0"/>
        <v>Friday</v>
      </c>
      <c r="C55" s="9">
        <f t="shared" si="1"/>
        <v>43420</v>
      </c>
      <c r="D55">
        <v>52.970500999999999</v>
      </c>
      <c r="E55">
        <v>53.349997999999999</v>
      </c>
      <c r="F55">
        <v>52.449001000000003</v>
      </c>
      <c r="G55">
        <v>53.074500999999998</v>
      </c>
      <c r="H55">
        <v>33162000</v>
      </c>
      <c r="I55">
        <f t="shared" si="2"/>
        <v>0</v>
      </c>
      <c r="J55">
        <f t="shared" si="3"/>
        <v>-0.16</v>
      </c>
      <c r="K55" t="str">
        <f t="shared" si="4"/>
        <v>Negative</v>
      </c>
      <c r="L55" s="10">
        <f t="shared" si="5"/>
        <v>-3.0334529193219149E-3</v>
      </c>
      <c r="M55" t="str">
        <f t="shared" si="6"/>
        <v/>
      </c>
    </row>
    <row r="56" spans="1:13" x14ac:dyDescent="0.2">
      <c r="A56" s="21" t="s">
        <v>82</v>
      </c>
      <c r="B56" s="21" t="str">
        <f t="shared" si="0"/>
        <v>Monday</v>
      </c>
      <c r="C56" s="9">
        <f t="shared" si="1"/>
        <v>43423</v>
      </c>
      <c r="D56">
        <v>52.860000999999997</v>
      </c>
      <c r="E56">
        <v>53.039501000000001</v>
      </c>
      <c r="F56">
        <v>50.813000000000002</v>
      </c>
      <c r="G56">
        <v>51</v>
      </c>
      <c r="H56">
        <v>37172000</v>
      </c>
      <c r="I56">
        <f t="shared" si="2"/>
        <v>0</v>
      </c>
      <c r="J56">
        <f t="shared" si="3"/>
        <v>-2.0699999999999998</v>
      </c>
      <c r="K56" t="str">
        <f t="shared" si="4"/>
        <v>Negative</v>
      </c>
      <c r="L56" s="10">
        <f t="shared" si="5"/>
        <v>-4.0676490196078392E-2</v>
      </c>
      <c r="M56" t="str">
        <f t="shared" si="6"/>
        <v/>
      </c>
    </row>
    <row r="57" spans="1:13" x14ac:dyDescent="0.2">
      <c r="A57" s="21" t="s">
        <v>83</v>
      </c>
      <c r="B57" s="21" t="str">
        <f t="shared" si="0"/>
        <v>Tuesday</v>
      </c>
      <c r="C57" s="9">
        <f t="shared" si="1"/>
        <v>43424</v>
      </c>
      <c r="D57">
        <v>50</v>
      </c>
      <c r="E57">
        <v>51.587001999999998</v>
      </c>
      <c r="F57">
        <v>49.800998999999997</v>
      </c>
      <c r="G57">
        <v>51.287998000000002</v>
      </c>
      <c r="H57">
        <v>48982000</v>
      </c>
      <c r="I57">
        <f t="shared" si="2"/>
        <v>0</v>
      </c>
      <c r="J57">
        <f t="shared" si="3"/>
        <v>0.28999999999999998</v>
      </c>
      <c r="K57" t="str">
        <f t="shared" si="4"/>
        <v>Positive</v>
      </c>
      <c r="L57" s="10">
        <f t="shared" si="5"/>
        <v>5.6153098430553232E-3</v>
      </c>
      <c r="M57" t="str">
        <f t="shared" si="6"/>
        <v/>
      </c>
    </row>
    <row r="58" spans="1:13" x14ac:dyDescent="0.2">
      <c r="A58" s="21" t="s">
        <v>84</v>
      </c>
      <c r="B58" s="21" t="str">
        <f t="shared" si="0"/>
        <v>Wednesday</v>
      </c>
      <c r="C58" s="9">
        <f t="shared" si="1"/>
        <v>43425</v>
      </c>
      <c r="D58">
        <v>51.838000999999998</v>
      </c>
      <c r="E58">
        <v>52.428001000000002</v>
      </c>
      <c r="F58">
        <v>51.673499999999997</v>
      </c>
      <c r="G58">
        <v>51.880501000000002</v>
      </c>
      <c r="H58">
        <v>30686000</v>
      </c>
      <c r="I58">
        <f t="shared" si="2"/>
        <v>0</v>
      </c>
      <c r="J58">
        <f t="shared" si="3"/>
        <v>0.59</v>
      </c>
      <c r="K58" t="str">
        <f t="shared" si="4"/>
        <v>Positive</v>
      </c>
      <c r="L58" s="10">
        <f t="shared" si="5"/>
        <v>1.1420533506413144E-2</v>
      </c>
      <c r="M58" t="str">
        <f t="shared" si="6"/>
        <v/>
      </c>
    </row>
    <row r="59" spans="1:13" x14ac:dyDescent="0.2">
      <c r="A59" s="21" t="s">
        <v>85</v>
      </c>
      <c r="B59" s="21" t="str">
        <f t="shared" si="0"/>
        <v>Friday</v>
      </c>
      <c r="C59" s="9">
        <f t="shared" si="1"/>
        <v>43427</v>
      </c>
      <c r="D59">
        <v>51.5</v>
      </c>
      <c r="E59">
        <v>51.879500999999998</v>
      </c>
      <c r="F59">
        <v>51.119948999999998</v>
      </c>
      <c r="G59">
        <v>51.194000000000003</v>
      </c>
      <c r="H59">
        <v>13830000</v>
      </c>
      <c r="I59">
        <f t="shared" si="2"/>
        <v>0</v>
      </c>
      <c r="J59">
        <f t="shared" si="3"/>
        <v>-0.69</v>
      </c>
      <c r="K59" t="str">
        <f t="shared" si="4"/>
        <v>Negative</v>
      </c>
      <c r="L59" s="10">
        <f t="shared" si="5"/>
        <v>-1.3409794116498022E-2</v>
      </c>
      <c r="M59" t="str">
        <f t="shared" si="6"/>
        <v/>
      </c>
    </row>
    <row r="60" spans="1:13" x14ac:dyDescent="0.2">
      <c r="A60" s="21" t="s">
        <v>86</v>
      </c>
      <c r="B60" s="21" t="str">
        <f t="shared" si="0"/>
        <v>Monday</v>
      </c>
      <c r="C60" s="9">
        <f t="shared" si="1"/>
        <v>43430</v>
      </c>
      <c r="D60">
        <v>51.917499999999997</v>
      </c>
      <c r="E60">
        <v>52.465499999999999</v>
      </c>
      <c r="F60">
        <v>51.695498999999998</v>
      </c>
      <c r="G60">
        <v>52.430999999999997</v>
      </c>
      <c r="H60">
        <v>38856000</v>
      </c>
      <c r="I60">
        <f t="shared" si="2"/>
        <v>0</v>
      </c>
      <c r="J60">
        <f t="shared" si="3"/>
        <v>1.24</v>
      </c>
      <c r="K60" t="str">
        <f t="shared" si="4"/>
        <v>Positive</v>
      </c>
      <c r="L60" s="10">
        <f t="shared" si="5"/>
        <v>2.3592912589879934E-2</v>
      </c>
      <c r="M60" t="str">
        <f t="shared" si="6"/>
        <v/>
      </c>
    </row>
    <row r="61" spans="1:13" x14ac:dyDescent="0.2">
      <c r="A61" s="21" t="s">
        <v>87</v>
      </c>
      <c r="B61" s="21" t="str">
        <f t="shared" si="0"/>
        <v>Tuesday</v>
      </c>
      <c r="C61" s="9">
        <f t="shared" si="1"/>
        <v>43431</v>
      </c>
      <c r="D61">
        <v>52.049999</v>
      </c>
      <c r="E61">
        <v>52.879002</v>
      </c>
      <c r="F61">
        <v>51.924500000000002</v>
      </c>
      <c r="G61">
        <v>52.220500999999999</v>
      </c>
      <c r="H61">
        <v>36064000</v>
      </c>
      <c r="I61">
        <f t="shared" si="2"/>
        <v>0</v>
      </c>
      <c r="J61">
        <f t="shared" si="3"/>
        <v>-0.21</v>
      </c>
      <c r="K61" t="str">
        <f t="shared" si="4"/>
        <v>Negative</v>
      </c>
      <c r="L61" s="10">
        <f t="shared" si="5"/>
        <v>-4.0309647737772313E-3</v>
      </c>
      <c r="M61" t="str">
        <f t="shared" si="6"/>
        <v/>
      </c>
    </row>
    <row r="62" spans="1:13" x14ac:dyDescent="0.2">
      <c r="A62" s="21" t="s">
        <v>88</v>
      </c>
      <c r="B62" s="21" t="str">
        <f t="shared" si="0"/>
        <v>Wednesday</v>
      </c>
      <c r="C62" s="9">
        <f t="shared" si="1"/>
        <v>43432</v>
      </c>
      <c r="D62">
        <v>52.438000000000002</v>
      </c>
      <c r="E62">
        <v>54.341999000000001</v>
      </c>
      <c r="F62">
        <v>51.787998000000002</v>
      </c>
      <c r="G62">
        <v>54.311501</v>
      </c>
      <c r="H62">
        <v>49508000</v>
      </c>
      <c r="I62">
        <f t="shared" si="2"/>
        <v>0</v>
      </c>
      <c r="J62">
        <f t="shared" si="3"/>
        <v>2.09</v>
      </c>
      <c r="K62" t="str">
        <f t="shared" si="4"/>
        <v>Positive</v>
      </c>
      <c r="L62" s="10">
        <f t="shared" si="5"/>
        <v>3.8500132780347959E-2</v>
      </c>
      <c r="M62" t="str">
        <f t="shared" si="6"/>
        <v/>
      </c>
    </row>
    <row r="63" spans="1:13" x14ac:dyDescent="0.2">
      <c r="A63" s="21" t="s">
        <v>89</v>
      </c>
      <c r="B63" s="21" t="str">
        <f t="shared" si="0"/>
        <v>Thursday</v>
      </c>
      <c r="C63" s="9">
        <f t="shared" si="1"/>
        <v>43433</v>
      </c>
      <c r="D63">
        <v>53.804001</v>
      </c>
      <c r="E63">
        <v>54.712249999999997</v>
      </c>
      <c r="F63">
        <v>53.799999</v>
      </c>
      <c r="G63">
        <v>54.415000999999997</v>
      </c>
      <c r="H63">
        <v>29378000</v>
      </c>
      <c r="I63">
        <f t="shared" si="2"/>
        <v>0</v>
      </c>
      <c r="J63">
        <f t="shared" si="3"/>
        <v>0.1</v>
      </c>
      <c r="K63" t="str">
        <f t="shared" si="4"/>
        <v>Positive</v>
      </c>
      <c r="L63" s="10">
        <f t="shared" si="5"/>
        <v>1.9020490323981951E-3</v>
      </c>
      <c r="M63" t="str">
        <f t="shared" si="6"/>
        <v/>
      </c>
    </row>
    <row r="64" spans="1:13" x14ac:dyDescent="0.2">
      <c r="A64" s="21" t="s">
        <v>90</v>
      </c>
      <c r="B64" s="21" t="str">
        <f t="shared" si="0"/>
        <v>Friday</v>
      </c>
      <c r="C64" s="9">
        <f t="shared" si="1"/>
        <v>43434</v>
      </c>
      <c r="D64">
        <v>54.453499000000001</v>
      </c>
      <c r="E64">
        <v>54.778500000000001</v>
      </c>
      <c r="F64">
        <v>53.894001000000003</v>
      </c>
      <c r="G64">
        <v>54.721499999999999</v>
      </c>
      <c r="H64">
        <v>51604000</v>
      </c>
      <c r="I64">
        <f t="shared" si="2"/>
        <v>0</v>
      </c>
      <c r="J64">
        <f t="shared" si="3"/>
        <v>0.31</v>
      </c>
      <c r="K64" t="str">
        <f t="shared" si="4"/>
        <v>Positive</v>
      </c>
      <c r="L64" s="10">
        <f t="shared" si="5"/>
        <v>5.6010708770776073E-3</v>
      </c>
      <c r="M64" t="str">
        <f t="shared" si="6"/>
        <v/>
      </c>
    </row>
    <row r="65" spans="1:13" x14ac:dyDescent="0.2">
      <c r="A65" s="21" t="s">
        <v>91</v>
      </c>
      <c r="B65" s="21" t="str">
        <f t="shared" si="0"/>
        <v>Monday</v>
      </c>
      <c r="C65" s="9">
        <f t="shared" si="1"/>
        <v>43437</v>
      </c>
      <c r="D65">
        <v>56.157001000000001</v>
      </c>
      <c r="E65">
        <v>56.232498</v>
      </c>
      <c r="F65">
        <v>55.183250000000001</v>
      </c>
      <c r="G65">
        <v>55.321499000000003</v>
      </c>
      <c r="H65">
        <v>39824000</v>
      </c>
      <c r="I65">
        <f t="shared" si="2"/>
        <v>0</v>
      </c>
      <c r="J65">
        <f t="shared" si="3"/>
        <v>0.6</v>
      </c>
      <c r="K65" t="str">
        <f t="shared" si="4"/>
        <v>Positive</v>
      </c>
      <c r="L65" s="10">
        <f t="shared" si="5"/>
        <v>1.0845675024098748E-2</v>
      </c>
      <c r="M65" t="str">
        <f t="shared" si="6"/>
        <v/>
      </c>
    </row>
    <row r="66" spans="1:13" x14ac:dyDescent="0.2">
      <c r="A66" s="21" t="s">
        <v>92</v>
      </c>
      <c r="B66" s="21" t="str">
        <f t="shared" si="0"/>
        <v>Tuesday</v>
      </c>
      <c r="C66" s="9">
        <f t="shared" si="1"/>
        <v>43438</v>
      </c>
      <c r="D66">
        <v>55.155997999999997</v>
      </c>
      <c r="E66">
        <v>55.221001000000001</v>
      </c>
      <c r="F66">
        <v>52.499001</v>
      </c>
      <c r="G66">
        <v>52.540999999999997</v>
      </c>
      <c r="H66">
        <v>46904000</v>
      </c>
      <c r="I66">
        <f t="shared" si="2"/>
        <v>0</v>
      </c>
      <c r="J66">
        <f t="shared" si="3"/>
        <v>-2.78</v>
      </c>
      <c r="K66" t="str">
        <f t="shared" si="4"/>
        <v>Negative</v>
      </c>
      <c r="L66" s="10">
        <f t="shared" si="5"/>
        <v>-5.2920557279077407E-2</v>
      </c>
      <c r="M66" t="str">
        <f t="shared" si="6"/>
        <v/>
      </c>
    </row>
    <row r="67" spans="1:13" x14ac:dyDescent="0.2">
      <c r="A67" s="21" t="s">
        <v>93</v>
      </c>
      <c r="B67" s="21" t="str">
        <f t="shared" ref="B67:B130" si="7">LEFT(A67,SEARCH(",",A67)-1)</f>
        <v>Thursday</v>
      </c>
      <c r="C67" s="9">
        <f t="shared" ref="C67:C130" si="8">DATEVALUE(RIGHT(A67,LEN(A67) - SEARCH(",",A67)))</f>
        <v>43440</v>
      </c>
      <c r="D67">
        <v>51.713000999999998</v>
      </c>
      <c r="E67">
        <v>53.560001</v>
      </c>
      <c r="F67">
        <v>51.538502000000001</v>
      </c>
      <c r="G67">
        <v>53.436501</v>
      </c>
      <c r="H67">
        <v>55384000</v>
      </c>
      <c r="I67">
        <f t="shared" ref="I67:I130" si="9">COUNTBLANK(A67:H67)</f>
        <v>0</v>
      </c>
      <c r="J67">
        <f t="shared" ref="J67:J130" si="10">ROUND(IF(ISNUMBER(G66),G67-G66,0),2)</f>
        <v>0.9</v>
      </c>
      <c r="K67" t="str">
        <f t="shared" ref="K67:K130" si="11">IF(J67=0,"Neutral",IF(J67&gt;0,"Positive","Negative"))</f>
        <v>Positive</v>
      </c>
      <c r="L67" s="10">
        <f t="shared" ref="L67:L130" si="12">IF(ISNUMBER(G66),((G67-G66)/G67),0)</f>
        <v>1.6758226740931317E-2</v>
      </c>
      <c r="M67" t="str">
        <f t="shared" ref="M67:M130" si="13">IF(L67&gt;0.05,L67,"")</f>
        <v/>
      </c>
    </row>
    <row r="68" spans="1:13" x14ac:dyDescent="0.2">
      <c r="A68" s="21" t="s">
        <v>94</v>
      </c>
      <c r="B68" s="21" t="str">
        <f t="shared" si="7"/>
        <v>Friday</v>
      </c>
      <c r="C68" s="9">
        <f t="shared" si="8"/>
        <v>43441</v>
      </c>
      <c r="D68">
        <v>53.000500000000002</v>
      </c>
      <c r="E68">
        <v>53.762999999999998</v>
      </c>
      <c r="F68">
        <v>51.424999</v>
      </c>
      <c r="G68">
        <v>51.828999000000003</v>
      </c>
      <c r="H68">
        <v>42024000</v>
      </c>
      <c r="I68">
        <f t="shared" si="9"/>
        <v>0</v>
      </c>
      <c r="J68">
        <f t="shared" si="10"/>
        <v>-1.61</v>
      </c>
      <c r="K68" t="str">
        <f t="shared" si="11"/>
        <v>Negative</v>
      </c>
      <c r="L68" s="10">
        <f t="shared" si="12"/>
        <v>-3.1015493855090594E-2</v>
      </c>
      <c r="M68" t="str">
        <f t="shared" si="13"/>
        <v/>
      </c>
    </row>
    <row r="69" spans="1:13" x14ac:dyDescent="0.2">
      <c r="A69" s="21" t="s">
        <v>95</v>
      </c>
      <c r="B69" s="21" t="str">
        <f t="shared" si="7"/>
        <v>Monday</v>
      </c>
      <c r="C69" s="9">
        <f t="shared" si="8"/>
        <v>43444</v>
      </c>
      <c r="D69">
        <v>51.752499</v>
      </c>
      <c r="E69">
        <v>52.422500999999997</v>
      </c>
      <c r="F69">
        <v>51.164501000000001</v>
      </c>
      <c r="G69">
        <v>51.977500999999997</v>
      </c>
      <c r="H69">
        <v>36154000</v>
      </c>
      <c r="I69">
        <f t="shared" si="9"/>
        <v>0</v>
      </c>
      <c r="J69">
        <f t="shared" si="10"/>
        <v>0.15</v>
      </c>
      <c r="K69" t="str">
        <f t="shared" si="11"/>
        <v>Positive</v>
      </c>
      <c r="L69" s="10">
        <f t="shared" si="12"/>
        <v>2.8570438582646266E-3</v>
      </c>
      <c r="M69" t="str">
        <f t="shared" si="13"/>
        <v/>
      </c>
    </row>
    <row r="70" spans="1:13" x14ac:dyDescent="0.2">
      <c r="A70" s="21" t="s">
        <v>96</v>
      </c>
      <c r="B70" s="21" t="str">
        <f t="shared" si="7"/>
        <v>Tuesday</v>
      </c>
      <c r="C70" s="9">
        <f t="shared" si="8"/>
        <v>43445</v>
      </c>
      <c r="D70">
        <v>52.824500999999998</v>
      </c>
      <c r="E70">
        <v>53.029998999999997</v>
      </c>
      <c r="F70">
        <v>51.992001000000002</v>
      </c>
      <c r="G70">
        <v>52.587502000000001</v>
      </c>
      <c r="H70">
        <v>27894000</v>
      </c>
      <c r="I70">
        <f t="shared" si="9"/>
        <v>0</v>
      </c>
      <c r="J70">
        <f t="shared" si="10"/>
        <v>0.61</v>
      </c>
      <c r="K70" t="str">
        <f t="shared" si="11"/>
        <v>Positive</v>
      </c>
      <c r="L70" s="10">
        <f t="shared" si="12"/>
        <v>1.1599733335879008E-2</v>
      </c>
      <c r="M70" t="str">
        <f t="shared" si="13"/>
        <v/>
      </c>
    </row>
    <row r="71" spans="1:13" x14ac:dyDescent="0.2">
      <c r="A71" s="21" t="s">
        <v>97</v>
      </c>
      <c r="B71" s="21" t="str">
        <f t="shared" si="7"/>
        <v>Wednesday</v>
      </c>
      <c r="C71" s="9">
        <f t="shared" si="8"/>
        <v>43446</v>
      </c>
      <c r="D71">
        <v>53.400002000000001</v>
      </c>
      <c r="E71">
        <v>54.082500000000003</v>
      </c>
      <c r="F71">
        <v>53.139499999999998</v>
      </c>
      <c r="G71">
        <v>53.183998000000003</v>
      </c>
      <c r="H71">
        <v>30476000</v>
      </c>
      <c r="I71">
        <f t="shared" si="9"/>
        <v>0</v>
      </c>
      <c r="J71">
        <f t="shared" si="10"/>
        <v>0.6</v>
      </c>
      <c r="K71" t="str">
        <f t="shared" si="11"/>
        <v>Positive</v>
      </c>
      <c r="L71" s="10">
        <f t="shared" si="12"/>
        <v>1.1215704392889039E-2</v>
      </c>
      <c r="M71" t="str">
        <f t="shared" si="13"/>
        <v/>
      </c>
    </row>
    <row r="72" spans="1:13" x14ac:dyDescent="0.2">
      <c r="A72" s="21" t="s">
        <v>98</v>
      </c>
      <c r="B72" s="21" t="str">
        <f t="shared" si="7"/>
        <v>Thursday</v>
      </c>
      <c r="C72" s="9">
        <f t="shared" si="8"/>
        <v>43447</v>
      </c>
      <c r="D72">
        <v>53.403500000000001</v>
      </c>
      <c r="E72">
        <v>53.987999000000002</v>
      </c>
      <c r="F72">
        <v>52.696499000000003</v>
      </c>
      <c r="G72">
        <v>53.095001000000003</v>
      </c>
      <c r="H72">
        <v>26596000</v>
      </c>
      <c r="I72">
        <f t="shared" si="9"/>
        <v>0</v>
      </c>
      <c r="J72">
        <f t="shared" si="10"/>
        <v>-0.09</v>
      </c>
      <c r="K72" t="str">
        <f t="shared" si="11"/>
        <v>Negative</v>
      </c>
      <c r="L72" s="10">
        <f t="shared" si="12"/>
        <v>-1.6761841665658712E-3</v>
      </c>
      <c r="M72" t="str">
        <f t="shared" si="13"/>
        <v/>
      </c>
    </row>
    <row r="73" spans="1:13" x14ac:dyDescent="0.2">
      <c r="A73" s="21" t="s">
        <v>99</v>
      </c>
      <c r="B73" s="21" t="str">
        <f t="shared" si="7"/>
        <v>Friday</v>
      </c>
      <c r="C73" s="9">
        <f t="shared" si="8"/>
        <v>43448</v>
      </c>
      <c r="D73">
        <v>52.499001</v>
      </c>
      <c r="E73">
        <v>53.130001</v>
      </c>
      <c r="F73">
        <v>52.039501000000001</v>
      </c>
      <c r="G73">
        <v>52.104999999999997</v>
      </c>
      <c r="H73">
        <v>33732000</v>
      </c>
      <c r="I73">
        <f t="shared" si="9"/>
        <v>0</v>
      </c>
      <c r="J73">
        <f t="shared" si="10"/>
        <v>-0.99</v>
      </c>
      <c r="K73" t="str">
        <f t="shared" si="11"/>
        <v>Negative</v>
      </c>
      <c r="L73" s="10">
        <f t="shared" si="12"/>
        <v>-1.9000115152096854E-2</v>
      </c>
      <c r="M73" t="str">
        <f t="shared" si="13"/>
        <v/>
      </c>
    </row>
    <row r="74" spans="1:13" x14ac:dyDescent="0.2">
      <c r="A74" s="21" t="s">
        <v>100</v>
      </c>
      <c r="B74" s="21" t="str">
        <f t="shared" si="7"/>
        <v>Monday</v>
      </c>
      <c r="C74" s="9">
        <f t="shared" si="8"/>
        <v>43451</v>
      </c>
      <c r="D74">
        <v>51.875500000000002</v>
      </c>
      <c r="E74">
        <v>52.657501000000003</v>
      </c>
      <c r="F74">
        <v>50.395000000000003</v>
      </c>
      <c r="G74">
        <v>50.826500000000003</v>
      </c>
      <c r="H74">
        <v>47708000</v>
      </c>
      <c r="I74">
        <f t="shared" si="9"/>
        <v>0</v>
      </c>
      <c r="J74">
        <f t="shared" si="10"/>
        <v>-1.28</v>
      </c>
      <c r="K74" t="str">
        <f t="shared" si="11"/>
        <v>Negative</v>
      </c>
      <c r="L74" s="10">
        <f t="shared" si="12"/>
        <v>-2.515420105653535E-2</v>
      </c>
      <c r="M74" t="str">
        <f t="shared" si="13"/>
        <v/>
      </c>
    </row>
    <row r="75" spans="1:13" x14ac:dyDescent="0.2">
      <c r="A75" s="21" t="s">
        <v>101</v>
      </c>
      <c r="B75" s="21" t="str">
        <f t="shared" si="7"/>
        <v>Tuesday</v>
      </c>
      <c r="C75" s="9">
        <f t="shared" si="8"/>
        <v>43452</v>
      </c>
      <c r="D75">
        <v>51.304501000000002</v>
      </c>
      <c r="E75">
        <v>52.473998999999999</v>
      </c>
      <c r="F75">
        <v>51.071998999999998</v>
      </c>
      <c r="G75">
        <v>51.435501000000002</v>
      </c>
      <c r="H75">
        <v>43850000</v>
      </c>
      <c r="I75">
        <f t="shared" si="9"/>
        <v>0</v>
      </c>
      <c r="J75">
        <f t="shared" si="10"/>
        <v>0.61</v>
      </c>
      <c r="K75" t="str">
        <f t="shared" si="11"/>
        <v>Positive</v>
      </c>
      <c r="L75" s="10">
        <f t="shared" si="12"/>
        <v>1.184009075754894E-2</v>
      </c>
      <c r="M75" t="str">
        <f t="shared" si="13"/>
        <v/>
      </c>
    </row>
    <row r="76" spans="1:13" x14ac:dyDescent="0.2">
      <c r="A76" s="21" t="s">
        <v>102</v>
      </c>
      <c r="B76" s="21" t="str">
        <f t="shared" si="7"/>
        <v>Wednesday</v>
      </c>
      <c r="C76" s="9">
        <f t="shared" si="8"/>
        <v>43453</v>
      </c>
      <c r="D76">
        <v>51.699500999999998</v>
      </c>
      <c r="E76">
        <v>53.099997999999999</v>
      </c>
      <c r="F76">
        <v>50.402500000000003</v>
      </c>
      <c r="G76">
        <v>51.150500999999998</v>
      </c>
      <c r="H76">
        <v>49586000</v>
      </c>
      <c r="I76">
        <f t="shared" si="9"/>
        <v>0</v>
      </c>
      <c r="J76">
        <f t="shared" si="10"/>
        <v>-0.28999999999999998</v>
      </c>
      <c r="K76" t="str">
        <f t="shared" si="11"/>
        <v>Negative</v>
      </c>
      <c r="L76" s="10">
        <f t="shared" si="12"/>
        <v>-5.5717929331719294E-3</v>
      </c>
      <c r="M76" t="str">
        <f t="shared" si="13"/>
        <v/>
      </c>
    </row>
    <row r="77" spans="1:13" x14ac:dyDescent="0.2">
      <c r="A77" s="21" t="s">
        <v>103</v>
      </c>
      <c r="B77" s="21" t="str">
        <f t="shared" si="7"/>
        <v>Thursday</v>
      </c>
      <c r="C77" s="9">
        <f t="shared" si="8"/>
        <v>43454</v>
      </c>
      <c r="D77">
        <v>50.906502000000003</v>
      </c>
      <c r="E77">
        <v>51.710999000000001</v>
      </c>
      <c r="F77">
        <v>49.818001000000002</v>
      </c>
      <c r="G77">
        <v>50.470500999999999</v>
      </c>
      <c r="H77">
        <v>53470000</v>
      </c>
      <c r="I77">
        <f t="shared" si="9"/>
        <v>0</v>
      </c>
      <c r="J77">
        <f t="shared" si="10"/>
        <v>-0.68</v>
      </c>
      <c r="K77" t="str">
        <f t="shared" si="11"/>
        <v>Negative</v>
      </c>
      <c r="L77" s="10">
        <f t="shared" si="12"/>
        <v>-1.3473216760816377E-2</v>
      </c>
      <c r="M77" t="str">
        <f t="shared" si="13"/>
        <v/>
      </c>
    </row>
    <row r="78" spans="1:13" x14ac:dyDescent="0.2">
      <c r="A78" s="21" t="s">
        <v>104</v>
      </c>
      <c r="B78" s="21" t="str">
        <f t="shared" si="7"/>
        <v>Friday</v>
      </c>
      <c r="C78" s="9">
        <f t="shared" si="8"/>
        <v>43455</v>
      </c>
      <c r="D78">
        <v>50.764999000000003</v>
      </c>
      <c r="E78">
        <v>51.201000000000001</v>
      </c>
      <c r="F78">
        <v>48.684502000000002</v>
      </c>
      <c r="G78">
        <v>48.977001000000001</v>
      </c>
      <c r="H78">
        <v>91920000</v>
      </c>
      <c r="I78">
        <f t="shared" si="9"/>
        <v>0</v>
      </c>
      <c r="J78">
        <f t="shared" si="10"/>
        <v>-1.49</v>
      </c>
      <c r="K78" t="str">
        <f t="shared" si="11"/>
        <v>Negative</v>
      </c>
      <c r="L78" s="10">
        <f t="shared" si="12"/>
        <v>-3.0493904679872036E-2</v>
      </c>
      <c r="M78" t="str">
        <f t="shared" si="13"/>
        <v/>
      </c>
    </row>
    <row r="79" spans="1:13" x14ac:dyDescent="0.2">
      <c r="A79" s="21" t="s">
        <v>105</v>
      </c>
      <c r="B79" s="21" t="str">
        <f t="shared" si="7"/>
        <v>Monday</v>
      </c>
      <c r="C79" s="9">
        <f t="shared" si="8"/>
        <v>43458</v>
      </c>
      <c r="D79">
        <v>48.695</v>
      </c>
      <c r="E79">
        <v>50.176997999999998</v>
      </c>
      <c r="F79">
        <v>48.505501000000002</v>
      </c>
      <c r="G79">
        <v>48.811000999999997</v>
      </c>
      <c r="H79">
        <v>31806000</v>
      </c>
      <c r="I79">
        <f t="shared" si="9"/>
        <v>0</v>
      </c>
      <c r="J79">
        <f t="shared" si="10"/>
        <v>-0.17</v>
      </c>
      <c r="K79" t="str">
        <f t="shared" si="11"/>
        <v>Negative</v>
      </c>
      <c r="L79" s="10">
        <f t="shared" si="12"/>
        <v>-3.400872684418087E-3</v>
      </c>
      <c r="M79" t="str">
        <f t="shared" si="13"/>
        <v/>
      </c>
    </row>
    <row r="80" spans="1:13" x14ac:dyDescent="0.2">
      <c r="A80" s="21" t="s">
        <v>106</v>
      </c>
      <c r="B80" s="21" t="str">
        <f t="shared" si="7"/>
        <v>Wednesday</v>
      </c>
      <c r="C80" s="9">
        <f t="shared" si="8"/>
        <v>43460</v>
      </c>
      <c r="D80">
        <v>49.450499999999998</v>
      </c>
      <c r="E80">
        <v>52</v>
      </c>
      <c r="F80">
        <v>49.150002000000001</v>
      </c>
      <c r="G80">
        <v>51.972999999999999</v>
      </c>
      <c r="H80">
        <v>47466000</v>
      </c>
      <c r="I80">
        <f t="shared" si="9"/>
        <v>0</v>
      </c>
      <c r="J80">
        <f t="shared" si="10"/>
        <v>3.16</v>
      </c>
      <c r="K80" t="str">
        <f t="shared" si="11"/>
        <v>Positive</v>
      </c>
      <c r="L80" s="10">
        <f t="shared" si="12"/>
        <v>6.0839262694091192E-2</v>
      </c>
      <c r="M80">
        <f t="shared" si="13"/>
        <v>6.0839262694091192E-2</v>
      </c>
    </row>
    <row r="81" spans="1:13" x14ac:dyDescent="0.2">
      <c r="A81" s="21" t="s">
        <v>107</v>
      </c>
      <c r="B81" s="21" t="str">
        <f t="shared" si="7"/>
        <v>Thursday</v>
      </c>
      <c r="C81" s="9">
        <f t="shared" si="8"/>
        <v>43461</v>
      </c>
      <c r="D81">
        <v>50.857498</v>
      </c>
      <c r="E81">
        <v>52.194499999999998</v>
      </c>
      <c r="F81">
        <v>49.849997999999999</v>
      </c>
      <c r="G81">
        <v>52.194000000000003</v>
      </c>
      <c r="H81">
        <v>42196000</v>
      </c>
      <c r="I81">
        <f t="shared" si="9"/>
        <v>0</v>
      </c>
      <c r="J81">
        <f t="shared" si="10"/>
        <v>0.22</v>
      </c>
      <c r="K81" t="str">
        <f t="shared" si="11"/>
        <v>Positive</v>
      </c>
      <c r="L81" s="10">
        <f t="shared" si="12"/>
        <v>4.2342031651148339E-3</v>
      </c>
      <c r="M81" t="str">
        <f t="shared" si="13"/>
        <v/>
      </c>
    </row>
    <row r="82" spans="1:13" x14ac:dyDescent="0.2">
      <c r="A82" s="21" t="s">
        <v>108</v>
      </c>
      <c r="B82" s="21" t="str">
        <f t="shared" si="7"/>
        <v>Friday</v>
      </c>
      <c r="C82" s="9">
        <f t="shared" si="8"/>
        <v>43462</v>
      </c>
      <c r="D82">
        <v>52.480998999999997</v>
      </c>
      <c r="E82">
        <v>52.777999999999999</v>
      </c>
      <c r="F82">
        <v>51.654998999999997</v>
      </c>
      <c r="G82">
        <v>51.853999999999999</v>
      </c>
      <c r="H82">
        <v>28296000</v>
      </c>
      <c r="I82">
        <f t="shared" si="9"/>
        <v>0</v>
      </c>
      <c r="J82">
        <f t="shared" si="10"/>
        <v>-0.34</v>
      </c>
      <c r="K82" t="str">
        <f t="shared" si="11"/>
        <v>Negative</v>
      </c>
      <c r="L82" s="10">
        <f t="shared" si="12"/>
        <v>-6.5568712153354306E-3</v>
      </c>
      <c r="M82" t="str">
        <f t="shared" si="13"/>
        <v/>
      </c>
    </row>
    <row r="83" spans="1:13" x14ac:dyDescent="0.2">
      <c r="A83" s="21" t="s">
        <v>109</v>
      </c>
      <c r="B83" s="21" t="str">
        <f t="shared" si="7"/>
        <v>Monday</v>
      </c>
      <c r="C83" s="9">
        <f t="shared" si="8"/>
        <v>43465</v>
      </c>
      <c r="D83">
        <v>52.548000000000002</v>
      </c>
      <c r="E83">
        <v>52.634998000000003</v>
      </c>
      <c r="F83">
        <v>51.179501000000002</v>
      </c>
      <c r="G83">
        <v>51.780498999999999</v>
      </c>
      <c r="H83">
        <v>29866000</v>
      </c>
      <c r="I83">
        <f t="shared" si="9"/>
        <v>0</v>
      </c>
      <c r="J83">
        <f t="shared" si="10"/>
        <v>-7.0000000000000007E-2</v>
      </c>
      <c r="K83" t="str">
        <f t="shared" si="11"/>
        <v>Negative</v>
      </c>
      <c r="L83" s="10">
        <f t="shared" si="12"/>
        <v>-1.4194726087904301E-3</v>
      </c>
      <c r="M83" t="str">
        <f t="shared" si="13"/>
        <v/>
      </c>
    </row>
    <row r="84" spans="1:13" x14ac:dyDescent="0.2">
      <c r="A84" s="21" t="s">
        <v>110</v>
      </c>
      <c r="B84" s="21" t="str">
        <f t="shared" si="7"/>
        <v>Wednesday</v>
      </c>
      <c r="C84" s="9">
        <f t="shared" si="8"/>
        <v>43467</v>
      </c>
      <c r="D84">
        <v>50.828499000000001</v>
      </c>
      <c r="E84">
        <v>52.616000999999997</v>
      </c>
      <c r="F84">
        <v>50.785499999999999</v>
      </c>
      <c r="G84">
        <v>52.292499999999997</v>
      </c>
      <c r="H84">
        <v>30652000</v>
      </c>
      <c r="I84">
        <f t="shared" si="9"/>
        <v>0</v>
      </c>
      <c r="J84">
        <f t="shared" si="10"/>
        <v>0.51</v>
      </c>
      <c r="K84" t="str">
        <f t="shared" si="11"/>
        <v>Positive</v>
      </c>
      <c r="L84" s="10">
        <f t="shared" si="12"/>
        <v>9.7910981498302418E-3</v>
      </c>
      <c r="M84" t="str">
        <f t="shared" si="13"/>
        <v/>
      </c>
    </row>
    <row r="85" spans="1:13" x14ac:dyDescent="0.2">
      <c r="A85" s="21" t="s">
        <v>111</v>
      </c>
      <c r="B85" s="21" t="str">
        <f t="shared" si="7"/>
        <v>Thursday</v>
      </c>
      <c r="C85" s="9">
        <f t="shared" si="8"/>
        <v>43468</v>
      </c>
      <c r="D85">
        <v>52.049999</v>
      </c>
      <c r="E85">
        <v>52.848998999999999</v>
      </c>
      <c r="F85">
        <v>50.703499000000001</v>
      </c>
      <c r="G85">
        <v>50.803001000000002</v>
      </c>
      <c r="H85">
        <v>36822000</v>
      </c>
      <c r="I85">
        <f t="shared" si="9"/>
        <v>0</v>
      </c>
      <c r="J85">
        <f t="shared" si="10"/>
        <v>-1.49</v>
      </c>
      <c r="K85" t="str">
        <f t="shared" si="11"/>
        <v>Negative</v>
      </c>
      <c r="L85" s="10">
        <f t="shared" si="12"/>
        <v>-2.9319114435779E-2</v>
      </c>
      <c r="M85" t="str">
        <f t="shared" si="13"/>
        <v/>
      </c>
    </row>
    <row r="86" spans="1:13" x14ac:dyDescent="0.2">
      <c r="A86" s="21" t="s">
        <v>112</v>
      </c>
      <c r="B86" s="21" t="str">
        <f t="shared" si="7"/>
        <v>Friday</v>
      </c>
      <c r="C86" s="9">
        <f t="shared" si="8"/>
        <v>43469</v>
      </c>
      <c r="D86">
        <v>51.629500999999998</v>
      </c>
      <c r="E86">
        <v>53.542000000000002</v>
      </c>
      <c r="F86">
        <v>51.370899000000001</v>
      </c>
      <c r="G86">
        <v>53.535499999999999</v>
      </c>
      <c r="H86">
        <v>41878000</v>
      </c>
      <c r="I86">
        <f t="shared" si="9"/>
        <v>0</v>
      </c>
      <c r="J86">
        <f t="shared" si="10"/>
        <v>2.73</v>
      </c>
      <c r="K86" t="str">
        <f t="shared" si="11"/>
        <v>Positive</v>
      </c>
      <c r="L86" s="10">
        <f t="shared" si="12"/>
        <v>5.1040879416461918E-2</v>
      </c>
      <c r="M86">
        <f t="shared" si="13"/>
        <v>5.1040879416461918E-2</v>
      </c>
    </row>
    <row r="87" spans="1:13" x14ac:dyDescent="0.2">
      <c r="A87" s="21" t="s">
        <v>113</v>
      </c>
      <c r="B87" s="21" t="str">
        <f t="shared" si="7"/>
        <v>Monday</v>
      </c>
      <c r="C87" s="9">
        <f t="shared" si="8"/>
        <v>43472</v>
      </c>
      <c r="D87">
        <v>53.575001</v>
      </c>
      <c r="E87">
        <v>53.700001</v>
      </c>
      <c r="F87">
        <v>52.737999000000002</v>
      </c>
      <c r="G87">
        <v>53.419497999999997</v>
      </c>
      <c r="H87">
        <v>39638000</v>
      </c>
      <c r="I87">
        <f t="shared" si="9"/>
        <v>0</v>
      </c>
      <c r="J87">
        <f t="shared" si="10"/>
        <v>-0.12</v>
      </c>
      <c r="K87" t="str">
        <f t="shared" si="11"/>
        <v>Negative</v>
      </c>
      <c r="L87" s="10">
        <f t="shared" si="12"/>
        <v>-2.1715292045612583E-3</v>
      </c>
      <c r="M87" t="str">
        <f t="shared" si="13"/>
        <v/>
      </c>
    </row>
    <row r="88" spans="1:13" x14ac:dyDescent="0.2">
      <c r="A88" s="21" t="s">
        <v>114</v>
      </c>
      <c r="B88" s="21" t="str">
        <f t="shared" si="7"/>
        <v>Tuesday</v>
      </c>
      <c r="C88" s="9">
        <f t="shared" si="8"/>
        <v>43473</v>
      </c>
      <c r="D88">
        <v>53.805500000000002</v>
      </c>
      <c r="E88">
        <v>54.228000999999999</v>
      </c>
      <c r="F88">
        <v>53.026501000000003</v>
      </c>
      <c r="G88">
        <v>53.813999000000003</v>
      </c>
      <c r="H88">
        <v>35298000</v>
      </c>
      <c r="I88">
        <f t="shared" si="9"/>
        <v>0</v>
      </c>
      <c r="J88">
        <f t="shared" si="10"/>
        <v>0.39</v>
      </c>
      <c r="K88" t="str">
        <f t="shared" si="11"/>
        <v>Positive</v>
      </c>
      <c r="L88" s="10">
        <f t="shared" si="12"/>
        <v>7.3308248286845451E-3</v>
      </c>
      <c r="M88" t="str">
        <f t="shared" si="13"/>
        <v/>
      </c>
    </row>
    <row r="89" spans="1:13" x14ac:dyDescent="0.2">
      <c r="A89" s="21" t="s">
        <v>115</v>
      </c>
      <c r="B89" s="21" t="str">
        <f t="shared" si="7"/>
        <v>Wednesday</v>
      </c>
      <c r="C89" s="9">
        <f t="shared" si="8"/>
        <v>43474</v>
      </c>
      <c r="D89">
        <v>54.082500000000003</v>
      </c>
      <c r="E89">
        <v>54.131500000000003</v>
      </c>
      <c r="F89">
        <v>53.32</v>
      </c>
      <c r="G89">
        <v>53.733001999999999</v>
      </c>
      <c r="H89">
        <v>23986000</v>
      </c>
      <c r="I89">
        <f t="shared" si="9"/>
        <v>0</v>
      </c>
      <c r="J89">
        <f t="shared" si="10"/>
        <v>-0.08</v>
      </c>
      <c r="K89" t="str">
        <f t="shared" si="11"/>
        <v>Negative</v>
      </c>
      <c r="L89" s="10">
        <f t="shared" si="12"/>
        <v>-1.5073976324643753E-3</v>
      </c>
      <c r="M89" t="str">
        <f t="shared" si="13"/>
        <v/>
      </c>
    </row>
    <row r="90" spans="1:13" x14ac:dyDescent="0.2">
      <c r="A90" s="21" t="s">
        <v>116</v>
      </c>
      <c r="B90" s="21" t="str">
        <f t="shared" si="7"/>
        <v>Thursday</v>
      </c>
      <c r="C90" s="9">
        <f t="shared" si="8"/>
        <v>43475</v>
      </c>
      <c r="D90">
        <v>53.382998999999998</v>
      </c>
      <c r="E90">
        <v>53.557499</v>
      </c>
      <c r="F90">
        <v>52.885502000000002</v>
      </c>
      <c r="G90">
        <v>53.516499000000003</v>
      </c>
      <c r="H90">
        <v>29128000</v>
      </c>
      <c r="I90">
        <f t="shared" si="9"/>
        <v>0</v>
      </c>
      <c r="J90">
        <f t="shared" si="10"/>
        <v>-0.22</v>
      </c>
      <c r="K90" t="str">
        <f t="shared" si="11"/>
        <v>Negative</v>
      </c>
      <c r="L90" s="10">
        <f t="shared" si="12"/>
        <v>-4.045537433231495E-3</v>
      </c>
      <c r="M90" t="str">
        <f t="shared" si="13"/>
        <v/>
      </c>
    </row>
    <row r="91" spans="1:13" x14ac:dyDescent="0.2">
      <c r="A91" s="21" t="s">
        <v>117</v>
      </c>
      <c r="B91" s="21" t="str">
        <f t="shared" si="7"/>
        <v>Friday</v>
      </c>
      <c r="C91" s="9">
        <f t="shared" si="8"/>
        <v>43476</v>
      </c>
      <c r="D91">
        <v>53.158999999999999</v>
      </c>
      <c r="E91">
        <v>53.188751000000003</v>
      </c>
      <c r="F91">
        <v>52.423999999999999</v>
      </c>
      <c r="G91">
        <v>52.859501000000002</v>
      </c>
      <c r="H91">
        <v>30416000</v>
      </c>
      <c r="I91">
        <f t="shared" si="9"/>
        <v>0</v>
      </c>
      <c r="J91">
        <f t="shared" si="10"/>
        <v>-0.66</v>
      </c>
      <c r="K91" t="str">
        <f t="shared" si="11"/>
        <v>Negative</v>
      </c>
      <c r="L91" s="10">
        <f t="shared" si="12"/>
        <v>-1.2429137384403261E-2</v>
      </c>
      <c r="M91" t="str">
        <f t="shared" si="13"/>
        <v/>
      </c>
    </row>
    <row r="92" spans="1:13" x14ac:dyDescent="0.2">
      <c r="A92" s="21" t="s">
        <v>118</v>
      </c>
      <c r="B92" s="21" t="str">
        <f t="shared" si="7"/>
        <v>Monday</v>
      </c>
      <c r="C92" s="9">
        <f t="shared" si="8"/>
        <v>43479</v>
      </c>
      <c r="D92">
        <v>52.346001000000001</v>
      </c>
      <c r="E92">
        <v>52.576500000000003</v>
      </c>
      <c r="F92">
        <v>52.062752000000003</v>
      </c>
      <c r="G92">
        <v>52.234501000000002</v>
      </c>
      <c r="H92">
        <v>22886000</v>
      </c>
      <c r="I92">
        <f t="shared" si="9"/>
        <v>0</v>
      </c>
      <c r="J92">
        <f t="shared" si="10"/>
        <v>-0.63</v>
      </c>
      <c r="K92" t="str">
        <f t="shared" si="11"/>
        <v>Negative</v>
      </c>
      <c r="L92" s="10">
        <f t="shared" si="12"/>
        <v>-1.196527176549461E-2</v>
      </c>
      <c r="M92" t="str">
        <f t="shared" si="13"/>
        <v/>
      </c>
    </row>
    <row r="93" spans="1:13" x14ac:dyDescent="0.2">
      <c r="A93" s="21" t="s">
        <v>119</v>
      </c>
      <c r="B93" s="21" t="str">
        <f t="shared" si="7"/>
        <v>Tuesday</v>
      </c>
      <c r="C93" s="9">
        <f t="shared" si="8"/>
        <v>43480</v>
      </c>
      <c r="D93">
        <v>52.508499</v>
      </c>
      <c r="E93">
        <v>54.002499</v>
      </c>
      <c r="F93">
        <v>52.367001000000002</v>
      </c>
      <c r="G93">
        <v>53.857498</v>
      </c>
      <c r="H93">
        <v>29272000</v>
      </c>
      <c r="I93">
        <f t="shared" si="9"/>
        <v>0</v>
      </c>
      <c r="J93">
        <f t="shared" si="10"/>
        <v>1.62</v>
      </c>
      <c r="K93" t="str">
        <f t="shared" si="11"/>
        <v>Positive</v>
      </c>
      <c r="L93" s="10">
        <f t="shared" si="12"/>
        <v>3.0135024096366266E-2</v>
      </c>
      <c r="M93" t="str">
        <f t="shared" si="13"/>
        <v/>
      </c>
    </row>
    <row r="94" spans="1:13" x14ac:dyDescent="0.2">
      <c r="A94" s="21" t="s">
        <v>120</v>
      </c>
      <c r="B94" s="21" t="str">
        <f t="shared" si="7"/>
        <v>Wednesday</v>
      </c>
      <c r="C94" s="9">
        <f t="shared" si="8"/>
        <v>43481</v>
      </c>
      <c r="D94">
        <v>54</v>
      </c>
      <c r="E94">
        <v>54.618752000000001</v>
      </c>
      <c r="F94">
        <v>53.966999000000001</v>
      </c>
      <c r="G94">
        <v>54.048499999999997</v>
      </c>
      <c r="H94">
        <v>26636000</v>
      </c>
      <c r="I94">
        <f t="shared" si="9"/>
        <v>0</v>
      </c>
      <c r="J94">
        <f t="shared" si="10"/>
        <v>0.19</v>
      </c>
      <c r="K94" t="str">
        <f t="shared" si="11"/>
        <v>Positive</v>
      </c>
      <c r="L94" s="10">
        <f t="shared" si="12"/>
        <v>3.5339001082360742E-3</v>
      </c>
      <c r="M94" t="str">
        <f t="shared" si="13"/>
        <v/>
      </c>
    </row>
    <row r="95" spans="1:13" x14ac:dyDescent="0.2">
      <c r="A95" s="21" t="s">
        <v>121</v>
      </c>
      <c r="B95" s="21" t="str">
        <f t="shared" si="7"/>
        <v>Thursday</v>
      </c>
      <c r="C95" s="9">
        <f t="shared" si="8"/>
        <v>43482</v>
      </c>
      <c r="D95">
        <v>53.973498999999997</v>
      </c>
      <c r="E95">
        <v>54.59</v>
      </c>
      <c r="F95">
        <v>53.674999</v>
      </c>
      <c r="G95">
        <v>54.494999</v>
      </c>
      <c r="H95">
        <v>24854000</v>
      </c>
      <c r="I95">
        <f t="shared" si="9"/>
        <v>0</v>
      </c>
      <c r="J95">
        <f t="shared" si="10"/>
        <v>0.45</v>
      </c>
      <c r="K95" t="str">
        <f t="shared" si="11"/>
        <v>Positive</v>
      </c>
      <c r="L95" s="10">
        <f t="shared" si="12"/>
        <v>8.193394039698999E-3</v>
      </c>
      <c r="M95" t="str">
        <f t="shared" si="13"/>
        <v/>
      </c>
    </row>
    <row r="96" spans="1:13" x14ac:dyDescent="0.2">
      <c r="A96" s="21" t="s">
        <v>122</v>
      </c>
      <c r="B96" s="21" t="str">
        <f t="shared" si="7"/>
        <v>Friday</v>
      </c>
      <c r="C96" s="9">
        <f t="shared" si="8"/>
        <v>43483</v>
      </c>
      <c r="D96">
        <v>55</v>
      </c>
      <c r="E96">
        <v>55.417599000000003</v>
      </c>
      <c r="F96">
        <v>54.544998</v>
      </c>
      <c r="G96">
        <v>54.912998000000002</v>
      </c>
      <c r="H96">
        <v>39112000</v>
      </c>
      <c r="I96">
        <f t="shared" si="9"/>
        <v>0</v>
      </c>
      <c r="J96">
        <f t="shared" si="10"/>
        <v>0.42</v>
      </c>
      <c r="K96" t="str">
        <f t="shared" si="11"/>
        <v>Positive</v>
      </c>
      <c r="L96" s="10">
        <f t="shared" si="12"/>
        <v>7.6120229312557613E-3</v>
      </c>
      <c r="M96" t="str">
        <f t="shared" si="13"/>
        <v/>
      </c>
    </row>
    <row r="97" spans="1:13" x14ac:dyDescent="0.2">
      <c r="A97" s="21" t="s">
        <v>123</v>
      </c>
      <c r="B97" s="21" t="str">
        <f t="shared" si="7"/>
        <v>Tuesday</v>
      </c>
      <c r="C97" s="9">
        <f t="shared" si="8"/>
        <v>43487</v>
      </c>
      <c r="D97">
        <v>54.400002000000001</v>
      </c>
      <c r="E97">
        <v>54.575499999999998</v>
      </c>
      <c r="F97">
        <v>53.173499999999997</v>
      </c>
      <c r="G97">
        <v>53.526001000000001</v>
      </c>
      <c r="H97">
        <v>32270000</v>
      </c>
      <c r="I97">
        <f t="shared" si="9"/>
        <v>0</v>
      </c>
      <c r="J97">
        <f t="shared" si="10"/>
        <v>-1.39</v>
      </c>
      <c r="K97" t="str">
        <f t="shared" si="11"/>
        <v>Negative</v>
      </c>
      <c r="L97" s="10">
        <f t="shared" si="12"/>
        <v>-2.5912584054243112E-2</v>
      </c>
      <c r="M97" t="str">
        <f t="shared" si="13"/>
        <v/>
      </c>
    </row>
    <row r="98" spans="1:13" x14ac:dyDescent="0.2">
      <c r="A98" s="21" t="s">
        <v>124</v>
      </c>
      <c r="B98" s="21" t="str">
        <f t="shared" si="7"/>
        <v>Wednesday</v>
      </c>
      <c r="C98" s="9">
        <f t="shared" si="8"/>
        <v>43488</v>
      </c>
      <c r="D98">
        <v>53.8675</v>
      </c>
      <c r="E98">
        <v>54.246498000000003</v>
      </c>
      <c r="F98">
        <v>52.987499</v>
      </c>
      <c r="G98">
        <v>53.778500000000001</v>
      </c>
      <c r="H98">
        <v>19340000</v>
      </c>
      <c r="I98">
        <f t="shared" si="9"/>
        <v>0</v>
      </c>
      <c r="J98">
        <f t="shared" si="10"/>
        <v>0.25</v>
      </c>
      <c r="K98" t="str">
        <f t="shared" si="11"/>
        <v>Positive</v>
      </c>
      <c r="L98" s="10">
        <f t="shared" si="12"/>
        <v>4.6951662839238772E-3</v>
      </c>
      <c r="M98" t="str">
        <f t="shared" si="13"/>
        <v/>
      </c>
    </row>
    <row r="99" spans="1:13" x14ac:dyDescent="0.2">
      <c r="A99" s="21" t="s">
        <v>125</v>
      </c>
      <c r="B99" s="21" t="str">
        <f t="shared" si="7"/>
        <v>Thursday</v>
      </c>
      <c r="C99" s="9">
        <f t="shared" si="8"/>
        <v>43489</v>
      </c>
      <c r="D99">
        <v>53.824001000000003</v>
      </c>
      <c r="E99">
        <v>53.973751</v>
      </c>
      <c r="F99">
        <v>53.034999999999997</v>
      </c>
      <c r="G99">
        <v>53.695</v>
      </c>
      <c r="H99">
        <v>27226000</v>
      </c>
      <c r="I99">
        <f t="shared" si="9"/>
        <v>0</v>
      </c>
      <c r="J99">
        <f t="shared" si="10"/>
        <v>-0.08</v>
      </c>
      <c r="K99" t="str">
        <f t="shared" si="11"/>
        <v>Negative</v>
      </c>
      <c r="L99" s="10">
        <f t="shared" si="12"/>
        <v>-1.5550796163516303E-3</v>
      </c>
      <c r="M99" t="str">
        <f t="shared" si="13"/>
        <v/>
      </c>
    </row>
    <row r="100" spans="1:13" x14ac:dyDescent="0.2">
      <c r="A100" s="21" t="s">
        <v>126</v>
      </c>
      <c r="B100" s="21" t="str">
        <f t="shared" si="7"/>
        <v>Friday</v>
      </c>
      <c r="C100" s="9">
        <f t="shared" si="8"/>
        <v>43490</v>
      </c>
      <c r="D100">
        <v>54.25</v>
      </c>
      <c r="E100">
        <v>54.700001</v>
      </c>
      <c r="F100">
        <v>54.091000000000001</v>
      </c>
      <c r="G100">
        <v>54.549500000000002</v>
      </c>
      <c r="H100">
        <v>22382000</v>
      </c>
      <c r="I100">
        <f t="shared" si="9"/>
        <v>0</v>
      </c>
      <c r="J100">
        <f t="shared" si="10"/>
        <v>0.85</v>
      </c>
      <c r="K100" t="str">
        <f t="shared" si="11"/>
        <v>Positive</v>
      </c>
      <c r="L100" s="10">
        <f t="shared" si="12"/>
        <v>1.5664671536861043E-2</v>
      </c>
      <c r="M100" t="str">
        <f t="shared" si="13"/>
        <v/>
      </c>
    </row>
    <row r="101" spans="1:13" x14ac:dyDescent="0.2">
      <c r="A101" s="21" t="s">
        <v>127</v>
      </c>
      <c r="B101" s="21" t="str">
        <f t="shared" si="7"/>
        <v>Monday</v>
      </c>
      <c r="C101" s="9">
        <f t="shared" si="8"/>
        <v>43493</v>
      </c>
      <c r="D101">
        <v>54.005501000000002</v>
      </c>
      <c r="E101">
        <v>54.150002000000001</v>
      </c>
      <c r="F101">
        <v>53.189999</v>
      </c>
      <c r="G101">
        <v>53.504002</v>
      </c>
      <c r="H101">
        <v>25686000</v>
      </c>
      <c r="I101">
        <f t="shared" si="9"/>
        <v>0</v>
      </c>
      <c r="J101">
        <f t="shared" si="10"/>
        <v>-1.05</v>
      </c>
      <c r="K101" t="str">
        <f t="shared" si="11"/>
        <v>Negative</v>
      </c>
      <c r="L101" s="10">
        <f t="shared" si="12"/>
        <v>-1.9540556984877545E-2</v>
      </c>
      <c r="M101" t="str">
        <f t="shared" si="13"/>
        <v/>
      </c>
    </row>
    <row r="102" spans="1:13" x14ac:dyDescent="0.2">
      <c r="A102" s="21" t="s">
        <v>128</v>
      </c>
      <c r="B102" s="21" t="str">
        <f t="shared" si="7"/>
        <v>Tuesday</v>
      </c>
      <c r="C102" s="9">
        <f t="shared" si="8"/>
        <v>43494</v>
      </c>
      <c r="D102">
        <v>53.633999000000003</v>
      </c>
      <c r="E102">
        <v>53.7575</v>
      </c>
      <c r="F102">
        <v>52.793250999999998</v>
      </c>
      <c r="G102">
        <v>53.030997999999997</v>
      </c>
      <c r="H102">
        <v>20436000</v>
      </c>
      <c r="I102">
        <f t="shared" si="9"/>
        <v>0</v>
      </c>
      <c r="J102">
        <f t="shared" si="10"/>
        <v>-0.47</v>
      </c>
      <c r="K102" t="str">
        <f t="shared" si="11"/>
        <v>Negative</v>
      </c>
      <c r="L102" s="10">
        <f t="shared" si="12"/>
        <v>-8.9193871101577813E-3</v>
      </c>
      <c r="M102" t="str">
        <f t="shared" si="13"/>
        <v/>
      </c>
    </row>
    <row r="103" spans="1:13" x14ac:dyDescent="0.2">
      <c r="A103" s="21" t="s">
        <v>129</v>
      </c>
      <c r="B103" s="21" t="str">
        <f t="shared" si="7"/>
        <v>Wednesday</v>
      </c>
      <c r="C103" s="9">
        <f t="shared" si="8"/>
        <v>43495</v>
      </c>
      <c r="D103">
        <v>53.421500999999999</v>
      </c>
      <c r="E103">
        <v>54.549999</v>
      </c>
      <c r="F103">
        <v>53.342498999999997</v>
      </c>
      <c r="G103">
        <v>54.452998999999998</v>
      </c>
      <c r="H103">
        <v>25596000</v>
      </c>
      <c r="I103">
        <f t="shared" si="9"/>
        <v>0</v>
      </c>
      <c r="J103">
        <f t="shared" si="10"/>
        <v>1.42</v>
      </c>
      <c r="K103" t="str">
        <f t="shared" si="11"/>
        <v>Positive</v>
      </c>
      <c r="L103" s="10">
        <f t="shared" si="12"/>
        <v>2.611428252096825E-2</v>
      </c>
      <c r="M103" t="str">
        <f t="shared" si="13"/>
        <v/>
      </c>
    </row>
    <row r="104" spans="1:13" x14ac:dyDescent="0.2">
      <c r="A104" s="21" t="s">
        <v>130</v>
      </c>
      <c r="B104" s="21" t="str">
        <f t="shared" si="7"/>
        <v>Thursday</v>
      </c>
      <c r="C104" s="9">
        <f t="shared" si="8"/>
        <v>43496</v>
      </c>
      <c r="D104">
        <v>55.150002000000001</v>
      </c>
      <c r="E104">
        <v>55.866501</v>
      </c>
      <c r="F104">
        <v>54.770499999999998</v>
      </c>
      <c r="G104">
        <v>55.818500999999998</v>
      </c>
      <c r="H104">
        <v>30766000</v>
      </c>
      <c r="I104">
        <f t="shared" si="9"/>
        <v>0</v>
      </c>
      <c r="J104">
        <f t="shared" si="10"/>
        <v>1.37</v>
      </c>
      <c r="K104" t="str">
        <f t="shared" si="11"/>
        <v>Positive</v>
      </c>
      <c r="L104" s="10">
        <f t="shared" si="12"/>
        <v>2.4463250992712959E-2</v>
      </c>
      <c r="M104" t="str">
        <f t="shared" si="13"/>
        <v/>
      </c>
    </row>
    <row r="105" spans="1:13" x14ac:dyDescent="0.2">
      <c r="A105" s="21" t="s">
        <v>131</v>
      </c>
      <c r="B105" s="21" t="str">
        <f t="shared" si="7"/>
        <v>Friday</v>
      </c>
      <c r="C105" s="9">
        <f t="shared" si="8"/>
        <v>43497</v>
      </c>
      <c r="D105">
        <v>55.619999</v>
      </c>
      <c r="E105">
        <v>56.25</v>
      </c>
      <c r="F105">
        <v>55.244498999999998</v>
      </c>
      <c r="G105">
        <v>55.537497999999999</v>
      </c>
      <c r="H105">
        <v>29244000</v>
      </c>
      <c r="I105">
        <f t="shared" si="9"/>
        <v>0</v>
      </c>
      <c r="J105">
        <f t="shared" si="10"/>
        <v>-0.28000000000000003</v>
      </c>
      <c r="K105" t="str">
        <f t="shared" si="11"/>
        <v>Negative</v>
      </c>
      <c r="L105" s="10">
        <f t="shared" si="12"/>
        <v>-5.0596985841889807E-3</v>
      </c>
      <c r="M105" t="str">
        <f t="shared" si="13"/>
        <v/>
      </c>
    </row>
    <row r="106" spans="1:13" x14ac:dyDescent="0.2">
      <c r="A106" s="21" t="s">
        <v>132</v>
      </c>
      <c r="B106" s="21" t="str">
        <f t="shared" si="7"/>
        <v>Monday</v>
      </c>
      <c r="C106" s="9">
        <f t="shared" si="8"/>
        <v>43500</v>
      </c>
      <c r="D106">
        <v>55.632998999999998</v>
      </c>
      <c r="E106">
        <v>56.639999000000003</v>
      </c>
      <c r="F106">
        <v>55.451000000000001</v>
      </c>
      <c r="G106">
        <v>56.639999000000003</v>
      </c>
      <c r="H106">
        <v>51530000</v>
      </c>
      <c r="I106">
        <f t="shared" si="9"/>
        <v>0</v>
      </c>
      <c r="J106">
        <f t="shared" si="10"/>
        <v>1.1000000000000001</v>
      </c>
      <c r="K106" t="str">
        <f t="shared" si="11"/>
        <v>Positive</v>
      </c>
      <c r="L106" s="10">
        <f t="shared" si="12"/>
        <v>1.9465060371911442E-2</v>
      </c>
      <c r="M106" t="str">
        <f t="shared" si="13"/>
        <v/>
      </c>
    </row>
    <row r="107" spans="1:13" x14ac:dyDescent="0.2">
      <c r="A107" s="21" t="s">
        <v>133</v>
      </c>
      <c r="B107" s="21" t="str">
        <f t="shared" si="7"/>
        <v>Tuesday</v>
      </c>
      <c r="C107" s="9">
        <f t="shared" si="8"/>
        <v>43501</v>
      </c>
      <c r="D107">
        <v>56.242001000000002</v>
      </c>
      <c r="E107">
        <v>57.342498999999997</v>
      </c>
      <c r="F107">
        <v>55.862400000000001</v>
      </c>
      <c r="G107">
        <v>57.299500000000002</v>
      </c>
      <c r="H107">
        <v>71044000</v>
      </c>
      <c r="I107">
        <f t="shared" si="9"/>
        <v>0</v>
      </c>
      <c r="J107">
        <f t="shared" si="10"/>
        <v>0.66</v>
      </c>
      <c r="K107" t="str">
        <f t="shared" si="11"/>
        <v>Positive</v>
      </c>
      <c r="L107" s="10">
        <f t="shared" si="12"/>
        <v>1.1509716489672663E-2</v>
      </c>
      <c r="M107" t="str">
        <f t="shared" si="13"/>
        <v/>
      </c>
    </row>
    <row r="108" spans="1:13" x14ac:dyDescent="0.2">
      <c r="A108" s="21" t="s">
        <v>134</v>
      </c>
      <c r="B108" s="21" t="str">
        <f t="shared" si="7"/>
        <v>Wednesday</v>
      </c>
      <c r="C108" s="9">
        <f t="shared" si="8"/>
        <v>43502</v>
      </c>
      <c r="D108">
        <v>56.978499999999997</v>
      </c>
      <c r="E108">
        <v>57.349997999999999</v>
      </c>
      <c r="F108">
        <v>55.638500000000001</v>
      </c>
      <c r="G108">
        <v>55.761501000000003</v>
      </c>
      <c r="H108">
        <v>42112000</v>
      </c>
      <c r="I108">
        <f t="shared" si="9"/>
        <v>0</v>
      </c>
      <c r="J108">
        <f t="shared" si="10"/>
        <v>-1.54</v>
      </c>
      <c r="K108" t="str">
        <f t="shared" si="11"/>
        <v>Negative</v>
      </c>
      <c r="L108" s="10">
        <f t="shared" si="12"/>
        <v>-2.7581736008146538E-2</v>
      </c>
      <c r="M108" t="str">
        <f t="shared" si="13"/>
        <v/>
      </c>
    </row>
    <row r="109" spans="1:13" x14ac:dyDescent="0.2">
      <c r="A109" s="21" t="s">
        <v>135</v>
      </c>
      <c r="B109" s="21" t="str">
        <f t="shared" si="7"/>
        <v>Thursday</v>
      </c>
      <c r="C109" s="9">
        <f t="shared" si="8"/>
        <v>43503</v>
      </c>
      <c r="D109">
        <v>55.207999999999998</v>
      </c>
      <c r="E109">
        <v>55.242001000000002</v>
      </c>
      <c r="F109">
        <v>54.299999</v>
      </c>
      <c r="G109">
        <v>54.935501000000002</v>
      </c>
      <c r="H109">
        <v>40896000</v>
      </c>
      <c r="I109">
        <f t="shared" si="9"/>
        <v>0</v>
      </c>
      <c r="J109">
        <f t="shared" si="10"/>
        <v>-0.83</v>
      </c>
      <c r="K109" t="str">
        <f t="shared" si="11"/>
        <v>Negative</v>
      </c>
      <c r="L109" s="10">
        <f t="shared" si="12"/>
        <v>-1.503581445448182E-2</v>
      </c>
      <c r="M109" t="str">
        <f t="shared" si="13"/>
        <v/>
      </c>
    </row>
    <row r="110" spans="1:13" x14ac:dyDescent="0.2">
      <c r="A110" s="21" t="s">
        <v>136</v>
      </c>
      <c r="B110" s="21" t="str">
        <f t="shared" si="7"/>
        <v>Friday</v>
      </c>
      <c r="C110" s="9">
        <f t="shared" si="8"/>
        <v>43504</v>
      </c>
      <c r="D110">
        <v>54.349997999999999</v>
      </c>
      <c r="E110">
        <v>54.945498999999998</v>
      </c>
      <c r="F110">
        <v>54.327499000000003</v>
      </c>
      <c r="G110">
        <v>54.752997999999998</v>
      </c>
      <c r="H110">
        <v>21516000</v>
      </c>
      <c r="I110">
        <f t="shared" si="9"/>
        <v>0</v>
      </c>
      <c r="J110">
        <f t="shared" si="10"/>
        <v>-0.18</v>
      </c>
      <c r="K110" t="str">
        <f t="shared" si="11"/>
        <v>Negative</v>
      </c>
      <c r="L110" s="10">
        <f t="shared" si="12"/>
        <v>-3.3332056082117016E-3</v>
      </c>
      <c r="M110" t="str">
        <f t="shared" si="13"/>
        <v/>
      </c>
    </row>
    <row r="111" spans="1:13" x14ac:dyDescent="0.2">
      <c r="A111" s="21" t="s">
        <v>137</v>
      </c>
      <c r="B111" s="21" t="str">
        <f t="shared" si="7"/>
        <v>Monday</v>
      </c>
      <c r="C111" s="9">
        <f t="shared" si="8"/>
        <v>43507</v>
      </c>
      <c r="D111">
        <v>54.847499999999997</v>
      </c>
      <c r="E111">
        <v>55.297249000000001</v>
      </c>
      <c r="F111">
        <v>54.643002000000003</v>
      </c>
      <c r="G111">
        <v>54.750500000000002</v>
      </c>
      <c r="H111">
        <v>21304000</v>
      </c>
      <c r="I111">
        <f t="shared" si="9"/>
        <v>0</v>
      </c>
      <c r="J111">
        <f t="shared" si="10"/>
        <v>0</v>
      </c>
      <c r="K111" t="str">
        <f t="shared" si="11"/>
        <v>Neutral</v>
      </c>
      <c r="L111" s="10">
        <f t="shared" si="12"/>
        <v>-4.5625154108102579E-5</v>
      </c>
      <c r="M111" t="str">
        <f t="shared" si="13"/>
        <v/>
      </c>
    </row>
    <row r="112" spans="1:13" x14ac:dyDescent="0.2">
      <c r="A112" s="21" t="s">
        <v>138</v>
      </c>
      <c r="B112" s="21" t="str">
        <f t="shared" si="7"/>
        <v>Tuesday</v>
      </c>
      <c r="C112" s="9">
        <f t="shared" si="8"/>
        <v>43508</v>
      </c>
      <c r="D112">
        <v>55.34</v>
      </c>
      <c r="E112">
        <v>56.264750999999997</v>
      </c>
      <c r="F112">
        <v>55.292499999999997</v>
      </c>
      <c r="G112">
        <v>56.068500999999998</v>
      </c>
      <c r="H112">
        <v>32182000</v>
      </c>
      <c r="I112">
        <f t="shared" si="9"/>
        <v>0</v>
      </c>
      <c r="J112">
        <f t="shared" si="10"/>
        <v>1.32</v>
      </c>
      <c r="K112" t="str">
        <f t="shared" si="11"/>
        <v>Positive</v>
      </c>
      <c r="L112" s="10">
        <f t="shared" si="12"/>
        <v>2.350697765221145E-2</v>
      </c>
      <c r="M112" t="str">
        <f t="shared" si="13"/>
        <v/>
      </c>
    </row>
    <row r="113" spans="1:13" x14ac:dyDescent="0.2">
      <c r="A113" s="21" t="s">
        <v>139</v>
      </c>
      <c r="B113" s="21" t="str">
        <f t="shared" si="7"/>
        <v>Wednesday</v>
      </c>
      <c r="C113" s="9">
        <f t="shared" si="8"/>
        <v>43509</v>
      </c>
      <c r="D113">
        <v>56.249499999999998</v>
      </c>
      <c r="E113">
        <v>56.736499999999999</v>
      </c>
      <c r="F113">
        <v>55.924999</v>
      </c>
      <c r="G113">
        <v>56.007998999999998</v>
      </c>
      <c r="H113">
        <v>20996000</v>
      </c>
      <c r="I113">
        <f t="shared" si="9"/>
        <v>0</v>
      </c>
      <c r="J113">
        <f t="shared" si="10"/>
        <v>-0.06</v>
      </c>
      <c r="K113" t="str">
        <f t="shared" si="11"/>
        <v>Negative</v>
      </c>
      <c r="L113" s="10">
        <f t="shared" si="12"/>
        <v>-1.0802385566390188E-3</v>
      </c>
      <c r="M113" t="str">
        <f t="shared" si="13"/>
        <v/>
      </c>
    </row>
    <row r="114" spans="1:13" x14ac:dyDescent="0.2">
      <c r="A114" s="21" t="s">
        <v>140</v>
      </c>
      <c r="B114" s="21" t="str">
        <f t="shared" si="7"/>
        <v>Thursday</v>
      </c>
      <c r="C114" s="9">
        <f t="shared" si="8"/>
        <v>43510</v>
      </c>
      <c r="D114">
        <v>55.902500000000003</v>
      </c>
      <c r="E114">
        <v>56.411498999999999</v>
      </c>
      <c r="F114">
        <v>55.522250999999997</v>
      </c>
      <c r="G114">
        <v>56.083500000000001</v>
      </c>
      <c r="H114">
        <v>18952000</v>
      </c>
      <c r="I114">
        <f t="shared" si="9"/>
        <v>0</v>
      </c>
      <c r="J114">
        <f t="shared" si="10"/>
        <v>0.08</v>
      </c>
      <c r="K114" t="str">
        <f t="shared" si="11"/>
        <v>Positive</v>
      </c>
      <c r="L114" s="10">
        <f t="shared" si="12"/>
        <v>1.3462248254834791E-3</v>
      </c>
      <c r="M114" t="str">
        <f t="shared" si="13"/>
        <v/>
      </c>
    </row>
    <row r="115" spans="1:13" x14ac:dyDescent="0.2">
      <c r="A115" s="21" t="s">
        <v>141</v>
      </c>
      <c r="B115" s="21" t="str">
        <f t="shared" si="7"/>
        <v>Friday</v>
      </c>
      <c r="C115" s="9">
        <f t="shared" si="8"/>
        <v>43511</v>
      </c>
      <c r="D115">
        <v>56.504002</v>
      </c>
      <c r="E115">
        <v>56.583500000000001</v>
      </c>
      <c r="F115">
        <v>55.532501000000003</v>
      </c>
      <c r="G115">
        <v>55.682499</v>
      </c>
      <c r="H115">
        <v>28996000</v>
      </c>
      <c r="I115">
        <f t="shared" si="9"/>
        <v>0</v>
      </c>
      <c r="J115">
        <f t="shared" si="10"/>
        <v>-0.4</v>
      </c>
      <c r="K115" t="str">
        <f t="shared" si="11"/>
        <v>Negative</v>
      </c>
      <c r="L115" s="10">
        <f t="shared" si="12"/>
        <v>-7.2015625591804137E-3</v>
      </c>
      <c r="M115" t="str">
        <f t="shared" si="13"/>
        <v/>
      </c>
    </row>
    <row r="116" spans="1:13" x14ac:dyDescent="0.2">
      <c r="A116" s="21" t="s">
        <v>142</v>
      </c>
      <c r="B116" s="21" t="str">
        <f t="shared" si="7"/>
        <v>Tuesday</v>
      </c>
      <c r="C116" s="9">
        <f t="shared" si="8"/>
        <v>43515</v>
      </c>
      <c r="D116">
        <v>55.5</v>
      </c>
      <c r="E116">
        <v>56.094501000000001</v>
      </c>
      <c r="F116">
        <v>55.5</v>
      </c>
      <c r="G116">
        <v>55.928001000000002</v>
      </c>
      <c r="H116">
        <v>20928000</v>
      </c>
      <c r="I116">
        <f t="shared" si="9"/>
        <v>0</v>
      </c>
      <c r="J116">
        <f t="shared" si="10"/>
        <v>0.25</v>
      </c>
      <c r="K116" t="str">
        <f t="shared" si="11"/>
        <v>Positive</v>
      </c>
      <c r="L116" s="10">
        <f t="shared" si="12"/>
        <v>4.3896079890286422E-3</v>
      </c>
      <c r="M116" t="str">
        <f t="shared" si="13"/>
        <v/>
      </c>
    </row>
    <row r="117" spans="1:13" x14ac:dyDescent="0.2">
      <c r="A117" s="21" t="s">
        <v>143</v>
      </c>
      <c r="B117" s="21" t="str">
        <f t="shared" si="7"/>
        <v>Wednesday</v>
      </c>
      <c r="C117" s="9">
        <f t="shared" si="8"/>
        <v>43516</v>
      </c>
      <c r="D117">
        <v>55.999499999999998</v>
      </c>
      <c r="E117">
        <v>56.170501999999999</v>
      </c>
      <c r="F117">
        <v>55.264000000000003</v>
      </c>
      <c r="G117">
        <v>55.689999</v>
      </c>
      <c r="H117">
        <v>21756000</v>
      </c>
      <c r="I117">
        <f t="shared" si="9"/>
        <v>0</v>
      </c>
      <c r="J117">
        <f t="shared" si="10"/>
        <v>-0.24</v>
      </c>
      <c r="K117" t="str">
        <f t="shared" si="11"/>
        <v>Negative</v>
      </c>
      <c r="L117" s="10">
        <f t="shared" si="12"/>
        <v>-4.2736937380803619E-3</v>
      </c>
      <c r="M117" t="str">
        <f t="shared" si="13"/>
        <v/>
      </c>
    </row>
    <row r="118" spans="1:13" x14ac:dyDescent="0.2">
      <c r="A118" s="21" t="s">
        <v>144</v>
      </c>
      <c r="B118" s="21" t="str">
        <f t="shared" si="7"/>
        <v>Thursday</v>
      </c>
      <c r="C118" s="9">
        <f t="shared" si="8"/>
        <v>43517</v>
      </c>
      <c r="D118">
        <v>55.542000000000002</v>
      </c>
      <c r="E118">
        <v>55.597000000000001</v>
      </c>
      <c r="F118">
        <v>54.625999</v>
      </c>
      <c r="G118">
        <v>54.848498999999997</v>
      </c>
      <c r="H118">
        <v>28302000</v>
      </c>
      <c r="I118">
        <f t="shared" si="9"/>
        <v>0</v>
      </c>
      <c r="J118">
        <f t="shared" si="10"/>
        <v>-0.84</v>
      </c>
      <c r="K118" t="str">
        <f t="shared" si="11"/>
        <v>Negative</v>
      </c>
      <c r="L118" s="10">
        <f t="shared" si="12"/>
        <v>-1.5342261234897304E-2</v>
      </c>
      <c r="M118" t="str">
        <f t="shared" si="13"/>
        <v/>
      </c>
    </row>
    <row r="119" spans="1:13" x14ac:dyDescent="0.2">
      <c r="A119" s="21" t="s">
        <v>145</v>
      </c>
      <c r="B119" s="21" t="str">
        <f t="shared" si="7"/>
        <v>Friday</v>
      </c>
      <c r="C119" s="9">
        <f t="shared" si="8"/>
        <v>43518</v>
      </c>
      <c r="D119">
        <v>55.044998</v>
      </c>
      <c r="E119">
        <v>55.561999999999998</v>
      </c>
      <c r="F119">
        <v>54.779998999999997</v>
      </c>
      <c r="G119">
        <v>55.518501000000001</v>
      </c>
      <c r="H119">
        <v>20990000</v>
      </c>
      <c r="I119">
        <f t="shared" si="9"/>
        <v>0</v>
      </c>
      <c r="J119">
        <f t="shared" si="10"/>
        <v>0.67</v>
      </c>
      <c r="K119" t="str">
        <f t="shared" si="11"/>
        <v>Positive</v>
      </c>
      <c r="L119" s="10">
        <f t="shared" si="12"/>
        <v>1.2068085195599999E-2</v>
      </c>
      <c r="M119" t="str">
        <f t="shared" si="13"/>
        <v/>
      </c>
    </row>
    <row r="120" spans="1:13" x14ac:dyDescent="0.2">
      <c r="A120" s="21" t="s">
        <v>146</v>
      </c>
      <c r="B120" s="21" t="str">
        <f t="shared" si="7"/>
        <v>Monday</v>
      </c>
      <c r="C120" s="9">
        <f t="shared" si="8"/>
        <v>43521</v>
      </c>
      <c r="D120">
        <v>55.799999</v>
      </c>
      <c r="E120">
        <v>55.926997999999998</v>
      </c>
      <c r="F120">
        <v>55.363498999999997</v>
      </c>
      <c r="G120">
        <v>55.470001000000003</v>
      </c>
      <c r="H120">
        <v>28262000</v>
      </c>
      <c r="I120">
        <f t="shared" si="9"/>
        <v>0</v>
      </c>
      <c r="J120">
        <f t="shared" si="10"/>
        <v>-0.05</v>
      </c>
      <c r="K120" t="str">
        <f t="shared" si="11"/>
        <v>Negative</v>
      </c>
      <c r="L120" s="10">
        <f t="shared" si="12"/>
        <v>-8.7434647783758105E-4</v>
      </c>
      <c r="M120" t="str">
        <f t="shared" si="13"/>
        <v/>
      </c>
    </row>
    <row r="121" spans="1:13" x14ac:dyDescent="0.2">
      <c r="A121" s="21" t="s">
        <v>147</v>
      </c>
      <c r="B121" s="21" t="str">
        <f t="shared" si="7"/>
        <v>Tuesday</v>
      </c>
      <c r="C121" s="9">
        <f t="shared" si="8"/>
        <v>43522</v>
      </c>
      <c r="D121">
        <v>55.287497999999999</v>
      </c>
      <c r="E121">
        <v>55.975498000000002</v>
      </c>
      <c r="F121">
        <v>54.995998</v>
      </c>
      <c r="G121">
        <v>55.756500000000003</v>
      </c>
      <c r="H121">
        <v>29426000</v>
      </c>
      <c r="I121">
        <f t="shared" si="9"/>
        <v>0</v>
      </c>
      <c r="J121">
        <f t="shared" si="10"/>
        <v>0.28999999999999998</v>
      </c>
      <c r="K121" t="str">
        <f t="shared" si="11"/>
        <v>Positive</v>
      </c>
      <c r="L121" s="10">
        <f t="shared" si="12"/>
        <v>5.1383964201483084E-3</v>
      </c>
      <c r="M121" t="str">
        <f t="shared" si="13"/>
        <v/>
      </c>
    </row>
    <row r="122" spans="1:13" x14ac:dyDescent="0.2">
      <c r="A122" s="21" t="s">
        <v>148</v>
      </c>
      <c r="B122" s="21" t="str">
        <f t="shared" si="7"/>
        <v>Wednesday</v>
      </c>
      <c r="C122" s="9">
        <f t="shared" si="8"/>
        <v>43523</v>
      </c>
      <c r="D122">
        <v>55.347499999999997</v>
      </c>
      <c r="E122">
        <v>55.898997999999999</v>
      </c>
      <c r="F122">
        <v>55.049999</v>
      </c>
      <c r="G122">
        <v>55.802501999999997</v>
      </c>
      <c r="H122">
        <v>19368000</v>
      </c>
      <c r="I122">
        <f t="shared" si="9"/>
        <v>0</v>
      </c>
      <c r="J122">
        <f t="shared" si="10"/>
        <v>0.05</v>
      </c>
      <c r="K122" t="str">
        <f t="shared" si="11"/>
        <v>Positive</v>
      </c>
      <c r="L122" s="10">
        <f t="shared" si="12"/>
        <v>8.2437163838987597E-4</v>
      </c>
      <c r="M122" t="str">
        <f t="shared" si="13"/>
        <v/>
      </c>
    </row>
    <row r="123" spans="1:13" x14ac:dyDescent="0.2">
      <c r="A123" s="21" t="s">
        <v>149</v>
      </c>
      <c r="B123" s="21" t="str">
        <f t="shared" si="7"/>
        <v>Thursday</v>
      </c>
      <c r="C123" s="9">
        <f t="shared" si="8"/>
        <v>43524</v>
      </c>
      <c r="D123">
        <v>55.564999</v>
      </c>
      <c r="E123">
        <v>56.3825</v>
      </c>
      <c r="F123">
        <v>55.550499000000002</v>
      </c>
      <c r="G123">
        <v>55.995998</v>
      </c>
      <c r="H123">
        <v>30850000</v>
      </c>
      <c r="I123">
        <f t="shared" si="9"/>
        <v>0</v>
      </c>
      <c r="J123">
        <f t="shared" si="10"/>
        <v>0.19</v>
      </c>
      <c r="K123" t="str">
        <f t="shared" si="11"/>
        <v>Positive</v>
      </c>
      <c r="L123" s="10">
        <f t="shared" si="12"/>
        <v>3.4555326614591855E-3</v>
      </c>
      <c r="M123" t="str">
        <f t="shared" si="13"/>
        <v/>
      </c>
    </row>
    <row r="124" spans="1:13" x14ac:dyDescent="0.2">
      <c r="A124" s="21" t="s">
        <v>150</v>
      </c>
      <c r="B124" s="21" t="str">
        <f t="shared" si="7"/>
        <v>Friday</v>
      </c>
      <c r="C124" s="9">
        <f t="shared" si="8"/>
        <v>43525</v>
      </c>
      <c r="D124">
        <v>56.244999</v>
      </c>
      <c r="E124">
        <v>57.148499000000001</v>
      </c>
      <c r="F124">
        <v>56.237499</v>
      </c>
      <c r="G124">
        <v>57.049500000000002</v>
      </c>
      <c r="H124">
        <v>29006000</v>
      </c>
      <c r="I124">
        <f t="shared" si="9"/>
        <v>0</v>
      </c>
      <c r="J124">
        <f t="shared" si="10"/>
        <v>1.05</v>
      </c>
      <c r="K124" t="str">
        <f t="shared" si="11"/>
        <v>Positive</v>
      </c>
      <c r="L124" s="10">
        <f t="shared" si="12"/>
        <v>1.8466454570154018E-2</v>
      </c>
      <c r="M124" t="str">
        <f t="shared" si="13"/>
        <v/>
      </c>
    </row>
    <row r="125" spans="1:13" x14ac:dyDescent="0.2">
      <c r="A125" s="21" t="s">
        <v>151</v>
      </c>
      <c r="B125" s="21" t="str">
        <f t="shared" si="7"/>
        <v>Monday</v>
      </c>
      <c r="C125" s="9">
        <f t="shared" si="8"/>
        <v>43528</v>
      </c>
      <c r="D125">
        <v>57.349499000000002</v>
      </c>
      <c r="E125">
        <v>57.914000999999999</v>
      </c>
      <c r="F125">
        <v>56.534500000000001</v>
      </c>
      <c r="G125">
        <v>57.389999000000003</v>
      </c>
      <c r="H125">
        <v>28920000</v>
      </c>
      <c r="I125">
        <f t="shared" si="9"/>
        <v>0</v>
      </c>
      <c r="J125">
        <f t="shared" si="10"/>
        <v>0.34</v>
      </c>
      <c r="K125" t="str">
        <f t="shared" si="11"/>
        <v>Positive</v>
      </c>
      <c r="L125" s="10">
        <f t="shared" si="12"/>
        <v>5.9330720671384087E-3</v>
      </c>
      <c r="M125" t="str">
        <f t="shared" si="13"/>
        <v/>
      </c>
    </row>
    <row r="126" spans="1:13" x14ac:dyDescent="0.2">
      <c r="A126" s="21" t="s">
        <v>152</v>
      </c>
      <c r="B126" s="21" t="str">
        <f t="shared" si="7"/>
        <v>Tuesday</v>
      </c>
      <c r="C126" s="9">
        <f t="shared" si="8"/>
        <v>43529</v>
      </c>
      <c r="D126">
        <v>57.502997999999998</v>
      </c>
      <c r="E126">
        <v>58.480499000000002</v>
      </c>
      <c r="F126">
        <v>57.309750000000001</v>
      </c>
      <c r="G126">
        <v>58.101500999999999</v>
      </c>
      <c r="H126">
        <v>28864000</v>
      </c>
      <c r="I126">
        <f t="shared" si="9"/>
        <v>0</v>
      </c>
      <c r="J126">
        <f t="shared" si="10"/>
        <v>0.71</v>
      </c>
      <c r="K126" t="str">
        <f t="shared" si="11"/>
        <v>Positive</v>
      </c>
      <c r="L126" s="10">
        <f t="shared" si="12"/>
        <v>1.2245845421446098E-2</v>
      </c>
      <c r="M126" t="str">
        <f t="shared" si="13"/>
        <v/>
      </c>
    </row>
    <row r="127" spans="1:13" x14ac:dyDescent="0.2">
      <c r="A127" s="21" t="s">
        <v>153</v>
      </c>
      <c r="B127" s="21" t="str">
        <f t="shared" si="7"/>
        <v>Wednesday</v>
      </c>
      <c r="C127" s="9">
        <f t="shared" si="8"/>
        <v>43530</v>
      </c>
      <c r="D127">
        <v>58.124499999999998</v>
      </c>
      <c r="E127">
        <v>58.378300000000003</v>
      </c>
      <c r="F127">
        <v>57.774501999999998</v>
      </c>
      <c r="G127">
        <v>57.893002000000003</v>
      </c>
      <c r="H127">
        <v>21986000</v>
      </c>
      <c r="I127">
        <f t="shared" si="9"/>
        <v>0</v>
      </c>
      <c r="J127">
        <f t="shared" si="10"/>
        <v>-0.21</v>
      </c>
      <c r="K127" t="str">
        <f t="shared" si="11"/>
        <v>Negative</v>
      </c>
      <c r="L127" s="10">
        <f t="shared" si="12"/>
        <v>-3.6014542828509085E-3</v>
      </c>
      <c r="M127" t="str">
        <f t="shared" si="13"/>
        <v/>
      </c>
    </row>
    <row r="128" spans="1:13" x14ac:dyDescent="0.2">
      <c r="A128" s="21" t="s">
        <v>154</v>
      </c>
      <c r="B128" s="21" t="str">
        <f t="shared" si="7"/>
        <v>Thursday</v>
      </c>
      <c r="C128" s="9">
        <f t="shared" si="8"/>
        <v>43531</v>
      </c>
      <c r="D128">
        <v>57.785998999999997</v>
      </c>
      <c r="E128">
        <v>57.837749000000002</v>
      </c>
      <c r="F128">
        <v>56.745499000000002</v>
      </c>
      <c r="G128">
        <v>57.165000999999997</v>
      </c>
      <c r="H128">
        <v>23332000</v>
      </c>
      <c r="I128">
        <f t="shared" si="9"/>
        <v>0</v>
      </c>
      <c r="J128">
        <f t="shared" si="10"/>
        <v>-0.73</v>
      </c>
      <c r="K128" t="str">
        <f t="shared" si="11"/>
        <v>Negative</v>
      </c>
      <c r="L128" s="10">
        <f t="shared" si="12"/>
        <v>-1.2735082432693496E-2</v>
      </c>
      <c r="M128" t="str">
        <f t="shared" si="13"/>
        <v/>
      </c>
    </row>
    <row r="129" spans="1:13" x14ac:dyDescent="0.2">
      <c r="A129" s="21" t="s">
        <v>155</v>
      </c>
      <c r="B129" s="21" t="str">
        <f t="shared" si="7"/>
        <v>Friday</v>
      </c>
      <c r="C129" s="9">
        <f t="shared" si="8"/>
        <v>43532</v>
      </c>
      <c r="D129">
        <v>56.336497999999999</v>
      </c>
      <c r="E129">
        <v>57.353999999999999</v>
      </c>
      <c r="F129">
        <v>56.165000999999997</v>
      </c>
      <c r="G129">
        <v>57.116000999999997</v>
      </c>
      <c r="H129">
        <v>24248000</v>
      </c>
      <c r="I129">
        <f t="shared" si="9"/>
        <v>0</v>
      </c>
      <c r="J129">
        <f t="shared" si="10"/>
        <v>-0.05</v>
      </c>
      <c r="K129" t="str">
        <f t="shared" si="11"/>
        <v>Negative</v>
      </c>
      <c r="L129" s="10">
        <f t="shared" si="12"/>
        <v>-8.5790319949044557E-4</v>
      </c>
      <c r="M129" t="str">
        <f t="shared" si="13"/>
        <v/>
      </c>
    </row>
    <row r="130" spans="1:13" x14ac:dyDescent="0.2">
      <c r="A130" s="21" t="s">
        <v>156</v>
      </c>
      <c r="B130" s="21" t="str">
        <f t="shared" si="7"/>
        <v>Monday</v>
      </c>
      <c r="C130" s="9">
        <f t="shared" si="8"/>
        <v>43535</v>
      </c>
      <c r="D130">
        <v>57.222499999999997</v>
      </c>
      <c r="E130">
        <v>58.809502000000002</v>
      </c>
      <c r="F130">
        <v>57.222499999999997</v>
      </c>
      <c r="G130">
        <v>58.787998000000002</v>
      </c>
      <c r="H130">
        <v>34384000</v>
      </c>
      <c r="I130">
        <f t="shared" si="9"/>
        <v>0</v>
      </c>
      <c r="J130">
        <f t="shared" si="10"/>
        <v>1.67</v>
      </c>
      <c r="K130" t="str">
        <f t="shared" si="11"/>
        <v>Positive</v>
      </c>
      <c r="L130" s="10">
        <f t="shared" si="12"/>
        <v>2.8441128408557212E-2</v>
      </c>
      <c r="M130" t="str">
        <f t="shared" si="13"/>
        <v/>
      </c>
    </row>
    <row r="131" spans="1:13" x14ac:dyDescent="0.2">
      <c r="A131" s="21" t="s">
        <v>157</v>
      </c>
      <c r="B131" s="21" t="str">
        <f t="shared" ref="B131:B194" si="14">LEFT(A131,SEARCH(",",A131)-1)</f>
        <v>Tuesday</v>
      </c>
      <c r="C131" s="9">
        <f t="shared" ref="C131:C194" si="15">DATEVALUE(RIGHT(A131,LEN(A131) - SEARCH(",",A131)))</f>
        <v>43536</v>
      </c>
      <c r="D131">
        <v>58.912998000000002</v>
      </c>
      <c r="E131">
        <v>60</v>
      </c>
      <c r="F131">
        <v>58.912998000000002</v>
      </c>
      <c r="G131">
        <v>59.66</v>
      </c>
      <c r="H131">
        <v>40262000</v>
      </c>
      <c r="I131">
        <f t="shared" ref="I131:I194" si="16">COUNTBLANK(A131:H131)</f>
        <v>0</v>
      </c>
      <c r="J131">
        <f t="shared" ref="J131:J194" si="17">ROUND(IF(ISNUMBER(G130),G131-G130,0),2)</f>
        <v>0.87</v>
      </c>
      <c r="K131" t="str">
        <f t="shared" ref="K131:K194" si="18">IF(J131=0,"Neutral",IF(J131&gt;0,"Positive","Negative"))</f>
        <v>Positive</v>
      </c>
      <c r="L131" s="10">
        <f t="shared" ref="L131:L194" si="19">IF(ISNUMBER(G130),((G131-G130)/G131),0)</f>
        <v>1.4616191753268436E-2</v>
      </c>
      <c r="M131" t="str">
        <f t="shared" ref="M131:M194" si="20">IF(L131&gt;0.05,L131,"")</f>
        <v/>
      </c>
    </row>
    <row r="132" spans="1:13" x14ac:dyDescent="0.2">
      <c r="A132" s="21" t="s">
        <v>158</v>
      </c>
      <c r="B132" s="21" t="str">
        <f t="shared" si="14"/>
        <v>Wednesday</v>
      </c>
      <c r="C132" s="9">
        <f t="shared" si="15"/>
        <v>43537</v>
      </c>
      <c r="D132">
        <v>60.032249</v>
      </c>
      <c r="E132">
        <v>60.046500999999999</v>
      </c>
      <c r="F132">
        <v>59.597000000000001</v>
      </c>
      <c r="G132">
        <v>59.665999999999997</v>
      </c>
      <c r="H132">
        <v>28718000</v>
      </c>
      <c r="I132">
        <f t="shared" si="16"/>
        <v>0</v>
      </c>
      <c r="J132">
        <f t="shared" si="17"/>
        <v>0.01</v>
      </c>
      <c r="K132" t="str">
        <f t="shared" si="18"/>
        <v>Positive</v>
      </c>
      <c r="L132" s="10">
        <f t="shared" si="19"/>
        <v>1.0055978279087299E-4</v>
      </c>
      <c r="M132" t="str">
        <f t="shared" si="20"/>
        <v/>
      </c>
    </row>
    <row r="133" spans="1:13" x14ac:dyDescent="0.2">
      <c r="A133" s="21" t="s">
        <v>159</v>
      </c>
      <c r="B133" s="21" t="str">
        <f t="shared" si="14"/>
        <v>Thursday</v>
      </c>
      <c r="C133" s="9">
        <f t="shared" si="15"/>
        <v>43538</v>
      </c>
      <c r="D133">
        <v>59.725498000000002</v>
      </c>
      <c r="E133">
        <v>59.894001000000003</v>
      </c>
      <c r="F133">
        <v>59.223998999999999</v>
      </c>
      <c r="G133">
        <f>G132</f>
        <v>59.665999999999997</v>
      </c>
      <c r="H133">
        <v>23456000</v>
      </c>
      <c r="I133">
        <f t="shared" si="16"/>
        <v>0</v>
      </c>
      <c r="J133">
        <f t="shared" si="17"/>
        <v>0</v>
      </c>
      <c r="K133" t="str">
        <f t="shared" si="18"/>
        <v>Neutral</v>
      </c>
      <c r="L133" s="10">
        <f t="shared" si="19"/>
        <v>0</v>
      </c>
      <c r="M133" t="str">
        <f t="shared" si="20"/>
        <v/>
      </c>
    </row>
    <row r="134" spans="1:13" x14ac:dyDescent="0.2">
      <c r="A134" s="21" t="s">
        <v>160</v>
      </c>
      <c r="B134" s="21" t="str">
        <f t="shared" si="14"/>
        <v>Friday</v>
      </c>
      <c r="C134" s="9">
        <f t="shared" si="15"/>
        <v>43539</v>
      </c>
      <c r="D134">
        <v>59.668998999999999</v>
      </c>
      <c r="E134">
        <v>59.828499000000001</v>
      </c>
      <c r="F134">
        <v>59.130501000000002</v>
      </c>
      <c r="G134">
        <v>59.222999999999999</v>
      </c>
      <c r="H134">
        <v>49236000</v>
      </c>
      <c r="I134">
        <f t="shared" si="16"/>
        <v>0</v>
      </c>
      <c r="J134">
        <f t="shared" si="17"/>
        <v>-0.44</v>
      </c>
      <c r="K134" t="str">
        <f t="shared" si="18"/>
        <v>Negative</v>
      </c>
      <c r="L134" s="10">
        <f t="shared" si="19"/>
        <v>-7.4802019485672435E-3</v>
      </c>
      <c r="M134" t="str">
        <f t="shared" si="20"/>
        <v/>
      </c>
    </row>
    <row r="135" spans="1:13" x14ac:dyDescent="0.2">
      <c r="A135" s="21" t="s">
        <v>161</v>
      </c>
      <c r="B135" s="21" t="str">
        <f t="shared" si="14"/>
        <v>Monday</v>
      </c>
      <c r="C135" s="9">
        <f t="shared" si="15"/>
        <v>43542</v>
      </c>
      <c r="D135">
        <v>59.165000999999997</v>
      </c>
      <c r="E135">
        <v>59.5</v>
      </c>
      <c r="F135">
        <v>58.871051999999999</v>
      </c>
      <c r="G135">
        <v>59.213000999999998</v>
      </c>
      <c r="H135">
        <v>25852000</v>
      </c>
      <c r="I135">
        <f t="shared" si="16"/>
        <v>0</v>
      </c>
      <c r="J135">
        <f t="shared" si="17"/>
        <v>-0.01</v>
      </c>
      <c r="K135" t="str">
        <f t="shared" si="18"/>
        <v>Negative</v>
      </c>
      <c r="L135" s="10">
        <f t="shared" si="19"/>
        <v>-1.6886494234603201E-4</v>
      </c>
      <c r="M135" t="str">
        <f t="shared" si="20"/>
        <v/>
      </c>
    </row>
    <row r="136" spans="1:13" x14ac:dyDescent="0.2">
      <c r="A136" s="21" t="s">
        <v>162</v>
      </c>
      <c r="B136" s="21" t="str">
        <f t="shared" si="14"/>
        <v>Tuesday</v>
      </c>
      <c r="C136" s="9">
        <f t="shared" si="15"/>
        <v>43543</v>
      </c>
      <c r="D136">
        <v>59.440497999999998</v>
      </c>
      <c r="E136">
        <v>60</v>
      </c>
      <c r="F136">
        <v>59.293498999999997</v>
      </c>
      <c r="G136">
        <v>59.942501</v>
      </c>
      <c r="H136">
        <v>30414000</v>
      </c>
      <c r="I136">
        <f t="shared" si="16"/>
        <v>0</v>
      </c>
      <c r="J136">
        <f t="shared" si="17"/>
        <v>0.73</v>
      </c>
      <c r="K136" t="str">
        <f t="shared" si="18"/>
        <v>Positive</v>
      </c>
      <c r="L136" s="10">
        <f t="shared" si="19"/>
        <v>1.2169996043374993E-2</v>
      </c>
      <c r="M136" t="str">
        <f t="shared" si="20"/>
        <v/>
      </c>
    </row>
    <row r="137" spans="1:13" x14ac:dyDescent="0.2">
      <c r="A137" s="21" t="s">
        <v>163</v>
      </c>
      <c r="B137" s="21" t="str">
        <f t="shared" si="14"/>
        <v>Wednesday</v>
      </c>
      <c r="C137" s="9">
        <f t="shared" si="15"/>
        <v>43544</v>
      </c>
      <c r="D137">
        <v>59.8675</v>
      </c>
      <c r="E137">
        <v>61.356997999999997</v>
      </c>
      <c r="F137">
        <v>59.808498</v>
      </c>
      <c r="G137">
        <v>61.198501999999998</v>
      </c>
      <c r="H137">
        <v>44548000</v>
      </c>
      <c r="I137">
        <f t="shared" si="16"/>
        <v>0</v>
      </c>
      <c r="J137">
        <f t="shared" si="17"/>
        <v>1.26</v>
      </c>
      <c r="K137" t="str">
        <f t="shared" si="18"/>
        <v>Positive</v>
      </c>
      <c r="L137" s="10">
        <f t="shared" si="19"/>
        <v>2.0523394510538799E-2</v>
      </c>
      <c r="M137" t="str">
        <f t="shared" si="20"/>
        <v/>
      </c>
    </row>
    <row r="138" spans="1:13" x14ac:dyDescent="0.2">
      <c r="A138" s="21" t="s">
        <v>164</v>
      </c>
      <c r="B138" s="21" t="str">
        <f t="shared" si="14"/>
        <v>Thursday</v>
      </c>
      <c r="C138" s="9">
        <f t="shared" si="15"/>
        <v>43545</v>
      </c>
      <c r="D138">
        <v>60.799999</v>
      </c>
      <c r="E138">
        <v>61.589500000000001</v>
      </c>
      <c r="F138">
        <v>60.657501000000003</v>
      </c>
      <c r="G138">
        <v>61.576999999999998</v>
      </c>
      <c r="H138">
        <v>24080000</v>
      </c>
      <c r="I138">
        <f t="shared" si="16"/>
        <v>0</v>
      </c>
      <c r="J138">
        <f t="shared" si="17"/>
        <v>0.38</v>
      </c>
      <c r="K138" t="str">
        <f t="shared" si="18"/>
        <v>Positive</v>
      </c>
      <c r="L138" s="10">
        <f t="shared" si="19"/>
        <v>6.1467431021322971E-3</v>
      </c>
      <c r="M138" t="str">
        <f t="shared" si="20"/>
        <v/>
      </c>
    </row>
    <row r="139" spans="1:13" x14ac:dyDescent="0.2">
      <c r="A139" s="21" t="s">
        <v>165</v>
      </c>
      <c r="B139" s="21" t="str">
        <f t="shared" si="14"/>
        <v>Friday</v>
      </c>
      <c r="C139" s="9">
        <f t="shared" si="15"/>
        <v>43546</v>
      </c>
      <c r="D139">
        <v>61.316001999999997</v>
      </c>
      <c r="E139">
        <v>61.5</v>
      </c>
      <c r="F139">
        <v>60.141250999999997</v>
      </c>
      <c r="G139">
        <v>60.275002000000001</v>
      </c>
      <c r="H139">
        <v>34284000</v>
      </c>
      <c r="I139">
        <f t="shared" si="16"/>
        <v>0</v>
      </c>
      <c r="J139">
        <f t="shared" si="17"/>
        <v>-1.3</v>
      </c>
      <c r="K139" t="str">
        <f t="shared" si="18"/>
        <v>Negative</v>
      </c>
      <c r="L139" s="10">
        <f t="shared" si="19"/>
        <v>-2.1600961539578176E-2</v>
      </c>
      <c r="M139" t="str">
        <f t="shared" si="20"/>
        <v/>
      </c>
    </row>
    <row r="140" spans="1:13" x14ac:dyDescent="0.2">
      <c r="A140" s="21" t="s">
        <v>166</v>
      </c>
      <c r="B140" s="21" t="str">
        <f t="shared" si="14"/>
        <v>Monday</v>
      </c>
      <c r="C140" s="9">
        <f t="shared" si="15"/>
        <v>43549</v>
      </c>
      <c r="D140">
        <v>59.846499999999999</v>
      </c>
      <c r="E140">
        <v>60.319901000000002</v>
      </c>
      <c r="F140">
        <v>59.352001000000001</v>
      </c>
      <c r="G140">
        <v>59.650002000000001</v>
      </c>
      <c r="H140">
        <v>29936000</v>
      </c>
      <c r="I140">
        <f t="shared" si="16"/>
        <v>0</v>
      </c>
      <c r="J140">
        <f t="shared" si="17"/>
        <v>-0.63</v>
      </c>
      <c r="K140" t="str">
        <f t="shared" si="18"/>
        <v>Negative</v>
      </c>
      <c r="L140" s="10">
        <f t="shared" si="19"/>
        <v>-1.0477786740057443E-2</v>
      </c>
      <c r="M140" t="str">
        <f t="shared" si="20"/>
        <v/>
      </c>
    </row>
    <row r="141" spans="1:13" x14ac:dyDescent="0.2">
      <c r="A141" s="21" t="s">
        <v>167</v>
      </c>
      <c r="B141" s="21" t="str">
        <f t="shared" si="14"/>
        <v>Tuesday</v>
      </c>
      <c r="C141" s="9">
        <f t="shared" si="15"/>
        <v>43550</v>
      </c>
      <c r="D141">
        <v>59.926498000000002</v>
      </c>
      <c r="E141">
        <v>60.141499000000003</v>
      </c>
      <c r="F141">
        <v>58.835999000000001</v>
      </c>
      <c r="G141">
        <v>59.230998999999997</v>
      </c>
      <c r="H141">
        <v>38024000</v>
      </c>
      <c r="I141">
        <f t="shared" si="16"/>
        <v>0</v>
      </c>
      <c r="J141">
        <f t="shared" si="17"/>
        <v>-0.42</v>
      </c>
      <c r="K141" t="str">
        <f t="shared" si="18"/>
        <v>Negative</v>
      </c>
      <c r="L141" s="10">
        <f t="shared" si="19"/>
        <v>-7.0740491815781056E-3</v>
      </c>
      <c r="M141" t="str">
        <f t="shared" si="20"/>
        <v/>
      </c>
    </row>
    <row r="142" spans="1:13" x14ac:dyDescent="0.2">
      <c r="A142" s="21" t="s">
        <v>168</v>
      </c>
      <c r="B142" s="21" t="str">
        <f t="shared" si="14"/>
        <v>Wednesday</v>
      </c>
      <c r="C142" s="9">
        <f t="shared" si="15"/>
        <v>43551</v>
      </c>
      <c r="D142">
        <v>59.275002000000001</v>
      </c>
      <c r="E142">
        <v>59.377949000000001</v>
      </c>
      <c r="F142">
        <v>57.968497999999997</v>
      </c>
      <c r="G142">
        <v>58.651001000000001</v>
      </c>
      <c r="H142">
        <v>28004000</v>
      </c>
      <c r="I142">
        <f t="shared" si="16"/>
        <v>0</v>
      </c>
      <c r="J142">
        <f t="shared" si="17"/>
        <v>-0.57999999999999996</v>
      </c>
      <c r="K142" t="str">
        <f t="shared" si="18"/>
        <v>Negative</v>
      </c>
      <c r="L142" s="10">
        <f t="shared" si="19"/>
        <v>-9.8889701814295766E-3</v>
      </c>
      <c r="M142" t="str">
        <f t="shared" si="20"/>
        <v/>
      </c>
    </row>
    <row r="143" spans="1:13" x14ac:dyDescent="0.2">
      <c r="A143" s="21" t="s">
        <v>169</v>
      </c>
      <c r="B143" s="21" t="str">
        <f t="shared" si="14"/>
        <v>Thursday</v>
      </c>
      <c r="C143" s="9">
        <f t="shared" si="15"/>
        <v>43552</v>
      </c>
      <c r="D143">
        <v>58.576999999999998</v>
      </c>
      <c r="E143">
        <v>58.578251000000002</v>
      </c>
      <c r="F143">
        <v>57.971550000000001</v>
      </c>
      <c r="G143">
        <v>58.424500000000002</v>
      </c>
      <c r="H143">
        <f>H142</f>
        <v>28004000</v>
      </c>
      <c r="I143">
        <f t="shared" si="16"/>
        <v>0</v>
      </c>
      <c r="J143">
        <f t="shared" si="17"/>
        <v>-0.23</v>
      </c>
      <c r="K143" t="str">
        <f t="shared" si="18"/>
        <v>Negative</v>
      </c>
      <c r="L143" s="10">
        <f t="shared" si="19"/>
        <v>-3.8768153771106119E-3</v>
      </c>
      <c r="M143" t="str">
        <f t="shared" si="20"/>
        <v/>
      </c>
    </row>
    <row r="144" spans="1:13" x14ac:dyDescent="0.2">
      <c r="A144" s="21" t="s">
        <v>170</v>
      </c>
      <c r="B144" s="21" t="str">
        <f t="shared" si="14"/>
        <v>Friday</v>
      </c>
      <c r="C144" s="9">
        <f t="shared" si="15"/>
        <v>43553</v>
      </c>
      <c r="D144">
        <v>58.744999</v>
      </c>
      <c r="E144">
        <v>58.949500999999998</v>
      </c>
      <c r="F144">
        <v>58.144001000000003</v>
      </c>
      <c r="G144">
        <v>58.665500999999999</v>
      </c>
      <c r="H144">
        <v>25398000</v>
      </c>
      <c r="I144">
        <f t="shared" si="16"/>
        <v>0</v>
      </c>
      <c r="J144">
        <f t="shared" si="17"/>
        <v>0.24</v>
      </c>
      <c r="K144" t="str">
        <f t="shared" si="18"/>
        <v>Positive</v>
      </c>
      <c r="L144" s="10">
        <f t="shared" si="19"/>
        <v>4.1080532151254812E-3</v>
      </c>
      <c r="M144" t="str">
        <f t="shared" si="20"/>
        <v/>
      </c>
    </row>
    <row r="145" spans="1:13" x14ac:dyDescent="0.2">
      <c r="A145" s="21" t="s">
        <v>171</v>
      </c>
      <c r="B145" s="21" t="str">
        <f t="shared" si="14"/>
        <v>Monday</v>
      </c>
      <c r="C145" s="9">
        <f t="shared" si="15"/>
        <v>43556</v>
      </c>
      <c r="D145">
        <v>59.205002</v>
      </c>
      <c r="E145">
        <v>59.832999999999998</v>
      </c>
      <c r="F145">
        <v>59.099997999999999</v>
      </c>
      <c r="G145">
        <v>59.721499999999999</v>
      </c>
      <c r="H145">
        <v>25050000</v>
      </c>
      <c r="I145">
        <f t="shared" si="16"/>
        <v>0</v>
      </c>
      <c r="J145">
        <f t="shared" si="17"/>
        <v>1.06</v>
      </c>
      <c r="K145" t="str">
        <f t="shared" si="18"/>
        <v>Positive</v>
      </c>
      <c r="L145" s="10">
        <f t="shared" si="19"/>
        <v>1.7682057550463398E-2</v>
      </c>
      <c r="M145" t="str">
        <f t="shared" si="20"/>
        <v/>
      </c>
    </row>
    <row r="146" spans="1:13" x14ac:dyDescent="0.2">
      <c r="A146" s="21" t="s">
        <v>172</v>
      </c>
      <c r="B146" s="21" t="str">
        <f t="shared" si="14"/>
        <v>Tuesday</v>
      </c>
      <c r="C146" s="9">
        <f t="shared" si="15"/>
        <v>43557</v>
      </c>
      <c r="D146">
        <v>59.765999000000001</v>
      </c>
      <c r="E146">
        <v>60.067501</v>
      </c>
      <c r="F146">
        <v>59.285499999999999</v>
      </c>
      <c r="G146">
        <v>60.024501999999998</v>
      </c>
      <c r="H146">
        <v>16558000</v>
      </c>
      <c r="I146">
        <f t="shared" si="16"/>
        <v>0</v>
      </c>
      <c r="J146">
        <f t="shared" si="17"/>
        <v>0.3</v>
      </c>
      <c r="K146" t="str">
        <f t="shared" si="18"/>
        <v>Positive</v>
      </c>
      <c r="L146" s="10">
        <f t="shared" si="19"/>
        <v>5.0479719098710614E-3</v>
      </c>
      <c r="M146" t="str">
        <f t="shared" si="20"/>
        <v/>
      </c>
    </row>
    <row r="147" spans="1:13" x14ac:dyDescent="0.2">
      <c r="A147" s="21" t="s">
        <v>173</v>
      </c>
      <c r="B147" s="21" t="str">
        <f t="shared" si="14"/>
        <v>Wednesday</v>
      </c>
      <c r="C147" s="9">
        <f t="shared" si="15"/>
        <v>43558</v>
      </c>
      <c r="D147">
        <v>60.374001</v>
      </c>
      <c r="E147">
        <v>60.814999</v>
      </c>
      <c r="F147">
        <v>60.025002000000001</v>
      </c>
      <c r="G147">
        <v>60.296000999999997</v>
      </c>
      <c r="H147">
        <v>20286000</v>
      </c>
      <c r="I147">
        <f t="shared" si="16"/>
        <v>0</v>
      </c>
      <c r="J147">
        <f t="shared" si="17"/>
        <v>0.27</v>
      </c>
      <c r="K147" t="str">
        <f t="shared" si="18"/>
        <v>Positive</v>
      </c>
      <c r="L147" s="10">
        <f t="shared" si="19"/>
        <v>4.502769594952054E-3</v>
      </c>
      <c r="M147" t="str">
        <f t="shared" si="20"/>
        <v/>
      </c>
    </row>
    <row r="148" spans="1:13" x14ac:dyDescent="0.2">
      <c r="A148" s="21" t="s">
        <v>174</v>
      </c>
      <c r="B148" s="21" t="str">
        <f t="shared" si="14"/>
        <v>Thursday</v>
      </c>
      <c r="C148" s="9">
        <f t="shared" si="15"/>
        <v>43559</v>
      </c>
      <c r="D148">
        <v>60.297001000000002</v>
      </c>
      <c r="E148">
        <v>60.783501000000001</v>
      </c>
      <c r="F148">
        <v>60.206501000000003</v>
      </c>
      <c r="G148">
        <v>60.75</v>
      </c>
      <c r="H148">
        <v>19000000</v>
      </c>
      <c r="I148">
        <f t="shared" si="16"/>
        <v>0</v>
      </c>
      <c r="J148">
        <f t="shared" si="17"/>
        <v>0.45</v>
      </c>
      <c r="K148" t="str">
        <f t="shared" si="18"/>
        <v>Positive</v>
      </c>
      <c r="L148" s="10">
        <f t="shared" si="19"/>
        <v>7.4732345679012864E-3</v>
      </c>
      <c r="M148" t="str">
        <f t="shared" si="20"/>
        <v/>
      </c>
    </row>
    <row r="149" spans="1:13" x14ac:dyDescent="0.2">
      <c r="A149" s="21" t="s">
        <v>175</v>
      </c>
      <c r="B149" s="21" t="str">
        <f t="shared" si="14"/>
        <v>Friday</v>
      </c>
      <c r="C149" s="9">
        <f t="shared" si="15"/>
        <v>43560</v>
      </c>
      <c r="D149">
        <v>60.749499999999998</v>
      </c>
      <c r="E149">
        <v>60.811000999999997</v>
      </c>
      <c r="F149">
        <v>60.251499000000003</v>
      </c>
      <c r="G149">
        <v>60.357498</v>
      </c>
      <c r="H149">
        <v>18144000</v>
      </c>
      <c r="I149">
        <f t="shared" si="16"/>
        <v>0</v>
      </c>
      <c r="J149">
        <f t="shared" si="17"/>
        <v>-0.39</v>
      </c>
      <c r="K149" t="str">
        <f t="shared" si="18"/>
        <v>Negative</v>
      </c>
      <c r="L149" s="10">
        <f t="shared" si="19"/>
        <v>-6.5029534524443074E-3</v>
      </c>
      <c r="M149" t="str">
        <f t="shared" si="20"/>
        <v/>
      </c>
    </row>
    <row r="150" spans="1:13" x14ac:dyDescent="0.2">
      <c r="A150" s="21" t="s">
        <v>176</v>
      </c>
      <c r="B150" s="21" t="str">
        <f t="shared" si="14"/>
        <v>Monday</v>
      </c>
      <c r="C150" s="9">
        <f t="shared" si="15"/>
        <v>43563</v>
      </c>
      <c r="D150">
        <v>60.394500999999998</v>
      </c>
      <c r="E150">
        <v>60.434502000000002</v>
      </c>
      <c r="F150">
        <v>59.993000000000002</v>
      </c>
      <c r="G150">
        <v>60.192000999999998</v>
      </c>
      <c r="H150">
        <v>17204000</v>
      </c>
      <c r="I150">
        <f t="shared" si="16"/>
        <v>0</v>
      </c>
      <c r="J150">
        <f t="shared" si="17"/>
        <v>-0.17</v>
      </c>
      <c r="K150" t="str">
        <f t="shared" si="18"/>
        <v>Negative</v>
      </c>
      <c r="L150" s="10">
        <f t="shared" si="19"/>
        <v>-2.7494849357143319E-3</v>
      </c>
      <c r="M150" t="str">
        <f t="shared" si="20"/>
        <v/>
      </c>
    </row>
    <row r="151" spans="1:13" x14ac:dyDescent="0.2">
      <c r="A151" s="21" t="s">
        <v>177</v>
      </c>
      <c r="B151" s="21" t="str">
        <f t="shared" si="14"/>
        <v>Tuesday</v>
      </c>
      <c r="C151" s="9">
        <f t="shared" si="15"/>
        <v>43564</v>
      </c>
      <c r="D151">
        <v>59.799999</v>
      </c>
      <c r="E151">
        <v>60.114497999999998</v>
      </c>
      <c r="F151">
        <v>59.653998999999999</v>
      </c>
      <c r="G151">
        <v>59.862499</v>
      </c>
      <c r="H151">
        <v>17528000</v>
      </c>
      <c r="I151">
        <f t="shared" si="16"/>
        <v>0</v>
      </c>
      <c r="J151">
        <f t="shared" si="17"/>
        <v>-0.33</v>
      </c>
      <c r="K151" t="str">
        <f t="shared" si="18"/>
        <v>Negative</v>
      </c>
      <c r="L151" s="10">
        <f t="shared" si="19"/>
        <v>-5.5043141449874645E-3</v>
      </c>
      <c r="M151" t="str">
        <f t="shared" si="20"/>
        <v/>
      </c>
    </row>
    <row r="152" spans="1:13" x14ac:dyDescent="0.2">
      <c r="A152" s="21" t="s">
        <v>178</v>
      </c>
      <c r="B152" s="21" t="str">
        <f t="shared" si="14"/>
        <v>Wednesday</v>
      </c>
      <c r="C152" s="9">
        <f t="shared" si="15"/>
        <v>43565</v>
      </c>
      <c r="D152">
        <v>60.033999999999999</v>
      </c>
      <c r="E152">
        <v>60.189250999999999</v>
      </c>
      <c r="F152">
        <v>59.821750999999999</v>
      </c>
      <c r="G152">
        <v>60.108001999999999</v>
      </c>
      <c r="H152">
        <v>14492000</v>
      </c>
      <c r="I152">
        <f t="shared" si="16"/>
        <v>0</v>
      </c>
      <c r="J152">
        <f t="shared" si="17"/>
        <v>0.25</v>
      </c>
      <c r="K152" t="str">
        <f t="shared" si="18"/>
        <v>Positive</v>
      </c>
      <c r="L152" s="10">
        <f t="shared" si="19"/>
        <v>4.0843646741077731E-3</v>
      </c>
      <c r="M152" t="str">
        <f t="shared" si="20"/>
        <v/>
      </c>
    </row>
    <row r="153" spans="1:13" x14ac:dyDescent="0.2">
      <c r="A153" s="21" t="s">
        <v>179</v>
      </c>
      <c r="B153" s="21" t="str">
        <f t="shared" si="14"/>
        <v>Thursday</v>
      </c>
      <c r="C153" s="9">
        <f t="shared" si="15"/>
        <v>43566</v>
      </c>
      <c r="D153">
        <v>60.198002000000002</v>
      </c>
      <c r="E153">
        <v>60.397998999999999</v>
      </c>
      <c r="F153">
        <v>60.006500000000003</v>
      </c>
      <c r="G153">
        <v>60.230998999999997</v>
      </c>
      <c r="H153">
        <v>14204000</v>
      </c>
      <c r="I153">
        <f t="shared" si="16"/>
        <v>0</v>
      </c>
      <c r="J153">
        <f t="shared" si="17"/>
        <v>0.12</v>
      </c>
      <c r="K153" t="str">
        <f t="shared" si="18"/>
        <v>Positive</v>
      </c>
      <c r="L153" s="10">
        <f t="shared" si="19"/>
        <v>2.0420879952530429E-3</v>
      </c>
      <c r="M153" t="str">
        <f t="shared" si="20"/>
        <v/>
      </c>
    </row>
    <row r="154" spans="1:13" x14ac:dyDescent="0.2">
      <c r="A154" s="21" t="s">
        <v>180</v>
      </c>
      <c r="B154" s="21" t="str">
        <f t="shared" si="14"/>
        <v>Friday</v>
      </c>
      <c r="C154" s="9">
        <f t="shared" si="15"/>
        <v>43567</v>
      </c>
      <c r="D154">
        <v>60.5</v>
      </c>
      <c r="E154">
        <v>60.917499999999997</v>
      </c>
      <c r="F154">
        <v>60.405498999999999</v>
      </c>
      <c r="G154">
        <v>60.893501000000001</v>
      </c>
      <c r="H154">
        <v>18668000</v>
      </c>
      <c r="I154">
        <f t="shared" si="16"/>
        <v>0</v>
      </c>
      <c r="J154">
        <f t="shared" si="17"/>
        <v>0.66</v>
      </c>
      <c r="K154" t="str">
        <f t="shared" si="18"/>
        <v>Positive</v>
      </c>
      <c r="L154" s="10">
        <f t="shared" si="19"/>
        <v>1.0879683202974378E-2</v>
      </c>
      <c r="M154" t="str">
        <f t="shared" si="20"/>
        <v/>
      </c>
    </row>
    <row r="155" spans="1:13" x14ac:dyDescent="0.2">
      <c r="A155" s="21" t="s">
        <v>181</v>
      </c>
      <c r="B155" s="21" t="str">
        <f t="shared" si="14"/>
        <v>Monday</v>
      </c>
      <c r="C155" s="9">
        <f t="shared" si="15"/>
        <v>43570</v>
      </c>
      <c r="D155">
        <v>60.900002000000001</v>
      </c>
      <c r="E155">
        <v>61.209999000000003</v>
      </c>
      <c r="F155">
        <v>60.455502000000003</v>
      </c>
      <c r="G155">
        <v>61.055</v>
      </c>
      <c r="H155">
        <v>23748000</v>
      </c>
      <c r="I155">
        <f t="shared" si="16"/>
        <v>0</v>
      </c>
      <c r="J155">
        <f t="shared" si="17"/>
        <v>0.16</v>
      </c>
      <c r="K155" t="str">
        <f t="shared" si="18"/>
        <v>Positive</v>
      </c>
      <c r="L155" s="10">
        <f t="shared" si="19"/>
        <v>2.6451396282040646E-3</v>
      </c>
      <c r="M155" t="str">
        <f t="shared" si="20"/>
        <v/>
      </c>
    </row>
    <row r="156" spans="1:13" x14ac:dyDescent="0.2">
      <c r="A156" s="21" t="s">
        <v>182</v>
      </c>
      <c r="B156" s="21" t="str">
        <f t="shared" si="14"/>
        <v>Tuesday</v>
      </c>
      <c r="C156" s="9">
        <f t="shared" si="15"/>
        <v>43571</v>
      </c>
      <c r="D156">
        <v>61.25</v>
      </c>
      <c r="E156">
        <v>61.540999999999997</v>
      </c>
      <c r="F156">
        <v>61.006000999999998</v>
      </c>
      <c r="G156">
        <v>61.356498999999999</v>
      </c>
      <c r="H156">
        <v>17126000</v>
      </c>
      <c r="I156">
        <f t="shared" si="16"/>
        <v>0</v>
      </c>
      <c r="J156">
        <f t="shared" si="17"/>
        <v>0.3</v>
      </c>
      <c r="K156" t="str">
        <f t="shared" si="18"/>
        <v>Positive</v>
      </c>
      <c r="L156" s="10">
        <f t="shared" si="19"/>
        <v>4.9138885841579676E-3</v>
      </c>
      <c r="M156" t="str">
        <f t="shared" si="20"/>
        <v/>
      </c>
    </row>
    <row r="157" spans="1:13" x14ac:dyDescent="0.2">
      <c r="A157" s="21" t="s">
        <v>183</v>
      </c>
      <c r="B157" s="21" t="str">
        <f t="shared" si="14"/>
        <v>Wednesday</v>
      </c>
      <c r="C157" s="9">
        <f t="shared" si="15"/>
        <v>43572</v>
      </c>
      <c r="D157">
        <v>61.650002000000001</v>
      </c>
      <c r="E157">
        <v>62.027999999999999</v>
      </c>
      <c r="F157">
        <v>61.390999000000001</v>
      </c>
      <c r="G157">
        <v>61.817000999999998</v>
      </c>
      <c r="H157">
        <v>24438000</v>
      </c>
      <c r="I157">
        <f t="shared" si="16"/>
        <v>0</v>
      </c>
      <c r="J157">
        <f t="shared" si="17"/>
        <v>0.46</v>
      </c>
      <c r="K157" t="str">
        <f t="shared" si="18"/>
        <v>Positive</v>
      </c>
      <c r="L157" s="10">
        <f t="shared" si="19"/>
        <v>7.4494393540702215E-3</v>
      </c>
      <c r="M157" t="str">
        <f t="shared" si="20"/>
        <v/>
      </c>
    </row>
    <row r="158" spans="1:13" x14ac:dyDescent="0.2">
      <c r="A158" s="21" t="s">
        <v>184</v>
      </c>
      <c r="B158" s="21" t="str">
        <f t="shared" si="14"/>
        <v>Thursday</v>
      </c>
      <c r="C158" s="9">
        <f t="shared" si="15"/>
        <v>43573</v>
      </c>
      <c r="D158">
        <v>61.959000000000003</v>
      </c>
      <c r="E158">
        <v>62.099997999999999</v>
      </c>
      <c r="F158">
        <v>61.730499000000002</v>
      </c>
      <c r="G158">
        <v>61.818500999999998</v>
      </c>
      <c r="H158">
        <v>26636000</v>
      </c>
      <c r="I158">
        <f t="shared" si="16"/>
        <v>0</v>
      </c>
      <c r="J158">
        <f t="shared" si="17"/>
        <v>0</v>
      </c>
      <c r="K158" t="str">
        <f t="shared" si="18"/>
        <v>Neutral</v>
      </c>
      <c r="L158" s="10">
        <f t="shared" si="19"/>
        <v>2.4264580598614918E-5</v>
      </c>
      <c r="M158" t="str">
        <f t="shared" si="20"/>
        <v/>
      </c>
    </row>
    <row r="159" spans="1:13" x14ac:dyDescent="0.2">
      <c r="A159" s="21" t="s">
        <v>185</v>
      </c>
      <c r="B159" s="21" t="str">
        <f t="shared" si="14"/>
        <v>Monday</v>
      </c>
      <c r="C159" s="9">
        <f t="shared" si="15"/>
        <v>43577</v>
      </c>
      <c r="D159">
        <v>61.799500000000002</v>
      </c>
      <c r="E159">
        <v>62.454498000000001</v>
      </c>
      <c r="F159">
        <v>61.415500999999999</v>
      </c>
      <c r="G159">
        <v>62.442000999999998</v>
      </c>
      <c r="H159">
        <v>16146000</v>
      </c>
      <c r="I159">
        <f t="shared" si="16"/>
        <v>0</v>
      </c>
      <c r="J159">
        <f t="shared" si="17"/>
        <v>0.62</v>
      </c>
      <c r="K159" t="str">
        <f t="shared" si="18"/>
        <v>Positive</v>
      </c>
      <c r="L159" s="10">
        <f t="shared" si="19"/>
        <v>9.9852661672389393E-3</v>
      </c>
      <c r="M159" t="str">
        <f t="shared" si="20"/>
        <v/>
      </c>
    </row>
    <row r="160" spans="1:13" x14ac:dyDescent="0.2">
      <c r="A160" s="21" t="s">
        <v>186</v>
      </c>
      <c r="B160" s="21" t="str">
        <f t="shared" si="14"/>
        <v>Tuesday</v>
      </c>
      <c r="C160" s="9">
        <f t="shared" si="15"/>
        <v>43578</v>
      </c>
      <c r="D160">
        <v>62.534500000000001</v>
      </c>
      <c r="E160">
        <v>63.450001</v>
      </c>
      <c r="F160">
        <v>62.319000000000003</v>
      </c>
      <c r="G160">
        <v>63.227500999999997</v>
      </c>
      <c r="H160">
        <v>26398000</v>
      </c>
      <c r="I160">
        <f t="shared" si="16"/>
        <v>0</v>
      </c>
      <c r="J160">
        <f t="shared" si="17"/>
        <v>0.79</v>
      </c>
      <c r="K160" t="str">
        <f t="shared" si="18"/>
        <v>Positive</v>
      </c>
      <c r="L160" s="10">
        <f t="shared" si="19"/>
        <v>1.2423391523887668E-2</v>
      </c>
      <c r="M160" t="str">
        <f t="shared" si="20"/>
        <v/>
      </c>
    </row>
    <row r="161" spans="1:13" x14ac:dyDescent="0.2">
      <c r="A161" s="21" t="s">
        <v>187</v>
      </c>
      <c r="B161" s="21" t="str">
        <f t="shared" si="14"/>
        <v>Wednesday</v>
      </c>
      <c r="C161" s="9">
        <f t="shared" si="15"/>
        <v>43579</v>
      </c>
      <c r="D161">
        <v>63.206001000000001</v>
      </c>
      <c r="E161">
        <v>63.400500999999998</v>
      </c>
      <c r="F161">
        <v>62.75</v>
      </c>
      <c r="G161">
        <v>62.799999</v>
      </c>
      <c r="H161">
        <v>20376000</v>
      </c>
      <c r="I161">
        <f t="shared" si="16"/>
        <v>0</v>
      </c>
      <c r="J161">
        <f t="shared" si="17"/>
        <v>-0.43</v>
      </c>
      <c r="K161" t="str">
        <f t="shared" si="18"/>
        <v>Negative</v>
      </c>
      <c r="L161" s="10">
        <f t="shared" si="19"/>
        <v>-6.8073567962954416E-3</v>
      </c>
      <c r="M161" t="str">
        <f t="shared" si="20"/>
        <v/>
      </c>
    </row>
    <row r="162" spans="1:13" x14ac:dyDescent="0.2">
      <c r="A162" s="21" t="s">
        <v>188</v>
      </c>
      <c r="B162" s="21" t="str">
        <f t="shared" si="14"/>
        <v>Thursday</v>
      </c>
      <c r="C162" s="9">
        <f t="shared" si="15"/>
        <v>43580</v>
      </c>
      <c r="D162">
        <v>63.238498999999997</v>
      </c>
      <c r="E162">
        <v>63.370398999999999</v>
      </c>
      <c r="F162">
        <v>62.601500999999999</v>
      </c>
      <c r="G162">
        <v>63.172500999999997</v>
      </c>
      <c r="H162">
        <v>22146000</v>
      </c>
      <c r="I162">
        <f t="shared" si="16"/>
        <v>0</v>
      </c>
      <c r="J162">
        <f t="shared" si="17"/>
        <v>0.37</v>
      </c>
      <c r="K162" t="str">
        <f t="shared" si="18"/>
        <v>Positive</v>
      </c>
      <c r="L162" s="10">
        <f t="shared" si="19"/>
        <v>5.8965846547692838E-3</v>
      </c>
      <c r="M162" t="str">
        <f t="shared" si="20"/>
        <v/>
      </c>
    </row>
    <row r="163" spans="1:13" x14ac:dyDescent="0.2">
      <c r="A163" s="21" t="s">
        <v>189</v>
      </c>
      <c r="B163" s="21" t="str">
        <f t="shared" si="14"/>
        <v>Friday</v>
      </c>
      <c r="C163" s="9">
        <f t="shared" si="15"/>
        <v>43581</v>
      </c>
      <c r="D163">
        <v>63.450001</v>
      </c>
      <c r="E163">
        <v>63.653500000000001</v>
      </c>
      <c r="F163">
        <v>63.015999000000001</v>
      </c>
      <c r="G163">
        <v>63.609000999999999</v>
      </c>
      <c r="H163">
        <v>24828000</v>
      </c>
      <c r="I163">
        <f t="shared" si="16"/>
        <v>0</v>
      </c>
      <c r="J163">
        <f t="shared" si="17"/>
        <v>0.44</v>
      </c>
      <c r="K163" t="str">
        <f t="shared" si="18"/>
        <v>Positive</v>
      </c>
      <c r="L163" s="10">
        <f t="shared" si="19"/>
        <v>6.8622363680888865E-3</v>
      </c>
      <c r="M163" t="str">
        <f t="shared" si="20"/>
        <v/>
      </c>
    </row>
    <row r="164" spans="1:13" x14ac:dyDescent="0.2">
      <c r="A164" s="21" t="s">
        <v>190</v>
      </c>
      <c r="B164" s="21" t="str">
        <f t="shared" si="14"/>
        <v>Monday</v>
      </c>
      <c r="C164" s="9">
        <f t="shared" si="15"/>
        <v>43584</v>
      </c>
      <c r="D164">
        <v>63.700001</v>
      </c>
      <c r="E164">
        <v>64.463500999999994</v>
      </c>
      <c r="F164">
        <v>63.314751000000001</v>
      </c>
      <c r="G164">
        <v>64.378997999999996</v>
      </c>
      <c r="H164">
        <v>49988000</v>
      </c>
      <c r="I164">
        <f t="shared" si="16"/>
        <v>0</v>
      </c>
      <c r="J164">
        <f t="shared" si="17"/>
        <v>0.77</v>
      </c>
      <c r="K164" t="str">
        <f t="shared" si="18"/>
        <v>Positive</v>
      </c>
      <c r="L164" s="10">
        <f t="shared" si="19"/>
        <v>1.1960375649213996E-2</v>
      </c>
      <c r="M164" t="str">
        <f t="shared" si="20"/>
        <v/>
      </c>
    </row>
    <row r="165" spans="1:13" x14ac:dyDescent="0.2">
      <c r="A165" s="21" t="s">
        <v>191</v>
      </c>
      <c r="B165" s="21" t="str">
        <f t="shared" si="14"/>
        <v>Tuesday</v>
      </c>
      <c r="C165" s="9">
        <f t="shared" si="15"/>
        <v>43585</v>
      </c>
      <c r="D165">
        <v>59.25</v>
      </c>
      <c r="E165">
        <v>59.640498999999998</v>
      </c>
      <c r="F165">
        <v>58.75</v>
      </c>
      <c r="G165">
        <v>59.423999999999999</v>
      </c>
      <c r="H165">
        <v>124140000</v>
      </c>
      <c r="I165">
        <f t="shared" si="16"/>
        <v>0</v>
      </c>
      <c r="J165">
        <f t="shared" si="17"/>
        <v>-4.95</v>
      </c>
      <c r="K165" t="str">
        <f t="shared" si="18"/>
        <v>Negative</v>
      </c>
      <c r="L165" s="10">
        <f t="shared" si="19"/>
        <v>-8.3383784329563754E-2</v>
      </c>
      <c r="M165" t="str">
        <f t="shared" si="20"/>
        <v/>
      </c>
    </row>
    <row r="166" spans="1:13" x14ac:dyDescent="0.2">
      <c r="A166" s="21" t="s">
        <v>192</v>
      </c>
      <c r="B166" s="21" t="str">
        <f t="shared" si="14"/>
        <v>Wednesday</v>
      </c>
      <c r="C166" s="9">
        <f t="shared" si="15"/>
        <v>43586</v>
      </c>
      <c r="D166">
        <v>59.402500000000003</v>
      </c>
      <c r="E166">
        <v>59.402500000000003</v>
      </c>
      <c r="F166">
        <v>58.359000999999999</v>
      </c>
      <c r="G166">
        <v>58.403998999999999</v>
      </c>
      <c r="H166">
        <v>52784000</v>
      </c>
      <c r="I166">
        <f t="shared" si="16"/>
        <v>0</v>
      </c>
      <c r="J166">
        <f t="shared" si="17"/>
        <v>-1.02</v>
      </c>
      <c r="K166" t="str">
        <f t="shared" si="18"/>
        <v>Negative</v>
      </c>
      <c r="L166" s="10">
        <f t="shared" si="19"/>
        <v>-1.7464574643253464E-2</v>
      </c>
      <c r="M166" t="str">
        <f t="shared" si="20"/>
        <v/>
      </c>
    </row>
    <row r="167" spans="1:13" x14ac:dyDescent="0.2">
      <c r="A167" s="21" t="s">
        <v>193</v>
      </c>
      <c r="B167" s="21" t="str">
        <f t="shared" si="14"/>
        <v>Thursday</v>
      </c>
      <c r="C167" s="9">
        <f t="shared" si="15"/>
        <v>43587</v>
      </c>
      <c r="D167">
        <v>58.387999999999998</v>
      </c>
      <c r="E167">
        <v>58.709499000000001</v>
      </c>
      <c r="F167">
        <v>57.750098999999999</v>
      </c>
      <c r="G167">
        <v>58.130501000000002</v>
      </c>
      <c r="H167">
        <v>38896000</v>
      </c>
      <c r="I167">
        <f t="shared" si="16"/>
        <v>0</v>
      </c>
      <c r="J167">
        <f t="shared" si="17"/>
        <v>-0.27</v>
      </c>
      <c r="K167" t="str">
        <f t="shared" si="18"/>
        <v>Negative</v>
      </c>
      <c r="L167" s="10">
        <f t="shared" si="19"/>
        <v>-4.7048966600166829E-3</v>
      </c>
      <c r="M167" t="str">
        <f t="shared" si="20"/>
        <v/>
      </c>
    </row>
    <row r="168" spans="1:13" x14ac:dyDescent="0.2">
      <c r="A168" s="21" t="s">
        <v>194</v>
      </c>
      <c r="B168" s="21" t="str">
        <f t="shared" si="14"/>
        <v>Friday</v>
      </c>
      <c r="C168" s="9">
        <f t="shared" si="15"/>
        <v>43588</v>
      </c>
      <c r="D168">
        <v>58.682499</v>
      </c>
      <c r="E168">
        <v>59.34</v>
      </c>
      <c r="F168">
        <v>58.450001</v>
      </c>
      <c r="G168">
        <v>59.27</v>
      </c>
      <c r="H168">
        <v>39614000</v>
      </c>
      <c r="I168">
        <f t="shared" si="16"/>
        <v>0</v>
      </c>
      <c r="J168">
        <f t="shared" si="17"/>
        <v>1.1399999999999999</v>
      </c>
      <c r="K168" t="str">
        <f t="shared" si="18"/>
        <v>Positive</v>
      </c>
      <c r="L168" s="10">
        <f t="shared" si="19"/>
        <v>1.9225560992070199E-2</v>
      </c>
      <c r="M168" t="str">
        <f t="shared" si="20"/>
        <v/>
      </c>
    </row>
    <row r="169" spans="1:13" x14ac:dyDescent="0.2">
      <c r="A169" s="21" t="s">
        <v>195</v>
      </c>
      <c r="B169" s="21" t="str">
        <f t="shared" si="14"/>
        <v>Monday</v>
      </c>
      <c r="C169" s="9">
        <f t="shared" si="15"/>
        <v>43591</v>
      </c>
      <c r="D169">
        <v>58.313000000000002</v>
      </c>
      <c r="E169">
        <v>59.542499999999997</v>
      </c>
      <c r="F169">
        <v>58.313000000000002</v>
      </c>
      <c r="G169">
        <v>59.469501000000001</v>
      </c>
      <c r="H169">
        <v>31278000</v>
      </c>
      <c r="I169">
        <f t="shared" si="16"/>
        <v>0</v>
      </c>
      <c r="J169">
        <f t="shared" si="17"/>
        <v>0.2</v>
      </c>
      <c r="K169" t="str">
        <f t="shared" si="18"/>
        <v>Positive</v>
      </c>
      <c r="L169" s="10">
        <f t="shared" si="19"/>
        <v>3.3546775514393156E-3</v>
      </c>
      <c r="M169" t="str">
        <f t="shared" si="20"/>
        <v/>
      </c>
    </row>
    <row r="170" spans="1:13" x14ac:dyDescent="0.2">
      <c r="A170" s="21" t="s">
        <v>196</v>
      </c>
      <c r="B170" s="21" t="str">
        <f t="shared" si="14"/>
        <v>Tuesday</v>
      </c>
      <c r="C170" s="9">
        <f t="shared" si="15"/>
        <v>43592</v>
      </c>
      <c r="D170">
        <v>59.023499000000001</v>
      </c>
      <c r="E170">
        <v>59.521999000000001</v>
      </c>
      <c r="F170">
        <v>58.051997999999998</v>
      </c>
      <c r="G170">
        <v>58.705002</v>
      </c>
      <c r="H170">
        <v>31028000</v>
      </c>
      <c r="I170">
        <f t="shared" si="16"/>
        <v>0</v>
      </c>
      <c r="J170">
        <f t="shared" si="17"/>
        <v>-0.76</v>
      </c>
      <c r="K170" t="str">
        <f t="shared" si="18"/>
        <v>Negative</v>
      </c>
      <c r="L170" s="10">
        <f t="shared" si="19"/>
        <v>-1.3022723344767125E-2</v>
      </c>
      <c r="M170" t="str">
        <f t="shared" si="20"/>
        <v/>
      </c>
    </row>
    <row r="171" spans="1:13" x14ac:dyDescent="0.2">
      <c r="A171" s="21" t="s">
        <v>197</v>
      </c>
      <c r="B171" s="21" t="str">
        <f t="shared" si="14"/>
        <v>Wednesday</v>
      </c>
      <c r="C171" s="9">
        <f t="shared" si="15"/>
        <v>43593</v>
      </c>
      <c r="D171">
        <v>58.600498000000002</v>
      </c>
      <c r="E171">
        <v>59.021197999999998</v>
      </c>
      <c r="F171">
        <v>58.286999000000002</v>
      </c>
      <c r="G171">
        <v>58.313499</v>
      </c>
      <c r="H171">
        <v>26186000</v>
      </c>
      <c r="I171">
        <f t="shared" si="16"/>
        <v>0</v>
      </c>
      <c r="J171">
        <f t="shared" si="17"/>
        <v>-0.39</v>
      </c>
      <c r="K171" t="str">
        <f t="shared" si="18"/>
        <v>Negative</v>
      </c>
      <c r="L171" s="10">
        <f t="shared" si="19"/>
        <v>-6.7137627944431899E-3</v>
      </c>
      <c r="M171" t="str">
        <f t="shared" si="20"/>
        <v/>
      </c>
    </row>
    <row r="172" spans="1:13" x14ac:dyDescent="0.2">
      <c r="A172" s="21" t="s">
        <v>198</v>
      </c>
      <c r="B172" s="21" t="str">
        <f t="shared" si="14"/>
        <v>Thursday</v>
      </c>
      <c r="C172" s="9">
        <f t="shared" si="15"/>
        <v>43594</v>
      </c>
      <c r="D172">
        <v>57.951500000000003</v>
      </c>
      <c r="E172">
        <v>58.483001999999999</v>
      </c>
      <c r="F172">
        <v>57.542499999999997</v>
      </c>
      <c r="G172">
        <v>58.118999000000002</v>
      </c>
      <c r="H172">
        <v>23714000</v>
      </c>
      <c r="I172">
        <f t="shared" si="16"/>
        <v>0</v>
      </c>
      <c r="J172">
        <f t="shared" si="17"/>
        <v>-0.19</v>
      </c>
      <c r="K172" t="str">
        <f t="shared" si="18"/>
        <v>Negative</v>
      </c>
      <c r="L172" s="10">
        <f t="shared" si="19"/>
        <v>-3.3465820703484223E-3</v>
      </c>
      <c r="M172" t="str">
        <f t="shared" si="20"/>
        <v/>
      </c>
    </row>
    <row r="173" spans="1:13" x14ac:dyDescent="0.2">
      <c r="A173" s="21" t="s">
        <v>199</v>
      </c>
      <c r="B173" s="21" t="str">
        <f t="shared" si="14"/>
        <v>Friday</v>
      </c>
      <c r="C173" s="9">
        <f t="shared" si="15"/>
        <v>43595</v>
      </c>
      <c r="D173">
        <v>58.179501000000002</v>
      </c>
      <c r="E173">
        <v>58.630001</v>
      </c>
      <c r="F173">
        <v>57.125</v>
      </c>
      <c r="G173">
        <v>58.213501000000001</v>
      </c>
      <c r="H173">
        <v>26290000</v>
      </c>
      <c r="I173">
        <f t="shared" si="16"/>
        <v>0</v>
      </c>
      <c r="J173">
        <f t="shared" si="17"/>
        <v>0.09</v>
      </c>
      <c r="K173" t="str">
        <f t="shared" si="18"/>
        <v>Positive</v>
      </c>
      <c r="L173" s="10">
        <f t="shared" si="19"/>
        <v>1.6233691218811685E-3</v>
      </c>
      <c r="M173" t="str">
        <f t="shared" si="20"/>
        <v/>
      </c>
    </row>
    <row r="174" spans="1:13" x14ac:dyDescent="0.2">
      <c r="A174" s="21" t="s">
        <v>200</v>
      </c>
      <c r="B174" s="21" t="str">
        <f t="shared" si="14"/>
        <v>Monday</v>
      </c>
      <c r="C174" s="9">
        <f t="shared" si="15"/>
        <v>43598</v>
      </c>
      <c r="D174">
        <v>57.097999999999999</v>
      </c>
      <c r="E174">
        <v>57.396999000000001</v>
      </c>
      <c r="F174">
        <v>56.105499000000002</v>
      </c>
      <c r="G174">
        <v>56.601500999999999</v>
      </c>
      <c r="H174">
        <v>37212000</v>
      </c>
      <c r="I174">
        <f t="shared" si="16"/>
        <v>0</v>
      </c>
      <c r="J174">
        <f t="shared" si="17"/>
        <v>-1.61</v>
      </c>
      <c r="K174" t="str">
        <f t="shared" si="18"/>
        <v>Negative</v>
      </c>
      <c r="L174" s="10">
        <f t="shared" si="19"/>
        <v>-2.8479810102562508E-2</v>
      </c>
      <c r="M174" t="str">
        <f t="shared" si="20"/>
        <v/>
      </c>
    </row>
    <row r="175" spans="1:13" x14ac:dyDescent="0.2">
      <c r="A175" s="21" t="s">
        <v>201</v>
      </c>
      <c r="B175" s="21" t="str">
        <f t="shared" si="14"/>
        <v>Tuesday</v>
      </c>
      <c r="C175" s="9">
        <f t="shared" si="15"/>
        <v>43599</v>
      </c>
      <c r="D175">
        <v>56.860500000000002</v>
      </c>
      <c r="E175">
        <v>57.021000000000001</v>
      </c>
      <c r="F175">
        <v>55.977500999999997</v>
      </c>
      <c r="G175">
        <v>56.021999000000001</v>
      </c>
      <c r="H175">
        <v>36732000</v>
      </c>
      <c r="I175">
        <f t="shared" si="16"/>
        <v>0</v>
      </c>
      <c r="J175">
        <f t="shared" si="17"/>
        <v>-0.57999999999999996</v>
      </c>
      <c r="K175" t="str">
        <f t="shared" si="18"/>
        <v>Negative</v>
      </c>
      <c r="L175" s="10">
        <f t="shared" si="19"/>
        <v>-1.0344186397204391E-2</v>
      </c>
      <c r="M175" t="str">
        <f t="shared" si="20"/>
        <v/>
      </c>
    </row>
    <row r="176" spans="1:13" x14ac:dyDescent="0.2">
      <c r="A176" s="21" t="s">
        <v>202</v>
      </c>
      <c r="B176" s="21" t="str">
        <f t="shared" si="14"/>
        <v>Wednesday</v>
      </c>
      <c r="C176" s="9">
        <f t="shared" si="15"/>
        <v>43600</v>
      </c>
      <c r="D176">
        <v>55.893501000000001</v>
      </c>
      <c r="E176">
        <v>58.566502</v>
      </c>
      <c r="F176">
        <v>55.833302000000003</v>
      </c>
      <c r="G176">
        <v>58.210498999999999</v>
      </c>
      <c r="H176">
        <v>45786000</v>
      </c>
      <c r="I176">
        <f t="shared" si="16"/>
        <v>0</v>
      </c>
      <c r="J176">
        <f t="shared" si="17"/>
        <v>2.19</v>
      </c>
      <c r="K176" t="str">
        <f t="shared" si="18"/>
        <v>Positive</v>
      </c>
      <c r="L176" s="10">
        <f t="shared" si="19"/>
        <v>3.7596310589950409E-2</v>
      </c>
      <c r="M176" t="str">
        <f t="shared" si="20"/>
        <v/>
      </c>
    </row>
    <row r="177" spans="1:13" x14ac:dyDescent="0.2">
      <c r="A177" s="21" t="s">
        <v>203</v>
      </c>
      <c r="B177" s="21" t="str">
        <f t="shared" si="14"/>
        <v>Thursday</v>
      </c>
      <c r="C177" s="9">
        <f t="shared" si="15"/>
        <v>43601</v>
      </c>
      <c r="D177">
        <v>58.225498000000002</v>
      </c>
      <c r="E177">
        <v>59.408000999999999</v>
      </c>
      <c r="F177">
        <v>58.141998000000001</v>
      </c>
      <c r="G177">
        <v>58.949001000000003</v>
      </c>
      <c r="H177">
        <v>30628000</v>
      </c>
      <c r="I177">
        <f t="shared" si="16"/>
        <v>0</v>
      </c>
      <c r="J177">
        <f t="shared" si="17"/>
        <v>0.74</v>
      </c>
      <c r="K177" t="str">
        <f t="shared" si="18"/>
        <v>Positive</v>
      </c>
      <c r="L177" s="10">
        <f t="shared" si="19"/>
        <v>1.2527811964107821E-2</v>
      </c>
      <c r="M177" t="str">
        <f t="shared" si="20"/>
        <v/>
      </c>
    </row>
    <row r="178" spans="1:13" x14ac:dyDescent="0.2">
      <c r="A178" s="21" t="s">
        <v>204</v>
      </c>
      <c r="B178" s="21" t="str">
        <f t="shared" si="14"/>
        <v>Friday</v>
      </c>
      <c r="C178" s="9">
        <f t="shared" si="15"/>
        <v>43602</v>
      </c>
      <c r="D178">
        <v>58.423499999999997</v>
      </c>
      <c r="E178">
        <v>59.0075</v>
      </c>
      <c r="F178">
        <v>58.000500000000002</v>
      </c>
      <c r="G178">
        <v>58.115001999999997</v>
      </c>
      <c r="H178">
        <v>24172000</v>
      </c>
      <c r="I178">
        <f t="shared" si="16"/>
        <v>0</v>
      </c>
      <c r="J178">
        <f t="shared" si="17"/>
        <v>-0.83</v>
      </c>
      <c r="K178" t="str">
        <f t="shared" si="18"/>
        <v>Negative</v>
      </c>
      <c r="L178" s="10">
        <f t="shared" si="19"/>
        <v>-1.4350838360119229E-2</v>
      </c>
      <c r="M178" t="str">
        <f t="shared" si="20"/>
        <v/>
      </c>
    </row>
    <row r="179" spans="1:13" x14ac:dyDescent="0.2">
      <c r="A179" s="21" t="s">
        <v>205</v>
      </c>
      <c r="B179" s="21" t="str">
        <f t="shared" si="14"/>
        <v>Monday</v>
      </c>
      <c r="C179" s="9">
        <f t="shared" si="15"/>
        <v>43605</v>
      </c>
      <c r="D179">
        <v>57.224997999999999</v>
      </c>
      <c r="E179">
        <v>57.339851000000003</v>
      </c>
      <c r="F179">
        <v>56.572150999999998</v>
      </c>
      <c r="G179">
        <v>56.942501</v>
      </c>
      <c r="H179">
        <v>27066000</v>
      </c>
      <c r="I179">
        <f t="shared" si="16"/>
        <v>0</v>
      </c>
      <c r="J179">
        <f t="shared" si="17"/>
        <v>-1.17</v>
      </c>
      <c r="K179" t="str">
        <f t="shared" si="18"/>
        <v>Negative</v>
      </c>
      <c r="L179" s="10">
        <f t="shared" si="19"/>
        <v>-2.0590964207912062E-2</v>
      </c>
      <c r="M179" t="str">
        <f t="shared" si="20"/>
        <v/>
      </c>
    </row>
    <row r="180" spans="1:13" x14ac:dyDescent="0.2">
      <c r="A180" s="21" t="s">
        <v>206</v>
      </c>
      <c r="B180" s="21" t="str">
        <f t="shared" si="14"/>
        <v>Tuesday</v>
      </c>
      <c r="C180" s="9">
        <f t="shared" si="15"/>
        <v>43606</v>
      </c>
      <c r="D180">
        <v>57.424500000000002</v>
      </c>
      <c r="E180">
        <v>57.635399</v>
      </c>
      <c r="F180">
        <v>56.896999000000001</v>
      </c>
      <c r="G180">
        <v>57.481498999999999</v>
      </c>
      <c r="H180">
        <v>23196000</v>
      </c>
      <c r="I180">
        <f t="shared" si="16"/>
        <v>0</v>
      </c>
      <c r="J180">
        <f t="shared" si="17"/>
        <v>0.54</v>
      </c>
      <c r="K180" t="str">
        <f t="shared" si="18"/>
        <v>Positive</v>
      </c>
      <c r="L180" s="10">
        <f t="shared" si="19"/>
        <v>9.3768953380982539E-3</v>
      </c>
      <c r="M180" t="str">
        <f t="shared" si="20"/>
        <v/>
      </c>
    </row>
    <row r="181" spans="1:13" x14ac:dyDescent="0.2">
      <c r="A181" s="21" t="s">
        <v>207</v>
      </c>
      <c r="B181" s="21" t="str">
        <f t="shared" si="14"/>
        <v>Wednesday</v>
      </c>
      <c r="C181" s="9">
        <f t="shared" si="15"/>
        <v>43607</v>
      </c>
      <c r="D181">
        <v>57.337502000000001</v>
      </c>
      <c r="E181">
        <v>57.925998999999997</v>
      </c>
      <c r="F181">
        <v>57.294497999999997</v>
      </c>
      <c r="G181">
        <v>57.570999</v>
      </c>
      <c r="H181">
        <v>18290000</v>
      </c>
      <c r="I181">
        <f t="shared" si="16"/>
        <v>0</v>
      </c>
      <c r="J181">
        <f t="shared" si="17"/>
        <v>0.09</v>
      </c>
      <c r="K181" t="str">
        <f t="shared" si="18"/>
        <v>Positive</v>
      </c>
      <c r="L181" s="10">
        <f t="shared" si="19"/>
        <v>1.5546021704435078E-3</v>
      </c>
      <c r="M181" t="str">
        <f t="shared" si="20"/>
        <v/>
      </c>
    </row>
    <row r="182" spans="1:13" x14ac:dyDescent="0.2">
      <c r="A182" s="21" t="s">
        <v>208</v>
      </c>
      <c r="B182" s="21" t="str">
        <f t="shared" si="14"/>
        <v>Thursday</v>
      </c>
      <c r="C182" s="9">
        <f t="shared" si="15"/>
        <v>43608</v>
      </c>
      <c r="D182">
        <v>57.025002000000001</v>
      </c>
      <c r="E182">
        <v>57.298648999999997</v>
      </c>
      <c r="F182">
        <v>56.461201000000003</v>
      </c>
      <c r="G182">
        <v>57.038502000000001</v>
      </c>
      <c r="H182">
        <v>23978000</v>
      </c>
      <c r="I182">
        <f t="shared" si="16"/>
        <v>0</v>
      </c>
      <c r="J182">
        <f t="shared" si="17"/>
        <v>-0.53</v>
      </c>
      <c r="K182" t="str">
        <f t="shared" si="18"/>
        <v>Negative</v>
      </c>
      <c r="L182" s="10">
        <f t="shared" si="19"/>
        <v>-9.3357465804413883E-3</v>
      </c>
      <c r="M182" t="str">
        <f t="shared" si="20"/>
        <v/>
      </c>
    </row>
    <row r="183" spans="1:13" x14ac:dyDescent="0.2">
      <c r="A183" s="21" t="s">
        <v>209</v>
      </c>
      <c r="B183" s="21" t="str">
        <f t="shared" si="14"/>
        <v>Friday</v>
      </c>
      <c r="C183" s="9">
        <f t="shared" si="15"/>
        <v>43609</v>
      </c>
      <c r="D183">
        <v>57.368000000000002</v>
      </c>
      <c r="E183">
        <v>57.488250999999998</v>
      </c>
      <c r="F183">
        <v>56.582999999999998</v>
      </c>
      <c r="G183">
        <v>56.673499999999997</v>
      </c>
      <c r="H183">
        <v>22240000</v>
      </c>
      <c r="I183">
        <f t="shared" si="16"/>
        <v>0</v>
      </c>
      <c r="J183">
        <f t="shared" si="17"/>
        <v>-0.37</v>
      </c>
      <c r="K183" t="str">
        <f t="shared" si="18"/>
        <v>Negative</v>
      </c>
      <c r="L183" s="10">
        <f t="shared" si="19"/>
        <v>-6.4404351239998247E-3</v>
      </c>
      <c r="M183" t="str">
        <f t="shared" si="20"/>
        <v/>
      </c>
    </row>
    <row r="184" spans="1:13" x14ac:dyDescent="0.2">
      <c r="A184" s="21" t="s">
        <v>210</v>
      </c>
      <c r="B184" s="21" t="str">
        <f t="shared" si="14"/>
        <v>Tuesday</v>
      </c>
      <c r="C184" s="9">
        <f t="shared" si="15"/>
        <v>43613</v>
      </c>
      <c r="D184">
        <v>56.700001</v>
      </c>
      <c r="E184">
        <f>E183</f>
        <v>57.488250999999998</v>
      </c>
      <c r="F184">
        <v>56.655997999999997</v>
      </c>
      <c r="G184">
        <v>56.707500000000003</v>
      </c>
      <c r="H184">
        <v>27300000</v>
      </c>
      <c r="I184">
        <f t="shared" si="16"/>
        <v>0</v>
      </c>
      <c r="J184">
        <f t="shared" si="17"/>
        <v>0.03</v>
      </c>
      <c r="K184" t="str">
        <f t="shared" si="18"/>
        <v>Positive</v>
      </c>
      <c r="L184" s="10">
        <f t="shared" si="19"/>
        <v>5.9956795838303619E-4</v>
      </c>
      <c r="M184" t="str">
        <f t="shared" si="20"/>
        <v/>
      </c>
    </row>
    <row r="185" spans="1:13" x14ac:dyDescent="0.2">
      <c r="A185" s="21" t="s">
        <v>211</v>
      </c>
      <c r="B185" s="21" t="str">
        <f t="shared" si="14"/>
        <v>Wednesday</v>
      </c>
      <c r="C185" s="9">
        <f t="shared" si="15"/>
        <v>43614</v>
      </c>
      <c r="D185">
        <v>56.375999</v>
      </c>
      <c r="E185">
        <v>56.455002</v>
      </c>
      <c r="F185">
        <v>55.410998999999997</v>
      </c>
      <c r="G185">
        <v>55.823002000000002</v>
      </c>
      <c r="H185">
        <v>30764000</v>
      </c>
      <c r="I185">
        <f t="shared" si="16"/>
        <v>0</v>
      </c>
      <c r="J185">
        <f t="shared" si="17"/>
        <v>-0.88</v>
      </c>
      <c r="K185" t="str">
        <f t="shared" si="18"/>
        <v>Negative</v>
      </c>
      <c r="L185" s="10">
        <f t="shared" si="19"/>
        <v>-1.5844687105863647E-2</v>
      </c>
      <c r="M185" t="str">
        <f t="shared" si="20"/>
        <v/>
      </c>
    </row>
    <row r="186" spans="1:13" x14ac:dyDescent="0.2">
      <c r="A186" s="21" t="s">
        <v>212</v>
      </c>
      <c r="B186" s="21" t="str">
        <f t="shared" si="14"/>
        <v>Thursday</v>
      </c>
      <c r="C186" s="9">
        <f t="shared" si="15"/>
        <v>43615</v>
      </c>
      <c r="D186">
        <v>55.777000000000001</v>
      </c>
      <c r="E186">
        <v>56.156502000000003</v>
      </c>
      <c r="F186">
        <v>55.605998999999997</v>
      </c>
      <c r="G186">
        <v>55.897499000000003</v>
      </c>
      <c r="H186">
        <v>19038000</v>
      </c>
      <c r="I186">
        <f t="shared" si="16"/>
        <v>0</v>
      </c>
      <c r="J186">
        <f t="shared" si="17"/>
        <v>7.0000000000000007E-2</v>
      </c>
      <c r="K186" t="str">
        <f t="shared" si="18"/>
        <v>Positive</v>
      </c>
      <c r="L186" s="10">
        <f t="shared" si="19"/>
        <v>1.3327429908805207E-3</v>
      </c>
      <c r="M186" t="str">
        <f t="shared" si="20"/>
        <v/>
      </c>
    </row>
    <row r="187" spans="1:13" x14ac:dyDescent="0.2">
      <c r="A187" s="21" t="s">
        <v>213</v>
      </c>
      <c r="B187" s="21" t="str">
        <f t="shared" si="14"/>
        <v>Friday</v>
      </c>
      <c r="C187" s="9">
        <f t="shared" si="15"/>
        <v>43616</v>
      </c>
      <c r="D187">
        <v>55.064498999999998</v>
      </c>
      <c r="E187">
        <v>55.48</v>
      </c>
      <c r="F187">
        <v>55.008999000000003</v>
      </c>
      <c r="G187">
        <v>55.181499000000002</v>
      </c>
      <c r="H187">
        <v>30156000</v>
      </c>
      <c r="I187">
        <f t="shared" si="16"/>
        <v>0</v>
      </c>
      <c r="J187">
        <f t="shared" si="17"/>
        <v>-0.72</v>
      </c>
      <c r="K187" t="str">
        <f t="shared" si="18"/>
        <v>Negative</v>
      </c>
      <c r="L187" s="10">
        <f t="shared" si="19"/>
        <v>-1.297536335502595E-2</v>
      </c>
      <c r="M187" t="str">
        <f t="shared" si="20"/>
        <v/>
      </c>
    </row>
    <row r="188" spans="1:13" x14ac:dyDescent="0.2">
      <c r="A188" s="21" t="s">
        <v>214</v>
      </c>
      <c r="B188" s="21" t="str">
        <f t="shared" si="14"/>
        <v>Monday</v>
      </c>
      <c r="C188" s="9">
        <f t="shared" si="15"/>
        <v>43619</v>
      </c>
      <c r="D188">
        <v>53.275002000000001</v>
      </c>
      <c r="E188">
        <v>53.275002000000001</v>
      </c>
      <c r="F188">
        <v>51.25</v>
      </c>
      <c r="G188">
        <v>51.811501</v>
      </c>
      <c r="H188">
        <v>102612000</v>
      </c>
      <c r="I188">
        <f t="shared" si="16"/>
        <v>0</v>
      </c>
      <c r="J188">
        <f t="shared" si="17"/>
        <v>-3.37</v>
      </c>
      <c r="K188" t="str">
        <f t="shared" si="18"/>
        <v>Negative</v>
      </c>
      <c r="L188" s="10">
        <f t="shared" si="19"/>
        <v>-6.5043435047365303E-2</v>
      </c>
      <c r="M188" t="str">
        <f t="shared" si="20"/>
        <v/>
      </c>
    </row>
    <row r="189" spans="1:13" x14ac:dyDescent="0.2">
      <c r="A189" s="21" t="s">
        <v>215</v>
      </c>
      <c r="B189" s="21" t="str">
        <f t="shared" si="14"/>
        <v>Tuesday</v>
      </c>
      <c r="C189" s="9">
        <f t="shared" si="15"/>
        <v>43620</v>
      </c>
      <c r="D189">
        <v>52.145000000000003</v>
      </c>
      <c r="E189">
        <v>52.802501999999997</v>
      </c>
      <c r="F189">
        <v>51.684502000000002</v>
      </c>
      <c r="G189">
        <v>52.652500000000003</v>
      </c>
      <c r="H189">
        <v>56670000</v>
      </c>
      <c r="I189">
        <f t="shared" si="16"/>
        <v>0</v>
      </c>
      <c r="J189">
        <f t="shared" si="17"/>
        <v>0.84</v>
      </c>
      <c r="K189" t="str">
        <f t="shared" si="18"/>
        <v>Positive</v>
      </c>
      <c r="L189" s="10">
        <f t="shared" si="19"/>
        <v>1.5972631878828233E-2</v>
      </c>
      <c r="M189" t="str">
        <f t="shared" si="20"/>
        <v/>
      </c>
    </row>
    <row r="190" spans="1:13" x14ac:dyDescent="0.2">
      <c r="A190" s="21" t="s">
        <v>216</v>
      </c>
      <c r="B190" s="21" t="str">
        <f t="shared" si="14"/>
        <v>Wednesday</v>
      </c>
      <c r="C190" s="9">
        <f t="shared" si="15"/>
        <v>43621</v>
      </c>
      <c r="D190">
        <v>52.576999999999998</v>
      </c>
      <c r="E190">
        <v>52.677501999999997</v>
      </c>
      <c r="F190">
        <v>51.524501999999998</v>
      </c>
      <c r="G190">
        <v>52.110999999999997</v>
      </c>
      <c r="H190">
        <v>43368000</v>
      </c>
      <c r="I190">
        <f t="shared" si="16"/>
        <v>0</v>
      </c>
      <c r="J190">
        <f t="shared" si="17"/>
        <v>-0.54</v>
      </c>
      <c r="K190" t="str">
        <f t="shared" si="18"/>
        <v>Negative</v>
      </c>
      <c r="L190" s="10">
        <f t="shared" si="19"/>
        <v>-1.0391280151983389E-2</v>
      </c>
      <c r="M190" t="str">
        <f t="shared" si="20"/>
        <v/>
      </c>
    </row>
    <row r="191" spans="1:13" x14ac:dyDescent="0.2">
      <c r="A191" s="21" t="s">
        <v>217</v>
      </c>
      <c r="B191" s="21" t="str">
        <f t="shared" si="14"/>
        <v>Thursday</v>
      </c>
      <c r="C191" s="9">
        <f t="shared" si="15"/>
        <v>43622</v>
      </c>
      <c r="D191">
        <v>52.249499999999998</v>
      </c>
      <c r="E191">
        <v>52.374499999999998</v>
      </c>
      <c r="F191">
        <v>51.685001</v>
      </c>
      <c r="G191">
        <v>52.216999000000001</v>
      </c>
      <c r="H191">
        <v>34064000</v>
      </c>
      <c r="I191">
        <f t="shared" si="16"/>
        <v>0</v>
      </c>
      <c r="J191">
        <f t="shared" si="17"/>
        <v>0.11</v>
      </c>
      <c r="K191" t="str">
        <f t="shared" si="18"/>
        <v>Positive</v>
      </c>
      <c r="L191" s="10">
        <f t="shared" si="19"/>
        <v>2.0299711210903593E-3</v>
      </c>
      <c r="M191" t="str">
        <f t="shared" si="20"/>
        <v/>
      </c>
    </row>
    <row r="192" spans="1:13" x14ac:dyDescent="0.2">
      <c r="A192" s="21" t="s">
        <v>218</v>
      </c>
      <c r="B192" s="21" t="str">
        <f t="shared" si="14"/>
        <v>Friday</v>
      </c>
      <c r="C192" s="9">
        <f t="shared" si="15"/>
        <v>43623</v>
      </c>
      <c r="D192">
        <v>52.531502000000003</v>
      </c>
      <c r="E192">
        <v>53.546000999999997</v>
      </c>
      <c r="F192">
        <v>52.419998</v>
      </c>
      <c r="G192">
        <v>53.301997999999998</v>
      </c>
      <c r="H192">
        <v>36048000</v>
      </c>
      <c r="I192">
        <f t="shared" si="16"/>
        <v>0</v>
      </c>
      <c r="J192">
        <f t="shared" si="17"/>
        <v>1.08</v>
      </c>
      <c r="K192" t="str">
        <f t="shared" si="18"/>
        <v>Positive</v>
      </c>
      <c r="L192" s="10">
        <f t="shared" si="19"/>
        <v>2.0355690981790145E-2</v>
      </c>
      <c r="M192" t="str">
        <f t="shared" si="20"/>
        <v/>
      </c>
    </row>
    <row r="193" spans="1:13" x14ac:dyDescent="0.2">
      <c r="A193" s="21" t="s">
        <v>219</v>
      </c>
      <c r="B193" s="21" t="str">
        <f t="shared" si="14"/>
        <v>Monday</v>
      </c>
      <c r="C193" s="9">
        <f t="shared" si="15"/>
        <v>43626</v>
      </c>
      <c r="D193">
        <v>53.648997999999999</v>
      </c>
      <c r="E193">
        <v>54.632998999999998</v>
      </c>
      <c r="F193">
        <v>53.616100000000003</v>
      </c>
      <c r="G193">
        <v>54.019001000000003</v>
      </c>
      <c r="H193">
        <v>29284000</v>
      </c>
      <c r="I193">
        <f t="shared" si="16"/>
        <v>0</v>
      </c>
      <c r="J193">
        <f t="shared" si="17"/>
        <v>0.72</v>
      </c>
      <c r="K193" t="str">
        <f t="shared" si="18"/>
        <v>Positive</v>
      </c>
      <c r="L193" s="10">
        <f t="shared" si="19"/>
        <v>1.3273162900587616E-2</v>
      </c>
      <c r="M193" t="str">
        <f t="shared" si="20"/>
        <v/>
      </c>
    </row>
    <row r="194" spans="1:13" x14ac:dyDescent="0.2">
      <c r="A194" s="21" t="s">
        <v>220</v>
      </c>
      <c r="B194" s="21" t="str">
        <f t="shared" si="14"/>
        <v>Tuesday</v>
      </c>
      <c r="C194" s="9">
        <f t="shared" si="15"/>
        <v>43627</v>
      </c>
      <c r="D194">
        <v>54.699001000000003</v>
      </c>
      <c r="E194">
        <v>55.099499000000002</v>
      </c>
      <c r="F194">
        <v>53.88015</v>
      </c>
      <c r="G194">
        <v>53.936000999999997</v>
      </c>
      <c r="H194">
        <v>28734000</v>
      </c>
      <c r="I194">
        <f t="shared" si="16"/>
        <v>0</v>
      </c>
      <c r="J194">
        <f t="shared" si="17"/>
        <v>-0.08</v>
      </c>
      <c r="K194" t="str">
        <f t="shared" si="18"/>
        <v>Negative</v>
      </c>
      <c r="L194" s="10">
        <f t="shared" si="19"/>
        <v>-1.5388608436136286E-3</v>
      </c>
      <c r="M194" t="str">
        <f t="shared" si="20"/>
        <v/>
      </c>
    </row>
    <row r="195" spans="1:13" x14ac:dyDescent="0.2">
      <c r="A195" s="21" t="s">
        <v>221</v>
      </c>
      <c r="B195" s="21" t="str">
        <f t="shared" ref="B195:B258" si="21">LEFT(A195,SEARCH(",",A195)-1)</f>
        <v>Wednesday</v>
      </c>
      <c r="C195" s="9">
        <f t="shared" ref="C195:C258" si="22">DATEVALUE(RIGHT(A195,LEN(A195) - SEARCH(",",A195)))</f>
        <v>43628</v>
      </c>
      <c r="D195">
        <v>53.900002000000001</v>
      </c>
      <c r="E195">
        <v>54.046500999999999</v>
      </c>
      <c r="F195">
        <v>53.376998999999998</v>
      </c>
      <c r="G195">
        <v>53.851500999999999</v>
      </c>
      <c r="H195">
        <v>21220000</v>
      </c>
      <c r="I195">
        <f t="shared" ref="I195:I258" si="23">COUNTBLANK(A195:H195)</f>
        <v>0</v>
      </c>
      <c r="J195">
        <f t="shared" ref="J195:J258" si="24">ROUND(IF(ISNUMBER(G194),G195-G194,0),2)</f>
        <v>-0.08</v>
      </c>
      <c r="K195" t="str">
        <f t="shared" ref="K195:K258" si="25">IF(J195=0,"Neutral",IF(J195&gt;0,"Positive","Negative"))</f>
        <v>Negative</v>
      </c>
      <c r="L195" s="10">
        <f t="shared" ref="L195:L258" si="26">IF(ISNUMBER(G194),((G195-G194)/G195),0)</f>
        <v>-1.5691298929624722E-3</v>
      </c>
      <c r="M195" t="str">
        <f t="shared" ref="M195:M258" si="27">IF(L195&gt;0.05,L195,"")</f>
        <v/>
      </c>
    </row>
    <row r="196" spans="1:13" x14ac:dyDescent="0.2">
      <c r="A196" s="21" t="s">
        <v>222</v>
      </c>
      <c r="B196" s="21" t="str">
        <f t="shared" si="21"/>
        <v>Thursday</v>
      </c>
      <c r="C196" s="9">
        <f t="shared" si="22"/>
        <v>43629</v>
      </c>
      <c r="D196">
        <v>54.181998999999998</v>
      </c>
      <c r="E196">
        <v>54.708500000000001</v>
      </c>
      <c r="F196">
        <v>54.0075</v>
      </c>
      <c r="G196">
        <v>54.438499</v>
      </c>
      <c r="H196">
        <v>21154000</v>
      </c>
      <c r="I196">
        <f t="shared" si="23"/>
        <v>0</v>
      </c>
      <c r="J196">
        <f t="shared" si="24"/>
        <v>0.59</v>
      </c>
      <c r="K196" t="str">
        <f t="shared" si="25"/>
        <v>Positive</v>
      </c>
      <c r="L196" s="10">
        <f t="shared" si="26"/>
        <v>1.078277341923041E-2</v>
      </c>
      <c r="M196" t="str">
        <f t="shared" si="27"/>
        <v/>
      </c>
    </row>
    <row r="197" spans="1:13" x14ac:dyDescent="0.2">
      <c r="A197" s="21" t="s">
        <v>223</v>
      </c>
      <c r="B197" s="21" t="str">
        <f t="shared" si="21"/>
        <v>Friday</v>
      </c>
      <c r="C197" s="9">
        <f t="shared" si="22"/>
        <v>43630</v>
      </c>
      <c r="D197">
        <v>54.320999</v>
      </c>
      <c r="E197">
        <v>54.634498999999998</v>
      </c>
      <c r="F197">
        <v>54.008597999999999</v>
      </c>
      <c r="G197">
        <v>54.267502</v>
      </c>
      <c r="H197">
        <v>22230000</v>
      </c>
      <c r="I197">
        <f t="shared" si="23"/>
        <v>0</v>
      </c>
      <c r="J197">
        <f t="shared" si="24"/>
        <v>-0.17</v>
      </c>
      <c r="K197" t="str">
        <f t="shared" si="25"/>
        <v>Negative</v>
      </c>
      <c r="L197" s="10">
        <f t="shared" si="26"/>
        <v>-3.1510018647993017E-3</v>
      </c>
      <c r="M197" t="str">
        <f t="shared" si="27"/>
        <v/>
      </c>
    </row>
    <row r="198" spans="1:13" x14ac:dyDescent="0.2">
      <c r="A198" s="21" t="s">
        <v>224</v>
      </c>
      <c r="B198" s="21" t="str">
        <f t="shared" si="21"/>
        <v>Monday</v>
      </c>
      <c r="C198" s="9">
        <f t="shared" si="22"/>
        <v>43633</v>
      </c>
      <c r="D198">
        <v>54.313999000000003</v>
      </c>
      <c r="E198">
        <v>54.959000000000003</v>
      </c>
      <c r="F198">
        <v>54.313999000000003</v>
      </c>
      <c r="G198">
        <v>54.625</v>
      </c>
      <c r="H198">
        <v>18832000</v>
      </c>
      <c r="I198">
        <f t="shared" si="23"/>
        <v>0</v>
      </c>
      <c r="J198">
        <f t="shared" si="24"/>
        <v>0.36</v>
      </c>
      <c r="K198" t="str">
        <f t="shared" si="25"/>
        <v>Positive</v>
      </c>
      <c r="L198" s="10">
        <f t="shared" si="26"/>
        <v>6.5445858123569728E-3</v>
      </c>
      <c r="M198" t="str">
        <f t="shared" si="27"/>
        <v/>
      </c>
    </row>
    <row r="199" spans="1:13" x14ac:dyDescent="0.2">
      <c r="A199" s="21" t="s">
        <v>225</v>
      </c>
      <c r="B199" s="21" t="str">
        <f t="shared" si="21"/>
        <v>Tuesday</v>
      </c>
      <c r="C199" s="9">
        <f t="shared" si="22"/>
        <v>43634</v>
      </c>
      <c r="D199">
        <v>55.484501000000002</v>
      </c>
      <c r="E199">
        <v>55.819499999999998</v>
      </c>
      <c r="F199">
        <v>54.949500999999998</v>
      </c>
      <c r="G199">
        <v>55.18</v>
      </c>
      <c r="H199">
        <v>27734000</v>
      </c>
      <c r="I199">
        <f t="shared" si="23"/>
        <v>0</v>
      </c>
      <c r="J199">
        <f t="shared" si="24"/>
        <v>0.56000000000000005</v>
      </c>
      <c r="K199" t="str">
        <f t="shared" si="25"/>
        <v>Positive</v>
      </c>
      <c r="L199" s="10">
        <f t="shared" si="26"/>
        <v>1.0057992026096406E-2</v>
      </c>
      <c r="M199" t="str">
        <f t="shared" si="27"/>
        <v/>
      </c>
    </row>
    <row r="200" spans="1:13" x14ac:dyDescent="0.2">
      <c r="A200" s="21" t="s">
        <v>226</v>
      </c>
      <c r="B200" s="21" t="str">
        <f t="shared" si="21"/>
        <v>Wednesday</v>
      </c>
      <c r="C200" s="9">
        <f t="shared" si="22"/>
        <v>43635</v>
      </c>
      <c r="D200">
        <v>55.279998999999997</v>
      </c>
      <c r="E200">
        <v>55.349997999999999</v>
      </c>
      <c r="F200">
        <v>54.673999999999999</v>
      </c>
      <c r="G200">
        <v>55.116501</v>
      </c>
      <c r="H200">
        <v>26776000</v>
      </c>
      <c r="I200">
        <f t="shared" si="23"/>
        <v>0</v>
      </c>
      <c r="J200">
        <f t="shared" si="24"/>
        <v>-0.06</v>
      </c>
      <c r="K200" t="str">
        <f t="shared" si="25"/>
        <v>Negative</v>
      </c>
      <c r="L200" s="10">
        <f t="shared" si="26"/>
        <v>-1.1520869222086539E-3</v>
      </c>
      <c r="M200" t="str">
        <f t="shared" si="27"/>
        <v/>
      </c>
    </row>
    <row r="201" spans="1:13" x14ac:dyDescent="0.2">
      <c r="A201" s="21" t="s">
        <v>227</v>
      </c>
      <c r="B201" s="21" t="str">
        <f t="shared" si="21"/>
        <v>Thursday</v>
      </c>
      <c r="C201" s="9">
        <f t="shared" si="22"/>
        <v>43636</v>
      </c>
      <c r="D201">
        <v>55.999499999999998</v>
      </c>
      <c r="E201">
        <v>56.006000999999998</v>
      </c>
      <c r="F201">
        <v>55.237000000000002</v>
      </c>
      <c r="G201">
        <v>55.570999</v>
      </c>
      <c r="H201">
        <v>25240000</v>
      </c>
      <c r="I201">
        <f t="shared" si="23"/>
        <v>0</v>
      </c>
      <c r="J201">
        <f t="shared" si="24"/>
        <v>0.45</v>
      </c>
      <c r="K201" t="str">
        <f t="shared" si="25"/>
        <v>Positive</v>
      </c>
      <c r="L201" s="10">
        <f t="shared" si="26"/>
        <v>8.1786904712654335E-3</v>
      </c>
      <c r="M201" t="str">
        <f t="shared" si="27"/>
        <v/>
      </c>
    </row>
    <row r="202" spans="1:13" x14ac:dyDescent="0.2">
      <c r="A202" s="21" t="s">
        <v>228</v>
      </c>
      <c r="B202" s="21" t="str">
        <f t="shared" si="21"/>
        <v>Friday</v>
      </c>
      <c r="C202" s="9">
        <f t="shared" si="22"/>
        <v>43637</v>
      </c>
      <c r="D202">
        <v>55.462001999999998</v>
      </c>
      <c r="E202">
        <v>56.205502000000003</v>
      </c>
      <c r="F202">
        <v>55.403998999999999</v>
      </c>
      <c r="G202">
        <v>56.094002000000003</v>
      </c>
      <c r="H202">
        <v>38952000</v>
      </c>
      <c r="I202">
        <f t="shared" si="23"/>
        <v>0</v>
      </c>
      <c r="J202">
        <f t="shared" si="24"/>
        <v>0.52</v>
      </c>
      <c r="K202" t="str">
        <f t="shared" si="25"/>
        <v>Positive</v>
      </c>
      <c r="L202" s="10">
        <f t="shared" si="26"/>
        <v>9.3236884756413476E-3</v>
      </c>
      <c r="M202" t="str">
        <f t="shared" si="27"/>
        <v/>
      </c>
    </row>
    <row r="203" spans="1:13" x14ac:dyDescent="0.2">
      <c r="A203" s="21" t="s">
        <v>229</v>
      </c>
      <c r="B203" s="21" t="str">
        <f t="shared" si="21"/>
        <v>Monday</v>
      </c>
      <c r="C203" s="9">
        <f t="shared" si="22"/>
        <v>43640</v>
      </c>
      <c r="D203">
        <v>55.980499000000002</v>
      </c>
      <c r="E203">
        <v>56.099997999999999</v>
      </c>
      <c r="F203">
        <v>55.550499000000002</v>
      </c>
      <c r="G203">
        <v>55.776001000000001</v>
      </c>
      <c r="H203">
        <v>27912000</v>
      </c>
      <c r="I203">
        <f t="shared" si="23"/>
        <v>0</v>
      </c>
      <c r="J203">
        <f t="shared" si="24"/>
        <v>-0.32</v>
      </c>
      <c r="K203" t="str">
        <f t="shared" si="25"/>
        <v>Negative</v>
      </c>
      <c r="L203" s="10">
        <f t="shared" si="26"/>
        <v>-5.7013947629555306E-3</v>
      </c>
      <c r="M203" t="str">
        <f t="shared" si="27"/>
        <v/>
      </c>
    </row>
    <row r="204" spans="1:13" x14ac:dyDescent="0.2">
      <c r="A204" s="21" t="s">
        <v>230</v>
      </c>
      <c r="B204" s="21" t="str">
        <f t="shared" si="21"/>
        <v>Tuesday</v>
      </c>
      <c r="C204" s="9">
        <f t="shared" si="22"/>
        <v>43641</v>
      </c>
      <c r="D204">
        <v>55.632998999999998</v>
      </c>
      <c r="E204">
        <v>55.717498999999997</v>
      </c>
      <c r="F204">
        <v>54.189999</v>
      </c>
      <c r="G204">
        <v>54.317501</v>
      </c>
      <c r="H204">
        <v>30938000</v>
      </c>
      <c r="I204">
        <f t="shared" si="23"/>
        <v>0</v>
      </c>
      <c r="J204">
        <f t="shared" si="24"/>
        <v>-1.46</v>
      </c>
      <c r="K204" t="str">
        <f t="shared" si="25"/>
        <v>Negative</v>
      </c>
      <c r="L204" s="10">
        <f t="shared" si="26"/>
        <v>-2.685138257741277E-2</v>
      </c>
      <c r="M204" t="str">
        <f t="shared" si="27"/>
        <v/>
      </c>
    </row>
    <row r="205" spans="1:13" x14ac:dyDescent="0.2">
      <c r="A205" s="21" t="s">
        <v>231</v>
      </c>
      <c r="B205" s="21" t="str">
        <f t="shared" si="21"/>
        <v>Wednesday</v>
      </c>
      <c r="C205" s="9">
        <f t="shared" si="22"/>
        <v>43642</v>
      </c>
      <c r="D205">
        <v>54.325001</v>
      </c>
      <c r="E205">
        <v>54.648499000000001</v>
      </c>
      <c r="F205">
        <v>53.612000000000002</v>
      </c>
      <c r="G205">
        <v>53.990001999999997</v>
      </c>
      <c r="H205">
        <v>36218000</v>
      </c>
      <c r="I205">
        <f t="shared" si="23"/>
        <v>0</v>
      </c>
      <c r="J205">
        <f t="shared" si="24"/>
        <v>-0.33</v>
      </c>
      <c r="K205" t="str">
        <f t="shared" si="25"/>
        <v>Negative</v>
      </c>
      <c r="L205" s="10">
        <f t="shared" si="26"/>
        <v>-6.0659193900382356E-3</v>
      </c>
      <c r="M205" t="str">
        <f t="shared" si="27"/>
        <v/>
      </c>
    </row>
    <row r="206" spans="1:13" x14ac:dyDescent="0.2">
      <c r="A206" s="21" t="s">
        <v>232</v>
      </c>
      <c r="B206" s="21" t="str">
        <f t="shared" si="21"/>
        <v>Thursday</v>
      </c>
      <c r="C206" s="9">
        <f t="shared" si="22"/>
        <v>43643</v>
      </c>
      <c r="D206">
        <v>54.200001</v>
      </c>
      <c r="E206">
        <v>54.354999999999997</v>
      </c>
      <c r="F206">
        <v>53.764499999999998</v>
      </c>
      <c r="G206">
        <v>53.800499000000002</v>
      </c>
      <c r="H206">
        <v>20086000</v>
      </c>
      <c r="I206">
        <f t="shared" si="23"/>
        <v>0</v>
      </c>
      <c r="J206">
        <f t="shared" si="24"/>
        <v>-0.19</v>
      </c>
      <c r="K206" t="str">
        <f t="shared" si="25"/>
        <v>Negative</v>
      </c>
      <c r="L206" s="10">
        <f t="shared" si="26"/>
        <v>-3.5223279248765864E-3</v>
      </c>
      <c r="M206" t="str">
        <f t="shared" si="27"/>
        <v/>
      </c>
    </row>
    <row r="207" spans="1:13" x14ac:dyDescent="0.2">
      <c r="A207" s="21" t="s">
        <v>233</v>
      </c>
      <c r="B207" s="21" t="str">
        <f t="shared" si="21"/>
        <v>Friday</v>
      </c>
      <c r="C207" s="9">
        <f t="shared" si="22"/>
        <v>43644</v>
      </c>
      <c r="D207">
        <v>53.819499999999998</v>
      </c>
      <c r="E207">
        <v>54.049999</v>
      </c>
      <c r="F207">
        <v>53.668498999999997</v>
      </c>
      <c r="G207">
        <v>54.045501999999999</v>
      </c>
      <c r="H207">
        <v>33864000</v>
      </c>
      <c r="I207">
        <f t="shared" si="23"/>
        <v>0</v>
      </c>
      <c r="J207">
        <f t="shared" si="24"/>
        <v>0.25</v>
      </c>
      <c r="K207" t="str">
        <f t="shared" si="25"/>
        <v>Positive</v>
      </c>
      <c r="L207" s="10">
        <f t="shared" si="26"/>
        <v>4.5332727226772172E-3</v>
      </c>
      <c r="M207" t="str">
        <f t="shared" si="27"/>
        <v/>
      </c>
    </row>
    <row r="208" spans="1:13" x14ac:dyDescent="0.2">
      <c r="A208" s="21" t="s">
        <v>234</v>
      </c>
      <c r="B208" s="21" t="str">
        <f t="shared" si="21"/>
        <v>Monday</v>
      </c>
      <c r="C208" s="9">
        <f t="shared" si="22"/>
        <v>43647</v>
      </c>
      <c r="D208">
        <v>54.900002000000001</v>
      </c>
      <c r="E208">
        <v>55.379002</v>
      </c>
      <c r="F208">
        <v>54.68515</v>
      </c>
      <c r="G208">
        <v>54.897499000000003</v>
      </c>
      <c r="H208">
        <v>28726000</v>
      </c>
      <c r="I208">
        <f t="shared" si="23"/>
        <v>0</v>
      </c>
      <c r="J208">
        <f t="shared" si="24"/>
        <v>0.85</v>
      </c>
      <c r="K208" t="str">
        <f t="shared" si="25"/>
        <v>Positive</v>
      </c>
      <c r="L208" s="10">
        <f t="shared" si="26"/>
        <v>1.5519778050362627E-2</v>
      </c>
      <c r="M208" t="str">
        <f t="shared" si="27"/>
        <v/>
      </c>
    </row>
    <row r="209" spans="1:13" x14ac:dyDescent="0.2">
      <c r="A209" s="21" t="s">
        <v>235</v>
      </c>
      <c r="B209" s="21" t="str">
        <f t="shared" si="21"/>
        <v>Tuesday</v>
      </c>
      <c r="C209" s="9">
        <f t="shared" si="22"/>
        <v>43648</v>
      </c>
      <c r="D209">
        <v>55.112000000000002</v>
      </c>
      <c r="E209">
        <v>55.588501000000001</v>
      </c>
      <c r="F209">
        <v>54.908501000000001</v>
      </c>
      <c r="G209">
        <v>55.5625</v>
      </c>
      <c r="H209">
        <v>19832000</v>
      </c>
      <c r="I209">
        <f t="shared" si="23"/>
        <v>0</v>
      </c>
      <c r="J209">
        <f t="shared" si="24"/>
        <v>0.67</v>
      </c>
      <c r="K209" t="str">
        <f t="shared" si="25"/>
        <v>Positive</v>
      </c>
      <c r="L209" s="10">
        <f t="shared" si="26"/>
        <v>1.1968521934758095E-2</v>
      </c>
      <c r="M209" t="str">
        <f t="shared" si="27"/>
        <v/>
      </c>
    </row>
    <row r="210" spans="1:13" x14ac:dyDescent="0.2">
      <c r="A210" s="21" t="s">
        <v>236</v>
      </c>
      <c r="B210" s="21" t="str">
        <f t="shared" si="21"/>
        <v>Wednesday</v>
      </c>
      <c r="C210" s="9">
        <f t="shared" si="22"/>
        <v>43649</v>
      </c>
      <c r="D210">
        <v>55.870499000000002</v>
      </c>
      <c r="E210">
        <v>56.338000999999998</v>
      </c>
      <c r="F210">
        <v>55.693001000000002</v>
      </c>
      <c r="G210">
        <v>56.078999000000003</v>
      </c>
      <c r="H210">
        <v>15340000</v>
      </c>
      <c r="I210">
        <f t="shared" si="23"/>
        <v>0</v>
      </c>
      <c r="J210">
        <f t="shared" si="24"/>
        <v>0.52</v>
      </c>
      <c r="K210" t="str">
        <f t="shared" si="25"/>
        <v>Positive</v>
      </c>
      <c r="L210" s="10">
        <f t="shared" si="26"/>
        <v>9.2102036272081658E-3</v>
      </c>
      <c r="M210" t="str">
        <f t="shared" si="27"/>
        <v/>
      </c>
    </row>
    <row r="211" spans="1:13" x14ac:dyDescent="0.2">
      <c r="A211" s="21" t="s">
        <v>237</v>
      </c>
      <c r="B211" s="21" t="str">
        <f t="shared" si="21"/>
        <v>Friday</v>
      </c>
      <c r="C211" s="9">
        <f t="shared" si="22"/>
        <v>43651</v>
      </c>
      <c r="D211">
        <v>55.889999000000003</v>
      </c>
      <c r="E211">
        <v>56.644001000000003</v>
      </c>
      <c r="F211">
        <v>55.806998999999998</v>
      </c>
      <c r="G211">
        <v>56.579498000000001</v>
      </c>
      <c r="H211">
        <v>25286000</v>
      </c>
      <c r="I211">
        <f t="shared" si="23"/>
        <v>0</v>
      </c>
      <c r="J211">
        <f t="shared" si="24"/>
        <v>0.5</v>
      </c>
      <c r="K211" t="str">
        <f t="shared" si="25"/>
        <v>Positive</v>
      </c>
      <c r="L211" s="10">
        <f t="shared" si="26"/>
        <v>8.8459427476715643E-3</v>
      </c>
      <c r="M211" t="str">
        <f t="shared" si="27"/>
        <v/>
      </c>
    </row>
    <row r="212" spans="1:13" x14ac:dyDescent="0.2">
      <c r="A212" s="21" t="s">
        <v>238</v>
      </c>
      <c r="B212" s="21" t="str">
        <f t="shared" si="21"/>
        <v>Monday</v>
      </c>
      <c r="C212" s="9">
        <f t="shared" si="22"/>
        <v>43654</v>
      </c>
      <c r="D212">
        <v>56.258499</v>
      </c>
      <c r="E212">
        <v>56.298999999999999</v>
      </c>
      <c r="F212">
        <v>55.560501000000002</v>
      </c>
      <c r="G212">
        <v>55.817501</v>
      </c>
      <c r="H212">
        <v>24728000</v>
      </c>
      <c r="I212">
        <f t="shared" si="23"/>
        <v>0</v>
      </c>
      <c r="J212">
        <f t="shared" si="24"/>
        <v>-0.76</v>
      </c>
      <c r="K212" t="str">
        <f t="shared" si="25"/>
        <v>Negative</v>
      </c>
      <c r="L212" s="10">
        <f t="shared" si="26"/>
        <v>-1.3651578561354814E-2</v>
      </c>
      <c r="M212" t="str">
        <f t="shared" si="27"/>
        <v/>
      </c>
    </row>
    <row r="213" spans="1:13" x14ac:dyDescent="0.2">
      <c r="A213" s="21" t="s">
        <v>239</v>
      </c>
      <c r="B213" s="21" t="str">
        <f t="shared" si="21"/>
        <v>Tuesday</v>
      </c>
      <c r="C213" s="9">
        <f t="shared" si="22"/>
        <v>43655</v>
      </c>
      <c r="D213">
        <v>55.59</v>
      </c>
      <c r="E213">
        <v>56.401249</v>
      </c>
      <c r="F213">
        <v>55.358500999999997</v>
      </c>
      <c r="G213">
        <v>56.241501</v>
      </c>
      <c r="H213">
        <v>26608000</v>
      </c>
      <c r="I213">
        <f t="shared" si="23"/>
        <v>0</v>
      </c>
      <c r="J213">
        <f t="shared" si="24"/>
        <v>0.42</v>
      </c>
      <c r="K213" t="str">
        <f t="shared" si="25"/>
        <v>Positive</v>
      </c>
      <c r="L213" s="10">
        <f t="shared" si="26"/>
        <v>7.538916857855545E-3</v>
      </c>
      <c r="M213" t="str">
        <f t="shared" si="27"/>
        <v/>
      </c>
    </row>
    <row r="214" spans="1:13" x14ac:dyDescent="0.2">
      <c r="A214" s="21" t="s">
        <v>240</v>
      </c>
      <c r="B214" s="21" t="str">
        <f t="shared" si="21"/>
        <v>Wednesday</v>
      </c>
      <c r="C214" s="9">
        <f t="shared" si="22"/>
        <v>43656</v>
      </c>
      <c r="D214">
        <v>56.561000999999997</v>
      </c>
      <c r="E214">
        <v>57.102500999999997</v>
      </c>
      <c r="F214">
        <v>56.548499999999997</v>
      </c>
      <c r="G214">
        <v>57.023997999999999</v>
      </c>
      <c r="H214">
        <v>24190000</v>
      </c>
      <c r="I214">
        <f t="shared" si="23"/>
        <v>0</v>
      </c>
      <c r="J214">
        <f t="shared" si="24"/>
        <v>0.78</v>
      </c>
      <c r="K214" t="str">
        <f t="shared" si="25"/>
        <v>Positive</v>
      </c>
      <c r="L214" s="10">
        <f t="shared" si="26"/>
        <v>1.372224023997755E-2</v>
      </c>
      <c r="M214" t="str">
        <f t="shared" si="27"/>
        <v/>
      </c>
    </row>
    <row r="215" spans="1:13" x14ac:dyDescent="0.2">
      <c r="A215" s="21" t="s">
        <v>241</v>
      </c>
      <c r="B215" s="21" t="str">
        <f t="shared" si="21"/>
        <v>Thursday</v>
      </c>
      <c r="C215" s="9">
        <f t="shared" si="22"/>
        <v>43657</v>
      </c>
      <c r="D215">
        <v>57.162497999999999</v>
      </c>
      <c r="E215">
        <v>57.653500000000001</v>
      </c>
      <c r="F215">
        <v>56.978999999999999</v>
      </c>
      <c r="G215">
        <v>57.210498999999999</v>
      </c>
      <c r="H215">
        <v>23910000</v>
      </c>
      <c r="I215">
        <f t="shared" si="23"/>
        <v>0</v>
      </c>
      <c r="J215">
        <f t="shared" si="24"/>
        <v>0.19</v>
      </c>
      <c r="K215" t="str">
        <f t="shared" si="25"/>
        <v>Positive</v>
      </c>
      <c r="L215" s="10">
        <f t="shared" si="26"/>
        <v>3.2599086401955664E-3</v>
      </c>
      <c r="M215" t="str">
        <f t="shared" si="27"/>
        <v/>
      </c>
    </row>
    <row r="216" spans="1:13" x14ac:dyDescent="0.2">
      <c r="A216" s="21" t="s">
        <v>242</v>
      </c>
      <c r="B216" s="21" t="str">
        <f t="shared" si="21"/>
        <v>Friday</v>
      </c>
      <c r="C216" s="9">
        <f t="shared" si="22"/>
        <v>43658</v>
      </c>
      <c r="D216">
        <v>57.199500999999998</v>
      </c>
      <c r="E216">
        <v>57.367001000000002</v>
      </c>
      <c r="F216">
        <v>56.938999000000003</v>
      </c>
      <c r="G216">
        <v>57.244999</v>
      </c>
      <c r="H216">
        <v>17280000</v>
      </c>
      <c r="I216">
        <f t="shared" si="23"/>
        <v>0</v>
      </c>
      <c r="J216">
        <f t="shared" si="24"/>
        <v>0.03</v>
      </c>
      <c r="K216" t="str">
        <f t="shared" si="25"/>
        <v>Positive</v>
      </c>
      <c r="L216" s="10">
        <f t="shared" si="26"/>
        <v>6.02672733036493E-4</v>
      </c>
      <c r="M216" t="str">
        <f t="shared" si="27"/>
        <v/>
      </c>
    </row>
    <row r="217" spans="1:13" x14ac:dyDescent="0.2">
      <c r="A217" s="21" t="s">
        <v>243</v>
      </c>
      <c r="B217" s="21" t="str">
        <f t="shared" si="21"/>
        <v>Monday</v>
      </c>
      <c r="C217" s="9">
        <f t="shared" si="22"/>
        <v>43661</v>
      </c>
      <c r="D217">
        <v>57.342998999999999</v>
      </c>
      <c r="E217">
        <v>57.540999999999997</v>
      </c>
      <c r="F217">
        <v>56.970001000000003</v>
      </c>
      <c r="G217">
        <v>57.516998000000001</v>
      </c>
      <c r="H217">
        <v>18076000</v>
      </c>
      <c r="I217">
        <f t="shared" si="23"/>
        <v>0</v>
      </c>
      <c r="J217">
        <f t="shared" si="24"/>
        <v>0.27</v>
      </c>
      <c r="K217" t="str">
        <f t="shared" si="25"/>
        <v>Positive</v>
      </c>
      <c r="L217" s="10">
        <f t="shared" si="26"/>
        <v>4.7290194109226805E-3</v>
      </c>
      <c r="M217" t="str">
        <f t="shared" si="27"/>
        <v/>
      </c>
    </row>
    <row r="218" spans="1:13" x14ac:dyDescent="0.2">
      <c r="A218" s="21" t="s">
        <v>244</v>
      </c>
      <c r="B218" s="21" t="str">
        <f t="shared" si="21"/>
        <v>Tuesday</v>
      </c>
      <c r="C218" s="9">
        <f t="shared" si="22"/>
        <v>43662</v>
      </c>
      <c r="D218">
        <v>57.299999</v>
      </c>
      <c r="E218">
        <v>57.929001</v>
      </c>
      <c r="F218">
        <v>57.25</v>
      </c>
      <c r="G218">
        <v>57.679001</v>
      </c>
      <c r="H218">
        <v>24776000</v>
      </c>
      <c r="I218">
        <f t="shared" si="23"/>
        <v>0</v>
      </c>
      <c r="J218">
        <f t="shared" si="24"/>
        <v>0.16</v>
      </c>
      <c r="K218" t="str">
        <f t="shared" si="25"/>
        <v>Positive</v>
      </c>
      <c r="L218" s="10">
        <f t="shared" si="26"/>
        <v>2.8086998247420854E-3</v>
      </c>
      <c r="M218" t="str">
        <f t="shared" si="27"/>
        <v/>
      </c>
    </row>
    <row r="219" spans="1:13" x14ac:dyDescent="0.2">
      <c r="A219" s="21" t="s">
        <v>245</v>
      </c>
      <c r="B219" s="21" t="str">
        <f t="shared" si="21"/>
        <v>Wednesday</v>
      </c>
      <c r="C219" s="9">
        <f t="shared" si="22"/>
        <v>43663</v>
      </c>
      <c r="D219">
        <v>57.548499999999997</v>
      </c>
      <c r="E219">
        <v>57.917999000000002</v>
      </c>
      <c r="F219">
        <v>57.288502000000001</v>
      </c>
      <c r="G219">
        <v>57.317501</v>
      </c>
      <c r="H219">
        <v>23400000</v>
      </c>
      <c r="I219">
        <f t="shared" si="23"/>
        <v>0</v>
      </c>
      <c r="J219">
        <f t="shared" si="24"/>
        <v>-0.36</v>
      </c>
      <c r="K219" t="str">
        <f t="shared" si="25"/>
        <v>Negative</v>
      </c>
      <c r="L219" s="10">
        <f t="shared" si="26"/>
        <v>-6.306974199730018E-3</v>
      </c>
      <c r="M219" t="str">
        <f t="shared" si="27"/>
        <v/>
      </c>
    </row>
    <row r="220" spans="1:13" x14ac:dyDescent="0.2">
      <c r="A220" s="21" t="s">
        <v>246</v>
      </c>
      <c r="B220" s="21" t="str">
        <f t="shared" si="21"/>
        <v>Thursday</v>
      </c>
      <c r="C220" s="9">
        <f t="shared" si="22"/>
        <v>43664</v>
      </c>
      <c r="D220">
        <v>57.087001999999998</v>
      </c>
      <c r="E220">
        <v>57.380248999999999</v>
      </c>
      <c r="F220">
        <v>56.636501000000003</v>
      </c>
      <c r="G220">
        <v>57.316502</v>
      </c>
      <c r="H220">
        <v>25814000</v>
      </c>
      <c r="I220">
        <f t="shared" si="23"/>
        <v>0</v>
      </c>
      <c r="J220">
        <f t="shared" si="24"/>
        <v>0</v>
      </c>
      <c r="K220" t="str">
        <f t="shared" si="25"/>
        <v>Neutral</v>
      </c>
      <c r="L220" s="10">
        <f t="shared" si="26"/>
        <v>-1.7429535389305408E-5</v>
      </c>
      <c r="M220" t="str">
        <f t="shared" si="27"/>
        <v/>
      </c>
    </row>
    <row r="221" spans="1:13" x14ac:dyDescent="0.2">
      <c r="A221" s="21" t="s">
        <v>247</v>
      </c>
      <c r="B221" s="21" t="str">
        <f t="shared" si="21"/>
        <v>Friday</v>
      </c>
      <c r="C221" s="9">
        <f t="shared" si="22"/>
        <v>43665</v>
      </c>
      <c r="D221">
        <v>57.409500000000001</v>
      </c>
      <c r="E221">
        <v>57.556998999999998</v>
      </c>
      <c r="F221">
        <v>56.480998999999997</v>
      </c>
      <c r="G221">
        <v>56.505001</v>
      </c>
      <c r="H221">
        <v>32944000</v>
      </c>
      <c r="I221">
        <f t="shared" si="23"/>
        <v>0</v>
      </c>
      <c r="J221">
        <f t="shared" si="24"/>
        <v>-0.81</v>
      </c>
      <c r="K221" t="str">
        <f t="shared" si="25"/>
        <v>Negative</v>
      </c>
      <c r="L221" s="10">
        <f t="shared" si="26"/>
        <v>-1.4361578367196202E-2</v>
      </c>
      <c r="M221" t="str">
        <f t="shared" si="27"/>
        <v/>
      </c>
    </row>
    <row r="222" spans="1:13" x14ac:dyDescent="0.2">
      <c r="A222" s="21" t="s">
        <v>248</v>
      </c>
      <c r="B222" s="21" t="str">
        <f t="shared" si="21"/>
        <v>Monday</v>
      </c>
      <c r="C222" s="9">
        <f t="shared" si="22"/>
        <v>43668</v>
      </c>
      <c r="D222">
        <v>56.672500999999997</v>
      </c>
      <c r="E222">
        <v>56.962502000000001</v>
      </c>
      <c r="F222">
        <v>56.212001999999998</v>
      </c>
      <c r="G222">
        <v>56.903500000000001</v>
      </c>
      <c r="H222">
        <v>26030000</v>
      </c>
      <c r="I222">
        <f t="shared" si="23"/>
        <v>0</v>
      </c>
      <c r="J222">
        <f t="shared" si="24"/>
        <v>0.4</v>
      </c>
      <c r="K222" t="str">
        <f t="shared" si="25"/>
        <v>Positive</v>
      </c>
      <c r="L222" s="10">
        <f t="shared" si="26"/>
        <v>7.0030665952006653E-3</v>
      </c>
      <c r="M222" t="str">
        <f t="shared" si="27"/>
        <v/>
      </c>
    </row>
    <row r="223" spans="1:13" x14ac:dyDescent="0.2">
      <c r="A223" s="21" t="s">
        <v>249</v>
      </c>
      <c r="B223" s="21" t="str">
        <f t="shared" si="21"/>
        <v>Tuesday</v>
      </c>
      <c r="C223" s="9">
        <f t="shared" si="22"/>
        <v>43669</v>
      </c>
      <c r="D223">
        <v>57.200001</v>
      </c>
      <c r="E223">
        <v>57.345001000000003</v>
      </c>
      <c r="F223">
        <v>56.59</v>
      </c>
      <c r="G223">
        <v>57.310501000000002</v>
      </c>
      <c r="H223">
        <v>21874000</v>
      </c>
      <c r="I223">
        <f t="shared" si="23"/>
        <v>0</v>
      </c>
      <c r="J223">
        <f t="shared" si="24"/>
        <v>0.41</v>
      </c>
      <c r="K223" t="str">
        <f t="shared" si="25"/>
        <v>Positive</v>
      </c>
      <c r="L223" s="10">
        <f t="shared" si="26"/>
        <v>7.101682813765684E-3</v>
      </c>
      <c r="M223" t="str">
        <f t="shared" si="27"/>
        <v/>
      </c>
    </row>
    <row r="224" spans="1:13" x14ac:dyDescent="0.2">
      <c r="A224" s="21" t="s">
        <v>250</v>
      </c>
      <c r="B224" s="21" t="str">
        <f t="shared" si="21"/>
        <v>Wednesday</v>
      </c>
      <c r="C224" s="9">
        <f t="shared" si="22"/>
        <v>43670</v>
      </c>
      <c r="D224">
        <v>56.595001000000003</v>
      </c>
      <c r="E224">
        <v>57.200001</v>
      </c>
      <c r="F224">
        <v>56.349499000000002</v>
      </c>
      <c r="G224">
        <v>56.890498999999998</v>
      </c>
      <c r="H224">
        <v>31796000</v>
      </c>
      <c r="I224">
        <f t="shared" si="23"/>
        <v>0</v>
      </c>
      <c r="J224">
        <f t="shared" si="24"/>
        <v>-0.42</v>
      </c>
      <c r="K224" t="str">
        <f t="shared" si="25"/>
        <v>Negative</v>
      </c>
      <c r="L224" s="10">
        <f t="shared" si="26"/>
        <v>-7.3826387073877443E-3</v>
      </c>
      <c r="M224" t="str">
        <f t="shared" si="27"/>
        <v/>
      </c>
    </row>
    <row r="225" spans="1:13" x14ac:dyDescent="0.2">
      <c r="A225" s="21" t="s">
        <v>251</v>
      </c>
      <c r="B225" s="21" t="str">
        <f t="shared" si="21"/>
        <v>Thursday</v>
      </c>
      <c r="C225" s="9">
        <f t="shared" si="22"/>
        <v>43671</v>
      </c>
      <c r="D225">
        <v>56.890999000000001</v>
      </c>
      <c r="E225">
        <v>57.084999000000003</v>
      </c>
      <c r="F225">
        <v>56.046000999999997</v>
      </c>
      <c r="G225">
        <v>56.605998999999997</v>
      </c>
      <c r="H225">
        <v>44196000</v>
      </c>
      <c r="I225">
        <f t="shared" si="23"/>
        <v>0</v>
      </c>
      <c r="J225">
        <f t="shared" si="24"/>
        <v>-0.28000000000000003</v>
      </c>
      <c r="K225" t="str">
        <f t="shared" si="25"/>
        <v>Negative</v>
      </c>
      <c r="L225" s="10">
        <f t="shared" si="26"/>
        <v>-5.0259690673421613E-3</v>
      </c>
      <c r="M225" t="str">
        <f t="shared" si="27"/>
        <v/>
      </c>
    </row>
    <row r="226" spans="1:13" x14ac:dyDescent="0.2">
      <c r="A226" s="21" t="s">
        <v>252</v>
      </c>
      <c r="B226" s="21" t="str">
        <f t="shared" si="21"/>
        <v>Friday</v>
      </c>
      <c r="C226" s="9">
        <f t="shared" si="22"/>
        <v>43672</v>
      </c>
      <c r="D226">
        <v>61.201999999999998</v>
      </c>
      <c r="E226">
        <v>63.277500000000003</v>
      </c>
      <c r="F226">
        <v>61.200001</v>
      </c>
      <c r="G226">
        <v>62.520499999999998</v>
      </c>
      <c r="H226">
        <v>96116000</v>
      </c>
      <c r="I226">
        <f t="shared" si="23"/>
        <v>0</v>
      </c>
      <c r="J226">
        <f t="shared" si="24"/>
        <v>5.91</v>
      </c>
      <c r="K226" t="str">
        <f t="shared" si="25"/>
        <v>Positive</v>
      </c>
      <c r="L226" s="10">
        <f t="shared" si="26"/>
        <v>9.4600986876304596E-2</v>
      </c>
      <c r="M226">
        <f t="shared" si="27"/>
        <v>9.4600986876304596E-2</v>
      </c>
    </row>
    <row r="227" spans="1:13" x14ac:dyDescent="0.2">
      <c r="A227" s="21" t="s">
        <v>253</v>
      </c>
      <c r="B227" s="21" t="str">
        <f t="shared" si="21"/>
        <v>Monday</v>
      </c>
      <c r="C227" s="9">
        <f t="shared" si="22"/>
        <v>43675</v>
      </c>
      <c r="D227">
        <v>62.052501999999997</v>
      </c>
      <c r="E227">
        <v>62.368499999999997</v>
      </c>
      <c r="F227">
        <v>61.411498999999999</v>
      </c>
      <c r="G227">
        <v>61.970500999999999</v>
      </c>
      <c r="H227">
        <v>44474000</v>
      </c>
      <c r="I227">
        <f t="shared" si="23"/>
        <v>0</v>
      </c>
      <c r="J227">
        <f t="shared" si="24"/>
        <v>-0.55000000000000004</v>
      </c>
      <c r="K227" t="str">
        <f t="shared" si="25"/>
        <v>Negative</v>
      </c>
      <c r="L227" s="10">
        <f t="shared" si="26"/>
        <v>-8.8751743349630118E-3</v>
      </c>
      <c r="M227" t="str">
        <f t="shared" si="27"/>
        <v/>
      </c>
    </row>
    <row r="228" spans="1:13" x14ac:dyDescent="0.2">
      <c r="A228" s="21" t="s">
        <v>254</v>
      </c>
      <c r="B228" s="21" t="str">
        <f t="shared" si="21"/>
        <v>Tuesday</v>
      </c>
      <c r="C228" s="9">
        <f t="shared" si="22"/>
        <v>43676</v>
      </c>
      <c r="D228">
        <v>61.270499999999998</v>
      </c>
      <c r="E228">
        <v>61.743499999999997</v>
      </c>
      <c r="F228">
        <v>61.165000999999997</v>
      </c>
      <c r="G228">
        <v>61.256999999999998</v>
      </c>
      <c r="H228">
        <v>29066000</v>
      </c>
      <c r="I228">
        <f t="shared" si="23"/>
        <v>0</v>
      </c>
      <c r="J228">
        <f t="shared" si="24"/>
        <v>-0.71</v>
      </c>
      <c r="K228" t="str">
        <f t="shared" si="25"/>
        <v>Negative</v>
      </c>
      <c r="L228" s="10">
        <f t="shared" si="26"/>
        <v>-1.1647664756680883E-2</v>
      </c>
      <c r="M228" t="str">
        <f t="shared" si="27"/>
        <v/>
      </c>
    </row>
    <row r="229" spans="1:13" x14ac:dyDescent="0.2">
      <c r="A229" s="21" t="s">
        <v>255</v>
      </c>
      <c r="B229" s="21" t="str">
        <f t="shared" si="21"/>
        <v>Wednesday</v>
      </c>
      <c r="C229" s="9">
        <f t="shared" si="22"/>
        <v>43677</v>
      </c>
      <c r="D229">
        <v>61.150002000000001</v>
      </c>
      <c r="E229">
        <v>61.700001</v>
      </c>
      <c r="F229">
        <v>60.388199</v>
      </c>
      <c r="G229">
        <v>60.834000000000003</v>
      </c>
      <c r="H229">
        <v>34510000</v>
      </c>
      <c r="I229">
        <f t="shared" si="23"/>
        <v>0</v>
      </c>
      <c r="J229">
        <f t="shared" si="24"/>
        <v>-0.42</v>
      </c>
      <c r="K229" t="str">
        <f t="shared" si="25"/>
        <v>Negative</v>
      </c>
      <c r="L229" s="10">
        <f t="shared" si="26"/>
        <v>-6.9533484564551842E-3</v>
      </c>
      <c r="M229" t="str">
        <f t="shared" si="27"/>
        <v/>
      </c>
    </row>
    <row r="230" spans="1:13" x14ac:dyDescent="0.2">
      <c r="A230" s="21" t="s">
        <v>256</v>
      </c>
      <c r="B230" s="21" t="str">
        <f t="shared" si="21"/>
        <v>Thursday</v>
      </c>
      <c r="C230" s="9">
        <f t="shared" si="22"/>
        <v>43678</v>
      </c>
      <c r="D230">
        <v>60.701500000000003</v>
      </c>
      <c r="E230">
        <v>61.705502000000003</v>
      </c>
      <c r="F230">
        <v>60.285998999999997</v>
      </c>
      <c r="G230">
        <v>60.450499999999998</v>
      </c>
      <c r="H230">
        <v>33970000</v>
      </c>
      <c r="I230">
        <f t="shared" si="23"/>
        <v>0</v>
      </c>
      <c r="J230">
        <f t="shared" si="24"/>
        <v>-0.38</v>
      </c>
      <c r="K230" t="str">
        <f t="shared" si="25"/>
        <v>Negative</v>
      </c>
      <c r="L230" s="10">
        <f t="shared" si="26"/>
        <v>-6.3440335481096946E-3</v>
      </c>
      <c r="M230" t="str">
        <f t="shared" si="27"/>
        <v/>
      </c>
    </row>
    <row r="231" spans="1:13" x14ac:dyDescent="0.2">
      <c r="A231" s="21" t="s">
        <v>257</v>
      </c>
      <c r="B231" s="21" t="str">
        <f t="shared" si="21"/>
        <v>Friday</v>
      </c>
      <c r="C231" s="9">
        <f t="shared" si="22"/>
        <v>43679</v>
      </c>
      <c r="D231">
        <v>60.036999000000002</v>
      </c>
      <c r="E231">
        <v>60.345001000000003</v>
      </c>
      <c r="F231">
        <v>59.446998999999998</v>
      </c>
      <c r="G231">
        <v>59.699500999999998</v>
      </c>
      <c r="H231">
        <v>32902000</v>
      </c>
      <c r="I231">
        <f t="shared" si="23"/>
        <v>0</v>
      </c>
      <c r="J231">
        <f t="shared" si="24"/>
        <v>-0.75</v>
      </c>
      <c r="K231" t="str">
        <f t="shared" si="25"/>
        <v>Negative</v>
      </c>
      <c r="L231" s="10">
        <f t="shared" si="26"/>
        <v>-1.2579652885205862E-2</v>
      </c>
      <c r="M231" t="str">
        <f t="shared" si="27"/>
        <v/>
      </c>
    </row>
    <row r="232" spans="1:13" x14ac:dyDescent="0.2">
      <c r="A232" s="21" t="s">
        <v>258</v>
      </c>
      <c r="B232" s="21" t="str">
        <f t="shared" si="21"/>
        <v>Monday</v>
      </c>
      <c r="C232" s="9">
        <f t="shared" si="22"/>
        <v>43682</v>
      </c>
      <c r="D232">
        <v>58.501998999999998</v>
      </c>
      <c r="E232">
        <v>58.762000999999998</v>
      </c>
      <c r="F232">
        <v>57.006999999999998</v>
      </c>
      <c r="G232">
        <v>57.616000999999997</v>
      </c>
      <c r="H232">
        <v>51950000</v>
      </c>
      <c r="I232">
        <f t="shared" si="23"/>
        <v>0</v>
      </c>
      <c r="J232">
        <f t="shared" si="24"/>
        <v>-2.08</v>
      </c>
      <c r="K232" t="str">
        <f t="shared" si="25"/>
        <v>Negative</v>
      </c>
      <c r="L232" s="10">
        <f t="shared" si="26"/>
        <v>-3.6161829419573931E-2</v>
      </c>
      <c r="M232" t="str">
        <f t="shared" si="27"/>
        <v/>
      </c>
    </row>
    <row r="233" spans="1:13" x14ac:dyDescent="0.2">
      <c r="A233" s="21" t="s">
        <v>259</v>
      </c>
      <c r="B233" s="21" t="str">
        <f t="shared" si="21"/>
        <v>Tuesday</v>
      </c>
      <c r="C233" s="9">
        <f t="shared" si="22"/>
        <v>43683</v>
      </c>
      <c r="D233">
        <v>58.165500999999999</v>
      </c>
      <c r="E233">
        <v>58.998001000000002</v>
      </c>
      <c r="F233">
        <v>58</v>
      </c>
      <c r="G233">
        <v>58.497501</v>
      </c>
      <c r="H233">
        <v>34188000</v>
      </c>
      <c r="I233">
        <f t="shared" si="23"/>
        <v>0</v>
      </c>
      <c r="J233">
        <f t="shared" si="24"/>
        <v>0.88</v>
      </c>
      <c r="K233" t="str">
        <f t="shared" si="25"/>
        <v>Positive</v>
      </c>
      <c r="L233" s="10">
        <f t="shared" si="26"/>
        <v>1.506901978599056E-2</v>
      </c>
      <c r="M233" t="str">
        <f t="shared" si="27"/>
        <v/>
      </c>
    </row>
    <row r="234" spans="1:13" x14ac:dyDescent="0.2">
      <c r="A234" s="21" t="s">
        <v>260</v>
      </c>
      <c r="B234" s="21" t="str">
        <f t="shared" si="21"/>
        <v>Wednesday</v>
      </c>
      <c r="C234" s="9">
        <f t="shared" si="22"/>
        <v>43684</v>
      </c>
      <c r="D234">
        <v>57.799999</v>
      </c>
      <c r="E234">
        <v>58.922249000000001</v>
      </c>
      <c r="F234">
        <v>57.481200999999999</v>
      </c>
      <c r="G234">
        <v>58.699500999999998</v>
      </c>
      <c r="H234">
        <v>28886000</v>
      </c>
      <c r="I234">
        <f t="shared" si="23"/>
        <v>0</v>
      </c>
      <c r="J234">
        <f t="shared" si="24"/>
        <v>0.2</v>
      </c>
      <c r="K234" t="str">
        <f t="shared" si="25"/>
        <v>Positive</v>
      </c>
      <c r="L234" s="10">
        <f t="shared" si="26"/>
        <v>3.4412558294149415E-3</v>
      </c>
      <c r="M234" t="str">
        <f t="shared" si="27"/>
        <v/>
      </c>
    </row>
    <row r="235" spans="1:13" x14ac:dyDescent="0.2">
      <c r="A235" s="21" t="s">
        <v>261</v>
      </c>
      <c r="B235" s="21" t="str">
        <f t="shared" si="21"/>
        <v>Thursday</v>
      </c>
      <c r="C235" s="9">
        <f t="shared" si="22"/>
        <v>43685</v>
      </c>
      <c r="D235">
        <v>59.141499000000003</v>
      </c>
      <c r="E235">
        <v>60.250500000000002</v>
      </c>
      <c r="F235">
        <v>58.651001000000001</v>
      </c>
      <c r="G235">
        <v>60.240001999999997</v>
      </c>
      <c r="H235">
        <v>29360000</v>
      </c>
      <c r="I235">
        <f t="shared" si="23"/>
        <v>0</v>
      </c>
      <c r="J235">
        <f t="shared" si="24"/>
        <v>1.54</v>
      </c>
      <c r="K235" t="str">
        <f t="shared" si="25"/>
        <v>Positive</v>
      </c>
      <c r="L235" s="10">
        <f t="shared" si="26"/>
        <v>2.557272491458415E-2</v>
      </c>
      <c r="M235" t="str">
        <f t="shared" si="27"/>
        <v/>
      </c>
    </row>
    <row r="236" spans="1:13" x14ac:dyDescent="0.2">
      <c r="A236" s="21" t="s">
        <v>262</v>
      </c>
      <c r="B236" s="21" t="str">
        <f t="shared" si="21"/>
        <v>Friday</v>
      </c>
      <c r="C236" s="9">
        <f t="shared" si="22"/>
        <v>43686</v>
      </c>
      <c r="D236">
        <v>59.899501999999998</v>
      </c>
      <c r="E236">
        <v>60.194000000000003</v>
      </c>
      <c r="F236">
        <v>59.180149</v>
      </c>
      <c r="G236">
        <v>59.400500999999998</v>
      </c>
      <c r="H236">
        <v>21314000</v>
      </c>
      <c r="I236">
        <f t="shared" si="23"/>
        <v>0</v>
      </c>
      <c r="J236">
        <f t="shared" si="24"/>
        <v>-0.84</v>
      </c>
      <c r="K236" t="str">
        <f t="shared" si="25"/>
        <v>Negative</v>
      </c>
      <c r="L236" s="10">
        <f t="shared" si="26"/>
        <v>-1.4132894266329479E-2</v>
      </c>
      <c r="M236" t="str">
        <f t="shared" si="27"/>
        <v/>
      </c>
    </row>
    <row r="237" spans="1:13" x14ac:dyDescent="0.2">
      <c r="A237" s="21" t="s">
        <v>263</v>
      </c>
      <c r="B237" s="21" t="str">
        <f t="shared" si="21"/>
        <v>Monday</v>
      </c>
      <c r="C237" s="9">
        <f t="shared" si="22"/>
        <v>43689</v>
      </c>
      <c r="D237">
        <v>58.960498999999999</v>
      </c>
      <c r="E237">
        <v>59.248001000000002</v>
      </c>
      <c r="F237">
        <v>58.383597999999999</v>
      </c>
      <c r="G237">
        <v>58.735500000000002</v>
      </c>
      <c r="H237">
        <v>20060000</v>
      </c>
      <c r="I237">
        <f t="shared" si="23"/>
        <v>0</v>
      </c>
      <c r="J237">
        <f t="shared" si="24"/>
        <v>-0.67</v>
      </c>
      <c r="K237" t="str">
        <f t="shared" si="25"/>
        <v>Negative</v>
      </c>
      <c r="L237" s="10">
        <f t="shared" si="26"/>
        <v>-1.1321960313609259E-2</v>
      </c>
      <c r="M237" t="str">
        <f t="shared" si="27"/>
        <v/>
      </c>
    </row>
    <row r="238" spans="1:13" x14ac:dyDescent="0.2">
      <c r="A238" s="21" t="s">
        <v>264</v>
      </c>
      <c r="B238" s="21" t="str">
        <f t="shared" si="21"/>
        <v>Tuesday</v>
      </c>
      <c r="C238" s="9">
        <f t="shared" si="22"/>
        <v>43690</v>
      </c>
      <c r="D238">
        <v>58.573002000000002</v>
      </c>
      <c r="E238">
        <v>60.238998000000002</v>
      </c>
      <c r="F238">
        <v>58.573002000000002</v>
      </c>
      <c r="G238">
        <v>59.863498999999997</v>
      </c>
      <c r="H238">
        <v>25888000</v>
      </c>
      <c r="I238">
        <f t="shared" si="23"/>
        <v>0</v>
      </c>
      <c r="J238">
        <f t="shared" si="24"/>
        <v>1.1299999999999999</v>
      </c>
      <c r="K238" t="str">
        <f t="shared" si="25"/>
        <v>Positive</v>
      </c>
      <c r="L238" s="10">
        <f t="shared" si="26"/>
        <v>1.8842851133709967E-2</v>
      </c>
      <c r="M238" t="str">
        <f t="shared" si="27"/>
        <v/>
      </c>
    </row>
    <row r="239" spans="1:13" x14ac:dyDescent="0.2">
      <c r="A239" s="21" t="s">
        <v>265</v>
      </c>
      <c r="B239" s="21" t="str">
        <f t="shared" si="21"/>
        <v>Wednesday</v>
      </c>
      <c r="C239" s="9">
        <f t="shared" si="22"/>
        <v>43691</v>
      </c>
      <c r="D239">
        <v>58.815497999999998</v>
      </c>
      <c r="E239">
        <v>59.115001999999997</v>
      </c>
      <c r="F239">
        <v>58.027000000000001</v>
      </c>
      <c r="G239">
        <v>58.214500000000001</v>
      </c>
      <c r="H239">
        <v>31574000</v>
      </c>
      <c r="I239">
        <f t="shared" si="23"/>
        <v>0</v>
      </c>
      <c r="J239">
        <f t="shared" si="24"/>
        <v>-1.65</v>
      </c>
      <c r="K239" t="str">
        <f t="shared" si="25"/>
        <v>Negative</v>
      </c>
      <c r="L239" s="10">
        <f t="shared" si="26"/>
        <v>-2.8326258921746238E-2</v>
      </c>
      <c r="M239" t="str">
        <f t="shared" si="27"/>
        <v/>
      </c>
    </row>
    <row r="240" spans="1:13" x14ac:dyDescent="0.2">
      <c r="A240" s="21" t="s">
        <v>266</v>
      </c>
      <c r="B240" s="21" t="str">
        <f t="shared" si="21"/>
        <v>Thursday</v>
      </c>
      <c r="C240" s="9">
        <f t="shared" si="22"/>
        <v>43692</v>
      </c>
      <c r="D240">
        <v>58.174999</v>
      </c>
      <c r="E240">
        <v>58.792000000000002</v>
      </c>
      <c r="F240">
        <v>58.105499000000002</v>
      </c>
      <c r="G240">
        <v>58.362999000000002</v>
      </c>
      <c r="H240">
        <v>24374000</v>
      </c>
      <c r="I240">
        <f t="shared" si="23"/>
        <v>0</v>
      </c>
      <c r="J240">
        <f t="shared" si="24"/>
        <v>0.15</v>
      </c>
      <c r="K240" t="str">
        <f t="shared" si="25"/>
        <v>Positive</v>
      </c>
      <c r="L240" s="10">
        <f t="shared" si="26"/>
        <v>2.5444031757175644E-3</v>
      </c>
      <c r="M240" t="str">
        <f t="shared" si="27"/>
        <v/>
      </c>
    </row>
    <row r="241" spans="1:13" x14ac:dyDescent="0.2">
      <c r="A241" s="21" t="s">
        <v>267</v>
      </c>
      <c r="B241" s="21" t="str">
        <f t="shared" si="21"/>
        <v>Friday</v>
      </c>
      <c r="C241" s="9">
        <f t="shared" si="22"/>
        <v>43693</v>
      </c>
      <c r="D241">
        <v>58.977500999999997</v>
      </c>
      <c r="E241">
        <v>59.136001999999998</v>
      </c>
      <c r="F241">
        <v>58.590499999999999</v>
      </c>
      <c r="G241">
        <v>58.880001</v>
      </c>
      <c r="H241">
        <v>26266000</v>
      </c>
      <c r="I241">
        <f t="shared" si="23"/>
        <v>0</v>
      </c>
      <c r="J241">
        <f t="shared" si="24"/>
        <v>0.52</v>
      </c>
      <c r="K241" t="str">
        <f t="shared" si="25"/>
        <v>Positive</v>
      </c>
      <c r="L241" s="10">
        <f t="shared" si="26"/>
        <v>8.7806044704380696E-3</v>
      </c>
      <c r="M241" t="str">
        <f t="shared" si="27"/>
        <v/>
      </c>
    </row>
    <row r="242" spans="1:13" x14ac:dyDescent="0.2">
      <c r="A242" s="21" t="s">
        <v>268</v>
      </c>
      <c r="B242" s="21" t="str">
        <f t="shared" si="21"/>
        <v>Monday</v>
      </c>
      <c r="C242" s="9">
        <f t="shared" si="22"/>
        <v>43696</v>
      </c>
      <c r="D242">
        <v>59.504500999999998</v>
      </c>
      <c r="E242">
        <v>60.349499000000002</v>
      </c>
      <c r="F242">
        <v>59.504500999999998</v>
      </c>
      <c r="G242">
        <v>59.922500999999997</v>
      </c>
      <c r="H242">
        <v>24632000</v>
      </c>
      <c r="I242">
        <f t="shared" si="23"/>
        <v>0</v>
      </c>
      <c r="J242">
        <f t="shared" si="24"/>
        <v>1.04</v>
      </c>
      <c r="K242" t="str">
        <f t="shared" si="25"/>
        <v>Positive</v>
      </c>
      <c r="L242" s="10">
        <f t="shared" si="26"/>
        <v>1.7397471443990578E-2</v>
      </c>
      <c r="M242" t="str">
        <f t="shared" si="27"/>
        <v/>
      </c>
    </row>
    <row r="243" spans="1:13" x14ac:dyDescent="0.2">
      <c r="A243" s="21" t="s">
        <v>269</v>
      </c>
      <c r="B243" s="21" t="str">
        <f t="shared" si="21"/>
        <v>Tuesday</v>
      </c>
      <c r="C243" s="9">
        <f t="shared" si="22"/>
        <v>43697</v>
      </c>
      <c r="D243">
        <v>59.762501</v>
      </c>
      <c r="E243">
        <v>59.803001000000002</v>
      </c>
      <c r="F243">
        <v>59.105499000000002</v>
      </c>
      <c r="G243">
        <v>59.134498999999998</v>
      </c>
      <c r="H243">
        <v>18310000</v>
      </c>
      <c r="I243">
        <f t="shared" si="23"/>
        <v>0</v>
      </c>
      <c r="J243">
        <f t="shared" si="24"/>
        <v>-0.79</v>
      </c>
      <c r="K243" t="str">
        <f t="shared" si="25"/>
        <v>Negative</v>
      </c>
      <c r="L243" s="10">
        <f t="shared" si="26"/>
        <v>-1.3325588502914328E-2</v>
      </c>
      <c r="M243" t="str">
        <f t="shared" si="27"/>
        <v/>
      </c>
    </row>
    <row r="244" spans="1:13" x14ac:dyDescent="0.2">
      <c r="A244" s="21" t="s">
        <v>270</v>
      </c>
      <c r="B244" s="21" t="str">
        <f t="shared" si="21"/>
        <v>Wednesday</v>
      </c>
      <c r="C244" s="9">
        <f t="shared" si="22"/>
        <v>43698</v>
      </c>
      <c r="D244">
        <v>59.657501000000003</v>
      </c>
      <c r="E244">
        <v>59.950001</v>
      </c>
      <c r="F244">
        <v>59.371498000000003</v>
      </c>
      <c r="G244">
        <v>59.5625</v>
      </c>
      <c r="H244">
        <v>14814000</v>
      </c>
      <c r="I244">
        <f t="shared" si="23"/>
        <v>0</v>
      </c>
      <c r="J244">
        <f t="shared" si="24"/>
        <v>0.43</v>
      </c>
      <c r="K244" t="str">
        <f t="shared" si="25"/>
        <v>Positive</v>
      </c>
      <c r="L244" s="10">
        <f t="shared" si="26"/>
        <v>7.1857460650577437E-3</v>
      </c>
      <c r="M244" t="str">
        <f t="shared" si="27"/>
        <v/>
      </c>
    </row>
    <row r="245" spans="1:13" x14ac:dyDescent="0.2">
      <c r="A245" s="21" t="s">
        <v>271</v>
      </c>
      <c r="B245" s="21" t="str">
        <f t="shared" si="21"/>
        <v>Thursday</v>
      </c>
      <c r="C245" s="9">
        <f t="shared" si="22"/>
        <v>43699</v>
      </c>
      <c r="D245">
        <v>59.703499000000001</v>
      </c>
      <c r="E245">
        <v>59.900599999999997</v>
      </c>
      <c r="F245">
        <v>58.929001</v>
      </c>
      <c r="G245">
        <v>59.476500999999999</v>
      </c>
      <c r="H245">
        <v>18950000</v>
      </c>
      <c r="I245">
        <f t="shared" si="23"/>
        <v>0</v>
      </c>
      <c r="J245">
        <f t="shared" si="24"/>
        <v>-0.09</v>
      </c>
      <c r="K245" t="str">
        <f t="shared" si="25"/>
        <v>Negative</v>
      </c>
      <c r="L245" s="10">
        <f t="shared" si="26"/>
        <v>-1.4459324027820844E-3</v>
      </c>
      <c r="M245" t="str">
        <f t="shared" si="27"/>
        <v/>
      </c>
    </row>
    <row r="246" spans="1:13" x14ac:dyDescent="0.2">
      <c r="A246" s="21" t="s">
        <v>272</v>
      </c>
      <c r="B246" s="21" t="str">
        <f t="shared" si="21"/>
        <v>Friday</v>
      </c>
      <c r="C246" s="9">
        <f t="shared" si="22"/>
        <v>43700</v>
      </c>
      <c r="D246">
        <v>59.099499000000002</v>
      </c>
      <c r="E246">
        <v>59.703999000000003</v>
      </c>
      <c r="F246">
        <v>57.387501</v>
      </c>
      <c r="G246">
        <v>57.564498999999998</v>
      </c>
      <c r="H246">
        <v>33740000</v>
      </c>
      <c r="I246">
        <f t="shared" si="23"/>
        <v>0</v>
      </c>
      <c r="J246">
        <f t="shared" si="24"/>
        <v>-1.91</v>
      </c>
      <c r="K246" t="str">
        <f t="shared" si="25"/>
        <v>Negative</v>
      </c>
      <c r="L246" s="10">
        <f t="shared" si="26"/>
        <v>-3.3214950763316833E-2</v>
      </c>
      <c r="M246" t="str">
        <f t="shared" si="27"/>
        <v/>
      </c>
    </row>
    <row r="247" spans="1:13" x14ac:dyDescent="0.2">
      <c r="A247" s="21" t="s">
        <v>273</v>
      </c>
      <c r="B247" s="21" t="str">
        <f t="shared" si="21"/>
        <v>Monday</v>
      </c>
      <c r="C247" s="9">
        <f t="shared" si="22"/>
        <v>43703</v>
      </c>
      <c r="D247">
        <v>57.862999000000002</v>
      </c>
      <c r="E247">
        <v>58.473498999999997</v>
      </c>
      <c r="F247">
        <v>57.647998999999999</v>
      </c>
      <c r="G247">
        <v>58.444499999999998</v>
      </c>
      <c r="H247">
        <v>24522000</v>
      </c>
      <c r="I247">
        <f t="shared" si="23"/>
        <v>0</v>
      </c>
      <c r="J247">
        <f t="shared" si="24"/>
        <v>0.88</v>
      </c>
      <c r="K247" t="str">
        <f t="shared" si="25"/>
        <v>Positive</v>
      </c>
      <c r="L247" s="10">
        <f t="shared" si="26"/>
        <v>1.5057037018025649E-2</v>
      </c>
      <c r="M247" t="str">
        <f t="shared" si="27"/>
        <v/>
      </c>
    </row>
    <row r="248" spans="1:13" x14ac:dyDescent="0.2">
      <c r="A248" s="21" t="s">
        <v>274</v>
      </c>
      <c r="B248" s="21" t="str">
        <f t="shared" si="21"/>
        <v>Tuesday</v>
      </c>
      <c r="C248" s="9">
        <f t="shared" si="22"/>
        <v>43704</v>
      </c>
      <c r="D248">
        <v>59.026501000000003</v>
      </c>
      <c r="E248">
        <v>59.119999</v>
      </c>
      <c r="F248">
        <v>58.072498000000003</v>
      </c>
      <c r="G248">
        <v>58.391998000000001</v>
      </c>
      <c r="H248">
        <v>21544000</v>
      </c>
      <c r="I248">
        <f t="shared" si="23"/>
        <v>0</v>
      </c>
      <c r="J248">
        <f t="shared" si="24"/>
        <v>-0.05</v>
      </c>
      <c r="K248" t="str">
        <f t="shared" si="25"/>
        <v>Negative</v>
      </c>
      <c r="L248" s="10">
        <f t="shared" si="26"/>
        <v>-8.9913004860695022E-4</v>
      </c>
      <c r="M248" t="str">
        <f t="shared" si="27"/>
        <v/>
      </c>
    </row>
    <row r="249" spans="1:13" x14ac:dyDescent="0.2">
      <c r="A249" s="21" t="s">
        <v>275</v>
      </c>
      <c r="B249" s="21" t="str">
        <f t="shared" si="21"/>
        <v>Wednesday</v>
      </c>
      <c r="C249" s="9">
        <f t="shared" si="22"/>
        <v>43705</v>
      </c>
      <c r="D249">
        <v>58.085498999999999</v>
      </c>
      <c r="E249">
        <v>58.820999</v>
      </c>
      <c r="F249">
        <v>57.865001999999997</v>
      </c>
      <c r="G249">
        <v>58.550998999999997</v>
      </c>
      <c r="H249">
        <v>16040000</v>
      </c>
      <c r="I249">
        <f t="shared" si="23"/>
        <v>0</v>
      </c>
      <c r="J249">
        <f t="shared" si="24"/>
        <v>0.16</v>
      </c>
      <c r="K249" t="str">
        <f t="shared" si="25"/>
        <v>Positive</v>
      </c>
      <c r="L249" s="10">
        <f t="shared" si="26"/>
        <v>2.715598413615392E-3</v>
      </c>
      <c r="M249" t="str">
        <f t="shared" si="27"/>
        <v/>
      </c>
    </row>
    <row r="250" spans="1:13" x14ac:dyDescent="0.2">
      <c r="A250" s="21" t="s">
        <v>276</v>
      </c>
      <c r="B250" s="21" t="str">
        <f t="shared" si="21"/>
        <v>Thursday</v>
      </c>
      <c r="C250" s="9">
        <f t="shared" si="22"/>
        <v>43706</v>
      </c>
      <c r="D250">
        <v>59.055999999999997</v>
      </c>
      <c r="E250">
        <v>59.803001000000002</v>
      </c>
      <c r="F250">
        <v>59.055999999999997</v>
      </c>
      <c r="G250">
        <v>59.642502</v>
      </c>
      <c r="H250">
        <v>21768000</v>
      </c>
      <c r="I250">
        <f t="shared" si="23"/>
        <v>0</v>
      </c>
      <c r="J250">
        <f t="shared" si="24"/>
        <v>1.0900000000000001</v>
      </c>
      <c r="K250" t="str">
        <f t="shared" si="25"/>
        <v>Positive</v>
      </c>
      <c r="L250" s="10">
        <f t="shared" si="26"/>
        <v>1.8300758073496029E-2</v>
      </c>
      <c r="M250" t="str">
        <f t="shared" si="27"/>
        <v/>
      </c>
    </row>
    <row r="251" spans="1:13" x14ac:dyDescent="0.2">
      <c r="A251" s="21" t="s">
        <v>277</v>
      </c>
      <c r="B251" s="21" t="str">
        <f t="shared" si="21"/>
        <v>Friday</v>
      </c>
      <c r="C251" s="9">
        <f t="shared" si="22"/>
        <v>43707</v>
      </c>
      <c r="D251">
        <v>59.924999</v>
      </c>
      <c r="E251">
        <v>59.924999</v>
      </c>
      <c r="F251">
        <v>59.190151</v>
      </c>
      <c r="G251">
        <v>59.404998999999997</v>
      </c>
      <c r="H251">
        <v>22596000</v>
      </c>
      <c r="I251">
        <f t="shared" si="23"/>
        <v>0</v>
      </c>
      <c r="J251">
        <f t="shared" si="24"/>
        <v>-0.24</v>
      </c>
      <c r="K251" t="str">
        <f t="shared" si="25"/>
        <v>Negative</v>
      </c>
      <c r="L251" s="10">
        <f t="shared" si="26"/>
        <v>-3.998030536117067E-3</v>
      </c>
      <c r="M251" t="str">
        <f t="shared" si="27"/>
        <v/>
      </c>
    </row>
    <row r="252" spans="1:13" x14ac:dyDescent="0.2">
      <c r="A252" s="21" t="s">
        <v>278</v>
      </c>
      <c r="B252" s="21" t="str">
        <f t="shared" si="21"/>
        <v>Tuesday</v>
      </c>
      <c r="C252" s="9">
        <f t="shared" si="22"/>
        <v>43711</v>
      </c>
      <c r="D252">
        <v>58.851500999999999</v>
      </c>
      <c r="E252">
        <v>59.344501000000001</v>
      </c>
      <c r="F252">
        <v>58.16</v>
      </c>
      <c r="G252">
        <v>58.419497999999997</v>
      </c>
      <c r="H252">
        <v>29598000</v>
      </c>
      <c r="I252">
        <f t="shared" si="23"/>
        <v>0</v>
      </c>
      <c r="J252">
        <f t="shared" si="24"/>
        <v>-0.99</v>
      </c>
      <c r="K252" t="str">
        <f t="shared" si="25"/>
        <v>Negative</v>
      </c>
      <c r="L252" s="10">
        <f t="shared" si="26"/>
        <v>-1.6869384944047265E-2</v>
      </c>
      <c r="M252" t="str">
        <f t="shared" si="27"/>
        <v/>
      </c>
    </row>
    <row r="253" spans="1:13" x14ac:dyDescent="0.2">
      <c r="A253" s="21" t="s">
        <v>279</v>
      </c>
      <c r="B253" s="21" t="str">
        <f t="shared" si="21"/>
        <v>Wednesday</v>
      </c>
      <c r="C253" s="9">
        <f t="shared" si="22"/>
        <v>43712</v>
      </c>
      <c r="D253">
        <v>58.835498999999999</v>
      </c>
      <c r="E253">
        <v>59.173999999999999</v>
      </c>
      <c r="F253">
        <v>58.549999</v>
      </c>
      <c r="G253">
        <v>59.070498999999998</v>
      </c>
      <c r="H253">
        <v>21378000</v>
      </c>
      <c r="I253">
        <f t="shared" si="23"/>
        <v>0</v>
      </c>
      <c r="J253">
        <f t="shared" si="24"/>
        <v>0.65</v>
      </c>
      <c r="K253" t="str">
        <f t="shared" si="25"/>
        <v>Positive</v>
      </c>
      <c r="L253" s="10">
        <f t="shared" si="26"/>
        <v>1.1020746582824717E-2</v>
      </c>
      <c r="M253" t="str">
        <f t="shared" si="27"/>
        <v/>
      </c>
    </row>
    <row r="254" spans="1:13" x14ac:dyDescent="0.2">
      <c r="A254" s="21" t="s">
        <v>280</v>
      </c>
      <c r="B254" s="21" t="str">
        <f t="shared" si="21"/>
        <v>Thursday</v>
      </c>
      <c r="C254" s="9">
        <f t="shared" si="22"/>
        <v>43713</v>
      </c>
      <c r="D254">
        <v>59.576500000000003</v>
      </c>
      <c r="E254">
        <v>60.652000000000001</v>
      </c>
      <c r="F254">
        <v>59.576500000000003</v>
      </c>
      <c r="G254">
        <v>60.569000000000003</v>
      </c>
      <c r="H254">
        <v>28162000</v>
      </c>
      <c r="I254">
        <f t="shared" si="23"/>
        <v>0</v>
      </c>
      <c r="J254">
        <f t="shared" si="24"/>
        <v>1.5</v>
      </c>
      <c r="K254" t="str">
        <f t="shared" si="25"/>
        <v>Positive</v>
      </c>
      <c r="L254" s="10">
        <f t="shared" si="26"/>
        <v>2.4740395251696485E-2</v>
      </c>
      <c r="M254" t="str">
        <f t="shared" si="27"/>
        <v/>
      </c>
    </row>
    <row r="255" spans="1:13" x14ac:dyDescent="0.2">
      <c r="A255" s="21" t="s">
        <v>281</v>
      </c>
      <c r="B255" s="21" t="str">
        <f t="shared" si="21"/>
        <v>Friday</v>
      </c>
      <c r="C255" s="9">
        <f t="shared" si="22"/>
        <v>43714</v>
      </c>
      <c r="D255">
        <v>60.406502000000003</v>
      </c>
      <c r="E255">
        <v>60.600749999999998</v>
      </c>
      <c r="F255">
        <v>60.126099000000004</v>
      </c>
      <c r="G255">
        <v>60.246498000000003</v>
      </c>
      <c r="H255">
        <v>21442000</v>
      </c>
      <c r="I255">
        <f t="shared" si="23"/>
        <v>0</v>
      </c>
      <c r="J255">
        <f t="shared" si="24"/>
        <v>-0.32</v>
      </c>
      <c r="K255" t="str">
        <f t="shared" si="25"/>
        <v>Negative</v>
      </c>
      <c r="L255" s="10">
        <f t="shared" si="26"/>
        <v>-5.3530414332132641E-3</v>
      </c>
      <c r="M255" t="str">
        <f t="shared" si="27"/>
        <v/>
      </c>
    </row>
    <row r="256" spans="1:13" x14ac:dyDescent="0.2">
      <c r="A256" s="21" t="s">
        <v>282</v>
      </c>
      <c r="B256" s="21" t="str">
        <f t="shared" si="21"/>
        <v>Monday</v>
      </c>
      <c r="C256" s="9">
        <f t="shared" si="22"/>
        <v>43717</v>
      </c>
      <c r="D256">
        <v>60.200001</v>
      </c>
      <c r="E256">
        <v>61</v>
      </c>
      <c r="F256">
        <f>F255</f>
        <v>60.126099000000004</v>
      </c>
      <c r="G256">
        <v>60.220500999999999</v>
      </c>
      <c r="H256">
        <v>29438000</v>
      </c>
      <c r="I256">
        <f t="shared" si="23"/>
        <v>0</v>
      </c>
      <c r="J256">
        <f t="shared" si="24"/>
        <v>-0.03</v>
      </c>
      <c r="K256" t="str">
        <f t="shared" si="25"/>
        <v>Negative</v>
      </c>
      <c r="L256" s="10">
        <f t="shared" si="26"/>
        <v>-4.3169684025052901E-4</v>
      </c>
      <c r="M256" t="str">
        <f t="shared" si="27"/>
        <v/>
      </c>
    </row>
    <row r="257" spans="1:13" x14ac:dyDescent="0.2">
      <c r="A257" s="21" t="s">
        <v>283</v>
      </c>
      <c r="B257" s="21" t="str">
        <f t="shared" si="21"/>
        <v>Tuesday</v>
      </c>
      <c r="C257" s="9">
        <f t="shared" si="22"/>
        <v>43718</v>
      </c>
      <c r="D257">
        <v>59.7575</v>
      </c>
      <c r="E257">
        <v>60.5</v>
      </c>
      <c r="F257">
        <v>59.728999999999999</v>
      </c>
      <c r="G257">
        <v>60.299999</v>
      </c>
      <c r="H257">
        <v>25202000</v>
      </c>
      <c r="I257">
        <f t="shared" si="23"/>
        <v>0</v>
      </c>
      <c r="J257">
        <f t="shared" si="24"/>
        <v>0.08</v>
      </c>
      <c r="K257" t="str">
        <f t="shared" si="25"/>
        <v>Positive</v>
      </c>
      <c r="L257" s="10">
        <f t="shared" si="26"/>
        <v>1.3183748145667623E-3</v>
      </c>
      <c r="M257" t="str">
        <f t="shared" si="27"/>
        <v/>
      </c>
    </row>
    <row r="258" spans="1:13" x14ac:dyDescent="0.2">
      <c r="A258" s="21" t="s">
        <v>284</v>
      </c>
      <c r="B258" s="21" t="str">
        <f t="shared" si="21"/>
        <v>Wednesday</v>
      </c>
      <c r="C258" s="9">
        <f t="shared" si="22"/>
        <v>43719</v>
      </c>
      <c r="D258">
        <v>60.170501999999999</v>
      </c>
      <c r="E258">
        <v>61.130001</v>
      </c>
      <c r="F258">
        <v>60.110000999999997</v>
      </c>
      <c r="G258">
        <v>61.008499</v>
      </c>
      <c r="H258">
        <v>26140000</v>
      </c>
      <c r="I258">
        <f t="shared" si="23"/>
        <v>0</v>
      </c>
      <c r="J258">
        <f t="shared" si="24"/>
        <v>0.71</v>
      </c>
      <c r="K258" t="str">
        <f t="shared" si="25"/>
        <v>Positive</v>
      </c>
      <c r="L258" s="10">
        <f t="shared" si="26"/>
        <v>1.1613136064862058E-2</v>
      </c>
      <c r="M258" t="str">
        <f t="shared" si="27"/>
        <v/>
      </c>
    </row>
    <row r="259" spans="1:13" x14ac:dyDescent="0.2">
      <c r="A259" s="21" t="s">
        <v>285</v>
      </c>
      <c r="B259" s="21" t="str">
        <f t="shared" ref="B259:B322" si="28">LEFT(A259,SEARCH(",",A259)-1)</f>
        <v>Thursday</v>
      </c>
      <c r="C259" s="9">
        <f t="shared" ref="C259:C322" si="29">DATEVALUE(RIGHT(A259,LEN(A259) - SEARCH(",",A259)))</f>
        <v>43720</v>
      </c>
      <c r="D259">
        <v>61.215000000000003</v>
      </c>
      <c r="E259">
        <v>62.092998999999999</v>
      </c>
      <c r="F259">
        <v>61.151001000000001</v>
      </c>
      <c r="G259">
        <v>61.712502000000001</v>
      </c>
      <c r="H259">
        <v>34518000</v>
      </c>
      <c r="I259">
        <f t="shared" ref="I259:I322" si="30">COUNTBLANK(A259:H259)</f>
        <v>0</v>
      </c>
      <c r="J259">
        <f t="shared" ref="J259:J322" si="31">ROUND(IF(ISNUMBER(G258),G259-G258,0),2)</f>
        <v>0.7</v>
      </c>
      <c r="K259" t="str">
        <f t="shared" ref="K259:K322" si="32">IF(J259=0,"Neutral",IF(J259&gt;0,"Positive","Negative"))</f>
        <v>Positive</v>
      </c>
      <c r="L259" s="10">
        <f t="shared" ref="L259:L322" si="33">IF(ISNUMBER(G258),((G259-G258)/G259),0)</f>
        <v>1.1407785735214563E-2</v>
      </c>
      <c r="M259" t="str">
        <f t="shared" ref="M259:M322" si="34">IF(L259&gt;0.05,L259,"")</f>
        <v/>
      </c>
    </row>
    <row r="260" spans="1:13" x14ac:dyDescent="0.2">
      <c r="A260" s="21" t="s">
        <v>286</v>
      </c>
      <c r="B260" s="21" t="str">
        <f t="shared" si="28"/>
        <v>Friday</v>
      </c>
      <c r="C260" s="9">
        <f t="shared" si="29"/>
        <v>43721</v>
      </c>
      <c r="D260">
        <v>61.567501</v>
      </c>
      <c r="E260">
        <v>62.043998999999999</v>
      </c>
      <c r="F260">
        <v>61.350498000000002</v>
      </c>
      <c r="G260">
        <v>61.978000999999999</v>
      </c>
      <c r="H260">
        <v>26028000</v>
      </c>
      <c r="I260">
        <f t="shared" si="30"/>
        <v>0</v>
      </c>
      <c r="J260">
        <f t="shared" si="31"/>
        <v>0.27</v>
      </c>
      <c r="K260" t="str">
        <f t="shared" si="32"/>
        <v>Positive</v>
      </c>
      <c r="L260" s="10">
        <f t="shared" si="33"/>
        <v>4.2837619109399542E-3</v>
      </c>
      <c r="M260" t="str">
        <f t="shared" si="34"/>
        <v/>
      </c>
    </row>
    <row r="261" spans="1:13" x14ac:dyDescent="0.2">
      <c r="A261" s="21" t="s">
        <v>287</v>
      </c>
      <c r="B261" s="21" t="str">
        <f t="shared" si="28"/>
        <v>Monday</v>
      </c>
      <c r="C261" s="9">
        <f t="shared" si="29"/>
        <v>43724</v>
      </c>
      <c r="D261">
        <v>61.476002000000001</v>
      </c>
      <c r="E261">
        <v>61.978000999999999</v>
      </c>
      <c r="F261">
        <v>61.280498999999999</v>
      </c>
      <c r="G261">
        <v>61.564999</v>
      </c>
      <c r="H261">
        <v>21066000</v>
      </c>
      <c r="I261">
        <f t="shared" si="30"/>
        <v>0</v>
      </c>
      <c r="J261">
        <f t="shared" si="31"/>
        <v>-0.41</v>
      </c>
      <c r="K261" t="str">
        <f t="shared" si="32"/>
        <v>Negative</v>
      </c>
      <c r="L261" s="10">
        <f t="shared" si="33"/>
        <v>-6.7083896159894152E-3</v>
      </c>
      <c r="M261" t="str">
        <f t="shared" si="34"/>
        <v/>
      </c>
    </row>
    <row r="262" spans="1:13" x14ac:dyDescent="0.2">
      <c r="A262" s="21" t="s">
        <v>288</v>
      </c>
      <c r="B262" s="21" t="str">
        <f t="shared" si="28"/>
        <v>Tuesday</v>
      </c>
      <c r="C262" s="9">
        <f t="shared" si="29"/>
        <v>43725</v>
      </c>
      <c r="D262">
        <v>61.52</v>
      </c>
      <c r="E262">
        <v>61.75</v>
      </c>
      <c r="F262">
        <v>61.184502000000002</v>
      </c>
      <c r="G262">
        <v>61.457500000000003</v>
      </c>
      <c r="H262">
        <v>19102000</v>
      </c>
      <c r="I262">
        <f t="shared" si="30"/>
        <v>0</v>
      </c>
      <c r="J262">
        <f t="shared" si="31"/>
        <v>-0.11</v>
      </c>
      <c r="K262" t="str">
        <f t="shared" si="32"/>
        <v>Negative</v>
      </c>
      <c r="L262" s="10">
        <f t="shared" si="33"/>
        <v>-1.7491599886099681E-3</v>
      </c>
      <c r="M262" t="str">
        <f t="shared" si="34"/>
        <v/>
      </c>
    </row>
    <row r="263" spans="1:13" x14ac:dyDescent="0.2">
      <c r="A263" s="21" t="s">
        <v>289</v>
      </c>
      <c r="B263" s="21" t="str">
        <f t="shared" si="28"/>
        <v>Wednesday</v>
      </c>
      <c r="C263" s="9">
        <f t="shared" si="29"/>
        <v>43726</v>
      </c>
      <c r="D263">
        <v>61.375500000000002</v>
      </c>
      <c r="E263">
        <v>61.780498999999999</v>
      </c>
      <c r="F263">
        <v>60.826500000000003</v>
      </c>
      <c r="G263">
        <v>61.620499000000002</v>
      </c>
      <c r="H263">
        <v>22702000</v>
      </c>
      <c r="I263">
        <f t="shared" si="30"/>
        <v>0</v>
      </c>
      <c r="J263">
        <f t="shared" si="31"/>
        <v>0.16</v>
      </c>
      <c r="K263" t="str">
        <f t="shared" si="32"/>
        <v>Positive</v>
      </c>
      <c r="L263" s="10">
        <f t="shared" si="33"/>
        <v>2.6452074008683252E-3</v>
      </c>
      <c r="M263" t="str">
        <f t="shared" si="34"/>
        <v/>
      </c>
    </row>
    <row r="264" spans="1:13" x14ac:dyDescent="0.2">
      <c r="A264" s="21" t="s">
        <v>290</v>
      </c>
      <c r="B264" s="21" t="str">
        <f t="shared" si="28"/>
        <v>Thursday</v>
      </c>
      <c r="C264" s="9">
        <f t="shared" si="29"/>
        <v>43727</v>
      </c>
      <c r="D264">
        <v>61.603000999999999</v>
      </c>
      <c r="E264">
        <v>62.222000000000001</v>
      </c>
      <c r="F264">
        <v>61.601002000000001</v>
      </c>
      <c r="G264">
        <v>61.935501000000002</v>
      </c>
      <c r="H264">
        <v>19920000</v>
      </c>
      <c r="I264">
        <f t="shared" si="30"/>
        <v>0</v>
      </c>
      <c r="J264">
        <f t="shared" si="31"/>
        <v>0.32</v>
      </c>
      <c r="K264" t="str">
        <f t="shared" si="32"/>
        <v>Positive</v>
      </c>
      <c r="L264" s="10">
        <f t="shared" si="33"/>
        <v>5.0859683850785313E-3</v>
      </c>
      <c r="M264" t="str">
        <f t="shared" si="34"/>
        <v/>
      </c>
    </row>
    <row r="265" spans="1:13" x14ac:dyDescent="0.2">
      <c r="A265" s="21" t="s">
        <v>291</v>
      </c>
      <c r="B265" s="21" t="str">
        <f t="shared" si="28"/>
        <v>Friday</v>
      </c>
      <c r="C265" s="9">
        <f t="shared" si="29"/>
        <v>43728</v>
      </c>
      <c r="D265">
        <v>61.655997999999997</v>
      </c>
      <c r="E265">
        <v>62.165999999999997</v>
      </c>
      <c r="F265">
        <v>61.153998999999999</v>
      </c>
      <c r="G265">
        <v>61.496498000000003</v>
      </c>
      <c r="H265">
        <v>45400000</v>
      </c>
      <c r="I265">
        <f t="shared" si="30"/>
        <v>0</v>
      </c>
      <c r="J265">
        <f t="shared" si="31"/>
        <v>-0.44</v>
      </c>
      <c r="K265" t="str">
        <f t="shared" si="32"/>
        <v>Negative</v>
      </c>
      <c r="L265" s="10">
        <f t="shared" si="33"/>
        <v>-7.138666660335676E-3</v>
      </c>
      <c r="M265" t="str">
        <f t="shared" si="34"/>
        <v/>
      </c>
    </row>
    <row r="266" spans="1:13" x14ac:dyDescent="0.2">
      <c r="A266" s="21" t="s">
        <v>292</v>
      </c>
      <c r="B266" s="21" t="str">
        <f t="shared" si="28"/>
        <v>Monday</v>
      </c>
      <c r="C266" s="9">
        <f t="shared" si="29"/>
        <v>43731</v>
      </c>
      <c r="D266">
        <v>61.299999</v>
      </c>
      <c r="E266">
        <v>61.954498000000001</v>
      </c>
      <c r="F266">
        <v>61.208500000000001</v>
      </c>
      <c r="G266">
        <v>61.701500000000003</v>
      </c>
      <c r="H266">
        <v>21248000</v>
      </c>
      <c r="I266">
        <f t="shared" si="30"/>
        <v>0</v>
      </c>
      <c r="J266">
        <f t="shared" si="31"/>
        <v>0.21</v>
      </c>
      <c r="K266" t="str">
        <f t="shared" si="32"/>
        <v>Positive</v>
      </c>
      <c r="L266" s="10">
        <f t="shared" si="33"/>
        <v>3.3224800045379829E-3</v>
      </c>
      <c r="M266" t="str">
        <f t="shared" si="34"/>
        <v/>
      </c>
    </row>
    <row r="267" spans="1:13" x14ac:dyDescent="0.2">
      <c r="A267" s="21" t="s">
        <v>293</v>
      </c>
      <c r="B267" s="21" t="str">
        <f t="shared" si="28"/>
        <v>Tuesday</v>
      </c>
      <c r="C267" s="9">
        <f t="shared" si="29"/>
        <v>43732</v>
      </c>
      <c r="D267">
        <v>62</v>
      </c>
      <c r="E267">
        <v>62.337001999999998</v>
      </c>
      <c r="F267">
        <v>60.533999999999999</v>
      </c>
      <c r="G267">
        <v>60.938000000000002</v>
      </c>
      <c r="H267">
        <v>31664000</v>
      </c>
      <c r="I267">
        <f t="shared" si="30"/>
        <v>0</v>
      </c>
      <c r="J267">
        <f t="shared" si="31"/>
        <v>-0.76</v>
      </c>
      <c r="K267" t="str">
        <f t="shared" si="32"/>
        <v>Negative</v>
      </c>
      <c r="L267" s="10">
        <f t="shared" si="33"/>
        <v>-1.2529127966129516E-2</v>
      </c>
      <c r="M267" t="str">
        <f t="shared" si="34"/>
        <v/>
      </c>
    </row>
    <row r="268" spans="1:13" x14ac:dyDescent="0.2">
      <c r="A268" s="21" t="s">
        <v>294</v>
      </c>
      <c r="B268" s="21" t="str">
        <f t="shared" si="28"/>
        <v>Wednesday</v>
      </c>
      <c r="C268" s="9">
        <f t="shared" si="29"/>
        <v>43733</v>
      </c>
      <c r="D268">
        <v>60.790999999999997</v>
      </c>
      <c r="E268">
        <v>62.415000999999997</v>
      </c>
      <c r="F268">
        <v>60.504500999999998</v>
      </c>
      <c r="G268">
        <v>62.326000000000001</v>
      </c>
      <c r="H268">
        <v>29060000</v>
      </c>
      <c r="I268">
        <f t="shared" si="30"/>
        <v>0</v>
      </c>
      <c r="J268">
        <f t="shared" si="31"/>
        <v>1.39</v>
      </c>
      <c r="K268" t="str">
        <f t="shared" si="32"/>
        <v>Positive</v>
      </c>
      <c r="L268" s="10">
        <f t="shared" si="33"/>
        <v>2.2269999679106603E-2</v>
      </c>
      <c r="M268" t="str">
        <f t="shared" si="34"/>
        <v/>
      </c>
    </row>
    <row r="269" spans="1:13" x14ac:dyDescent="0.2">
      <c r="A269" s="21" t="s">
        <v>295</v>
      </c>
      <c r="B269" s="21" t="str">
        <f t="shared" si="28"/>
        <v>Thursday</v>
      </c>
      <c r="C269" s="9">
        <f t="shared" si="29"/>
        <v>43734</v>
      </c>
      <c r="D269">
        <v>62.097999999999999</v>
      </c>
      <c r="E269">
        <v>62.25</v>
      </c>
      <c r="F269">
        <v>61.613399999999999</v>
      </c>
      <c r="G269">
        <v>62.069499999999998</v>
      </c>
      <c r="H269">
        <v>30760000</v>
      </c>
      <c r="I269">
        <f t="shared" si="30"/>
        <v>0</v>
      </c>
      <c r="J269">
        <f t="shared" si="31"/>
        <v>-0.26</v>
      </c>
      <c r="K269" t="str">
        <f t="shared" si="32"/>
        <v>Negative</v>
      </c>
      <c r="L269" s="10">
        <f t="shared" si="33"/>
        <v>-4.1324644148898028E-3</v>
      </c>
      <c r="M269" t="str">
        <f t="shared" si="34"/>
        <v/>
      </c>
    </row>
    <row r="270" spans="1:13" x14ac:dyDescent="0.2">
      <c r="A270" s="21" t="s">
        <v>296</v>
      </c>
      <c r="B270" s="21" t="str">
        <f t="shared" si="28"/>
        <v>Friday</v>
      </c>
      <c r="C270" s="9">
        <f t="shared" si="29"/>
        <v>43735</v>
      </c>
      <c r="D270">
        <v>62.150500999999998</v>
      </c>
      <c r="E270">
        <v>62.201000000000001</v>
      </c>
      <c r="F270">
        <v>60.722499999999997</v>
      </c>
      <c r="G270">
        <v>61.254500999999998</v>
      </c>
      <c r="H270">
        <v>27078000</v>
      </c>
      <c r="I270">
        <f t="shared" si="30"/>
        <v>0</v>
      </c>
      <c r="J270">
        <f t="shared" si="31"/>
        <v>-0.81</v>
      </c>
      <c r="K270" t="str">
        <f t="shared" si="32"/>
        <v>Negative</v>
      </c>
      <c r="L270" s="10">
        <f t="shared" si="33"/>
        <v>-1.3305128385585906E-2</v>
      </c>
      <c r="M270" t="str">
        <f t="shared" si="34"/>
        <v/>
      </c>
    </row>
    <row r="271" spans="1:13" x14ac:dyDescent="0.2">
      <c r="A271" s="21" t="s">
        <v>297</v>
      </c>
      <c r="B271" s="21" t="str">
        <f t="shared" si="28"/>
        <v>Monday</v>
      </c>
      <c r="C271" s="9">
        <f t="shared" si="29"/>
        <v>43738</v>
      </c>
      <c r="D271">
        <v>61.048499999999997</v>
      </c>
      <c r="E271">
        <v>61.299999</v>
      </c>
      <c r="F271">
        <v>60.615001999999997</v>
      </c>
      <c r="G271">
        <v>60.950001</v>
      </c>
      <c r="H271">
        <v>28082000</v>
      </c>
      <c r="I271">
        <f t="shared" si="30"/>
        <v>0</v>
      </c>
      <c r="J271">
        <f t="shared" si="31"/>
        <v>-0.3</v>
      </c>
      <c r="K271" t="str">
        <f t="shared" si="32"/>
        <v>Negative</v>
      </c>
      <c r="L271" s="10">
        <f t="shared" si="33"/>
        <v>-4.9958981953092552E-3</v>
      </c>
      <c r="M271" t="str">
        <f t="shared" si="34"/>
        <v/>
      </c>
    </row>
    <row r="272" spans="1:13" x14ac:dyDescent="0.2">
      <c r="A272" s="21" t="s">
        <v>298</v>
      </c>
      <c r="B272" s="21" t="str">
        <f t="shared" si="28"/>
        <v>Tuesday</v>
      </c>
      <c r="C272" s="9">
        <f t="shared" si="29"/>
        <v>43739</v>
      </c>
      <c r="D272">
        <v>60.950001</v>
      </c>
      <c r="E272">
        <v>61.561501</v>
      </c>
      <c r="F272">
        <v>60.179001</v>
      </c>
      <c r="G272">
        <v>60.255001</v>
      </c>
      <c r="H272">
        <v>25470000</v>
      </c>
      <c r="I272">
        <f t="shared" si="30"/>
        <v>0</v>
      </c>
      <c r="J272">
        <f t="shared" si="31"/>
        <v>-0.7</v>
      </c>
      <c r="K272" t="str">
        <f t="shared" si="32"/>
        <v>Negative</v>
      </c>
      <c r="L272" s="10">
        <f t="shared" si="33"/>
        <v>-1.1534312313761313E-2</v>
      </c>
      <c r="M272" t="str">
        <f t="shared" si="34"/>
        <v/>
      </c>
    </row>
    <row r="273" spans="1:13" x14ac:dyDescent="0.2">
      <c r="A273" s="21" t="s">
        <v>299</v>
      </c>
      <c r="B273" s="21" t="str">
        <f t="shared" si="28"/>
        <v>Wednesday</v>
      </c>
      <c r="C273" s="9">
        <f t="shared" si="29"/>
        <v>43740</v>
      </c>
      <c r="D273">
        <v>59.848998999999999</v>
      </c>
      <c r="E273">
        <v>59.848998999999999</v>
      </c>
      <c r="F273">
        <v>58.564498999999998</v>
      </c>
      <c r="G273">
        <v>58.831501000000003</v>
      </c>
      <c r="H273">
        <v>32302000</v>
      </c>
      <c r="I273">
        <f t="shared" si="30"/>
        <v>0</v>
      </c>
      <c r="J273">
        <f t="shared" si="31"/>
        <v>-1.42</v>
      </c>
      <c r="K273" t="str">
        <f t="shared" si="32"/>
        <v>Negative</v>
      </c>
      <c r="L273" s="10">
        <f t="shared" si="33"/>
        <v>-2.4196221000718596E-2</v>
      </c>
      <c r="M273" t="str">
        <f t="shared" si="34"/>
        <v/>
      </c>
    </row>
    <row r="274" spans="1:13" x14ac:dyDescent="0.2">
      <c r="A274" s="21" t="s">
        <v>300</v>
      </c>
      <c r="B274" s="21" t="str">
        <f t="shared" si="28"/>
        <v>Thursday</v>
      </c>
      <c r="C274" s="9">
        <f t="shared" si="29"/>
        <v>43741</v>
      </c>
      <c r="D274">
        <v>59</v>
      </c>
      <c r="E274">
        <v>59.452998999999998</v>
      </c>
      <c r="F274">
        <v>58.121498000000003</v>
      </c>
      <c r="G274">
        <v>59.391499000000003</v>
      </c>
      <c r="H274">
        <v>32424000</v>
      </c>
      <c r="I274">
        <f t="shared" si="30"/>
        <v>0</v>
      </c>
      <c r="J274">
        <f t="shared" si="31"/>
        <v>0.56000000000000005</v>
      </c>
      <c r="K274" t="str">
        <f t="shared" si="32"/>
        <v>Positive</v>
      </c>
      <c r="L274" s="10">
        <f t="shared" si="33"/>
        <v>9.4289251732811146E-3</v>
      </c>
      <c r="M274" t="str">
        <f t="shared" si="34"/>
        <v/>
      </c>
    </row>
    <row r="275" spans="1:13" x14ac:dyDescent="0.2">
      <c r="A275" s="21" t="s">
        <v>301</v>
      </c>
      <c r="B275" s="21" t="str">
        <f t="shared" si="28"/>
        <v>Friday</v>
      </c>
      <c r="C275" s="9">
        <f t="shared" si="29"/>
        <v>43742</v>
      </c>
      <c r="D275">
        <v>59.594501000000001</v>
      </c>
      <c r="E275">
        <v>60.571998999999998</v>
      </c>
      <c r="F275">
        <v>59.458500000000001</v>
      </c>
      <c r="G275">
        <v>60.450001</v>
      </c>
      <c r="H275">
        <v>23248000</v>
      </c>
      <c r="I275">
        <f t="shared" si="30"/>
        <v>0</v>
      </c>
      <c r="J275">
        <f t="shared" si="31"/>
        <v>1.06</v>
      </c>
      <c r="K275" t="str">
        <f t="shared" si="32"/>
        <v>Positive</v>
      </c>
      <c r="L275" s="10">
        <f t="shared" si="33"/>
        <v>1.7510371918769647E-2</v>
      </c>
      <c r="M275" t="str">
        <f t="shared" si="34"/>
        <v/>
      </c>
    </row>
    <row r="276" spans="1:13" x14ac:dyDescent="0.2">
      <c r="A276" s="21" t="s">
        <v>302</v>
      </c>
      <c r="B276" s="21" t="str">
        <f t="shared" si="28"/>
        <v>Monday</v>
      </c>
      <c r="C276" s="9">
        <f t="shared" si="29"/>
        <v>43745</v>
      </c>
      <c r="D276">
        <v>60.220001000000003</v>
      </c>
      <c r="E276">
        <v>60.910198000000001</v>
      </c>
      <c r="F276">
        <v>60.1875</v>
      </c>
      <c r="G276">
        <v>60.383999000000003</v>
      </c>
      <c r="H276">
        <v>16858000</v>
      </c>
      <c r="I276">
        <f t="shared" si="30"/>
        <v>0</v>
      </c>
      <c r="J276">
        <f t="shared" si="31"/>
        <v>-7.0000000000000007E-2</v>
      </c>
      <c r="K276" t="str">
        <f t="shared" si="32"/>
        <v>Negative</v>
      </c>
      <c r="L276" s="10">
        <f t="shared" si="33"/>
        <v>-1.0930379089334153E-3</v>
      </c>
      <c r="M276" t="str">
        <f t="shared" si="34"/>
        <v/>
      </c>
    </row>
    <row r="277" spans="1:13" x14ac:dyDescent="0.2">
      <c r="A277" s="21" t="s">
        <v>303</v>
      </c>
      <c r="B277" s="21" t="str">
        <f t="shared" si="28"/>
        <v>Tuesday</v>
      </c>
      <c r="C277" s="9">
        <f t="shared" si="29"/>
        <v>43746</v>
      </c>
      <c r="D277">
        <v>59.879500999999998</v>
      </c>
      <c r="E277">
        <v>60.304001</v>
      </c>
      <c r="F277">
        <v>59.450499999999998</v>
      </c>
      <c r="G277">
        <v>59.456501000000003</v>
      </c>
      <c r="H277">
        <v>20786000</v>
      </c>
      <c r="I277">
        <f t="shared" si="30"/>
        <v>0</v>
      </c>
      <c r="J277">
        <f t="shared" si="31"/>
        <v>-0.93</v>
      </c>
      <c r="K277" t="str">
        <f t="shared" si="32"/>
        <v>Negative</v>
      </c>
      <c r="L277" s="10">
        <f t="shared" si="33"/>
        <v>-1.5599606172586575E-2</v>
      </c>
      <c r="M277" t="str">
        <f t="shared" si="34"/>
        <v/>
      </c>
    </row>
    <row r="278" spans="1:13" x14ac:dyDescent="0.2">
      <c r="A278" s="21" t="s">
        <v>304</v>
      </c>
      <c r="B278" s="21" t="str">
        <f t="shared" si="28"/>
        <v>Wednesday</v>
      </c>
      <c r="C278" s="9">
        <f t="shared" si="29"/>
        <v>43747</v>
      </c>
      <c r="D278">
        <v>59.967498999999997</v>
      </c>
      <c r="E278">
        <v>60.417499999999997</v>
      </c>
      <c r="F278">
        <v>59.881500000000003</v>
      </c>
      <c r="G278">
        <v>60.115501000000002</v>
      </c>
      <c r="H278">
        <v>17354000</v>
      </c>
      <c r="I278">
        <f t="shared" si="30"/>
        <v>0</v>
      </c>
      <c r="J278">
        <f t="shared" si="31"/>
        <v>0.66</v>
      </c>
      <c r="K278" t="str">
        <f t="shared" si="32"/>
        <v>Positive</v>
      </c>
      <c r="L278" s="10">
        <f t="shared" si="33"/>
        <v>1.0962230856231223E-2</v>
      </c>
      <c r="M278" t="str">
        <f t="shared" si="34"/>
        <v/>
      </c>
    </row>
    <row r="279" spans="1:13" x14ac:dyDescent="0.2">
      <c r="A279" s="21" t="s">
        <v>305</v>
      </c>
      <c r="B279" s="21" t="str">
        <f t="shared" si="28"/>
        <v>Thursday</v>
      </c>
      <c r="C279" s="9">
        <f t="shared" si="29"/>
        <v>43748</v>
      </c>
      <c r="D279">
        <v>59.929001</v>
      </c>
      <c r="E279">
        <v>60.75</v>
      </c>
      <c r="F279">
        <v>59.867001000000002</v>
      </c>
      <c r="G279">
        <v>60.433498</v>
      </c>
      <c r="H279">
        <v>16932000</v>
      </c>
      <c r="I279">
        <f t="shared" si="30"/>
        <v>0</v>
      </c>
      <c r="J279">
        <f t="shared" si="31"/>
        <v>0.32</v>
      </c>
      <c r="K279" t="str">
        <f t="shared" si="32"/>
        <v>Positive</v>
      </c>
      <c r="L279" s="10">
        <f t="shared" si="33"/>
        <v>5.2619327115567315E-3</v>
      </c>
      <c r="M279" t="str">
        <f t="shared" si="34"/>
        <v/>
      </c>
    </row>
    <row r="280" spans="1:13" x14ac:dyDescent="0.2">
      <c r="A280" s="21" t="s">
        <v>306</v>
      </c>
      <c r="B280" s="21" t="str">
        <f t="shared" si="28"/>
        <v>Friday</v>
      </c>
      <c r="C280" s="9">
        <f t="shared" si="29"/>
        <v>43749</v>
      </c>
      <c r="D280">
        <v>61.110500000000002</v>
      </c>
      <c r="E280">
        <v>61.419497999999997</v>
      </c>
      <c r="F280">
        <v>60.686999999999998</v>
      </c>
      <c r="G280">
        <v>60.772499000000003</v>
      </c>
      <c r="H280">
        <v>25454000</v>
      </c>
      <c r="I280">
        <f t="shared" si="30"/>
        <v>0</v>
      </c>
      <c r="J280">
        <f t="shared" si="31"/>
        <v>0.34</v>
      </c>
      <c r="K280" t="str">
        <f t="shared" si="32"/>
        <v>Positive</v>
      </c>
      <c r="L280" s="10">
        <f t="shared" si="33"/>
        <v>5.578197467245887E-3</v>
      </c>
      <c r="M280" t="str">
        <f t="shared" si="34"/>
        <v/>
      </c>
    </row>
    <row r="281" spans="1:13" x14ac:dyDescent="0.2">
      <c r="A281" s="21" t="s">
        <v>307</v>
      </c>
      <c r="B281" s="21" t="str">
        <f t="shared" si="28"/>
        <v>Monday</v>
      </c>
      <c r="C281" s="9">
        <f t="shared" si="29"/>
        <v>43752</v>
      </c>
      <c r="D281">
        <v>60.617001000000002</v>
      </c>
      <c r="E281">
        <v>61.316502</v>
      </c>
      <c r="F281">
        <v>60.588000999999998</v>
      </c>
      <c r="G281">
        <v>60.856997999999997</v>
      </c>
      <c r="H281">
        <v>17350000</v>
      </c>
      <c r="I281">
        <f t="shared" si="30"/>
        <v>0</v>
      </c>
      <c r="J281">
        <f t="shared" si="31"/>
        <v>0.08</v>
      </c>
      <c r="K281" t="str">
        <f t="shared" si="32"/>
        <v>Positive</v>
      </c>
      <c r="L281" s="10">
        <f t="shared" si="33"/>
        <v>1.38848452564147E-3</v>
      </c>
      <c r="M281" t="str">
        <f t="shared" si="34"/>
        <v/>
      </c>
    </row>
    <row r="282" spans="1:13" x14ac:dyDescent="0.2">
      <c r="A282" s="21" t="s">
        <v>308</v>
      </c>
      <c r="B282" s="21" t="str">
        <f t="shared" si="28"/>
        <v>Tuesday</v>
      </c>
      <c r="C282" s="9">
        <f t="shared" si="29"/>
        <v>43753</v>
      </c>
      <c r="D282">
        <v>61.02</v>
      </c>
      <c r="E282">
        <v>62.366501</v>
      </c>
      <c r="F282">
        <v>61.02</v>
      </c>
      <c r="G282">
        <v>62.150500999999998</v>
      </c>
      <c r="H282">
        <v>27634000</v>
      </c>
      <c r="I282">
        <f t="shared" si="30"/>
        <v>0</v>
      </c>
      <c r="J282">
        <f t="shared" si="31"/>
        <v>1.29</v>
      </c>
      <c r="K282" t="str">
        <f t="shared" si="32"/>
        <v>Positive</v>
      </c>
      <c r="L282" s="10">
        <f t="shared" si="33"/>
        <v>2.0812430779922453E-2</v>
      </c>
      <c r="M282" t="str">
        <f t="shared" si="34"/>
        <v/>
      </c>
    </row>
    <row r="283" spans="1:13" x14ac:dyDescent="0.2">
      <c r="A283" s="21" t="s">
        <v>309</v>
      </c>
      <c r="B283" s="21" t="str">
        <f t="shared" si="28"/>
        <v>Wednesday</v>
      </c>
      <c r="C283" s="9">
        <f t="shared" si="29"/>
        <v>43754</v>
      </c>
      <c r="D283">
        <v>62.058498</v>
      </c>
      <c r="E283">
        <v>62.737000000000002</v>
      </c>
      <c r="F283">
        <v>61.922500999999997</v>
      </c>
      <c r="G283">
        <v>62.181998999999998</v>
      </c>
      <c r="H283">
        <v>21892000</v>
      </c>
      <c r="I283">
        <f t="shared" si="30"/>
        <v>0</v>
      </c>
      <c r="J283">
        <f t="shared" si="31"/>
        <v>0.03</v>
      </c>
      <c r="K283" t="str">
        <f t="shared" si="32"/>
        <v>Positive</v>
      </c>
      <c r="L283" s="10">
        <f t="shared" si="33"/>
        <v>5.0654531064527432E-4</v>
      </c>
      <c r="M283" t="str">
        <f t="shared" si="34"/>
        <v/>
      </c>
    </row>
    <row r="284" spans="1:13" x14ac:dyDescent="0.2">
      <c r="A284" s="21" t="s">
        <v>310</v>
      </c>
      <c r="B284" s="21" t="str">
        <f t="shared" si="28"/>
        <v>Thursday</v>
      </c>
      <c r="C284" s="9">
        <f t="shared" si="29"/>
        <v>43755</v>
      </c>
      <c r="D284">
        <v>62.546500999999999</v>
      </c>
      <c r="E284">
        <v>63.166248000000003</v>
      </c>
      <c r="F284">
        <v>62.497002000000002</v>
      </c>
      <c r="G284">
        <v>62.653500000000001</v>
      </c>
      <c r="H284">
        <v>19048000</v>
      </c>
      <c r="I284">
        <f t="shared" si="30"/>
        <v>0</v>
      </c>
      <c r="J284">
        <f t="shared" si="31"/>
        <v>0.47</v>
      </c>
      <c r="K284" t="str">
        <f t="shared" si="32"/>
        <v>Positive</v>
      </c>
      <c r="L284" s="10">
        <f t="shared" si="33"/>
        <v>7.5255332902392285E-3</v>
      </c>
      <c r="M284" t="str">
        <f t="shared" si="34"/>
        <v/>
      </c>
    </row>
    <row r="285" spans="1:13" x14ac:dyDescent="0.2">
      <c r="A285" s="21" t="s">
        <v>311</v>
      </c>
      <c r="B285" s="21" t="str">
        <f t="shared" si="28"/>
        <v>Friday</v>
      </c>
      <c r="C285" s="9">
        <f t="shared" si="29"/>
        <v>43756</v>
      </c>
      <c r="D285">
        <v>62.673000000000002</v>
      </c>
      <c r="E285">
        <v>62.944499999999998</v>
      </c>
      <c r="F285">
        <v>62.054001</v>
      </c>
      <c r="G285">
        <v>62.274501999999998</v>
      </c>
      <c r="H285">
        <v>27056000</v>
      </c>
      <c r="I285">
        <f t="shared" si="30"/>
        <v>0</v>
      </c>
      <c r="J285">
        <f t="shared" si="31"/>
        <v>-0.38</v>
      </c>
      <c r="K285" t="str">
        <f t="shared" si="32"/>
        <v>Negative</v>
      </c>
      <c r="L285" s="10">
        <f t="shared" si="33"/>
        <v>-6.0859258256292896E-3</v>
      </c>
      <c r="M285" t="str">
        <f t="shared" si="34"/>
        <v/>
      </c>
    </row>
    <row r="286" spans="1:13" x14ac:dyDescent="0.2">
      <c r="A286" s="21" t="s">
        <v>312</v>
      </c>
      <c r="B286" s="21" t="str">
        <f t="shared" si="28"/>
        <v>Monday</v>
      </c>
      <c r="C286" s="9">
        <f t="shared" si="29"/>
        <v>43759</v>
      </c>
      <c r="D286">
        <v>62.612999000000002</v>
      </c>
      <c r="E286">
        <v>62.731448999999998</v>
      </c>
      <c r="F286">
        <v>62.029998999999997</v>
      </c>
      <c r="G286">
        <v>62.307499</v>
      </c>
      <c r="H286">
        <v>20544000</v>
      </c>
      <c r="I286">
        <f t="shared" si="30"/>
        <v>0</v>
      </c>
      <c r="J286">
        <f t="shared" si="31"/>
        <v>0.03</v>
      </c>
      <c r="K286" t="str">
        <f t="shared" si="32"/>
        <v>Positive</v>
      </c>
      <c r="L286" s="10">
        <f t="shared" si="33"/>
        <v>5.2958312449680764E-4</v>
      </c>
      <c r="M286" t="str">
        <f t="shared" si="34"/>
        <v/>
      </c>
    </row>
    <row r="287" spans="1:13" x14ac:dyDescent="0.2">
      <c r="A287" s="21" t="s">
        <v>313</v>
      </c>
      <c r="B287" s="21" t="str">
        <f t="shared" si="28"/>
        <v>Tuesday</v>
      </c>
      <c r="C287" s="9">
        <f t="shared" si="29"/>
        <v>43760</v>
      </c>
      <c r="D287">
        <v>62.392502</v>
      </c>
      <c r="E287">
        <v>62.529998999999997</v>
      </c>
      <c r="F287">
        <v>62.069000000000003</v>
      </c>
      <c r="G287">
        <v>62.139999000000003</v>
      </c>
      <c r="H287">
        <v>20476000</v>
      </c>
      <c r="I287">
        <f t="shared" si="30"/>
        <v>0</v>
      </c>
      <c r="J287">
        <f t="shared" si="31"/>
        <v>-0.17</v>
      </c>
      <c r="K287" t="str">
        <f t="shared" si="32"/>
        <v>Negative</v>
      </c>
      <c r="L287" s="10">
        <f t="shared" si="33"/>
        <v>-2.6955262744693133E-3</v>
      </c>
      <c r="M287" t="str">
        <f t="shared" si="34"/>
        <v/>
      </c>
    </row>
    <row r="288" spans="1:13" x14ac:dyDescent="0.2">
      <c r="A288" s="21" t="s">
        <v>314</v>
      </c>
      <c r="B288" s="21" t="str">
        <f t="shared" si="28"/>
        <v>Wednesday</v>
      </c>
      <c r="C288" s="9">
        <f t="shared" si="29"/>
        <v>43761</v>
      </c>
      <c r="D288">
        <v>62.118000000000002</v>
      </c>
      <c r="E288">
        <v>62.994498999999998</v>
      </c>
      <c r="F288">
        <v>62.118000000000002</v>
      </c>
      <c r="G288">
        <v>62.956501000000003</v>
      </c>
      <c r="H288">
        <v>18230000</v>
      </c>
      <c r="I288">
        <f t="shared" si="30"/>
        <v>0</v>
      </c>
      <c r="J288">
        <f t="shared" si="31"/>
        <v>0.82</v>
      </c>
      <c r="K288" t="str">
        <f t="shared" si="32"/>
        <v>Positive</v>
      </c>
      <c r="L288" s="10">
        <f t="shared" si="33"/>
        <v>1.2969303996103592E-2</v>
      </c>
      <c r="M288" t="str">
        <f t="shared" si="34"/>
        <v/>
      </c>
    </row>
    <row r="289" spans="1:13" x14ac:dyDescent="0.2">
      <c r="A289" s="21" t="s">
        <v>315</v>
      </c>
      <c r="B289" s="21" t="str">
        <f t="shared" si="28"/>
        <v>Thursday</v>
      </c>
      <c r="C289" s="9">
        <f t="shared" si="29"/>
        <v>43762</v>
      </c>
      <c r="D289">
        <v>63.044998</v>
      </c>
      <c r="E289">
        <v>63.200001</v>
      </c>
      <c r="F289">
        <v>62.685749000000001</v>
      </c>
      <c r="G289">
        <v>63.049500000000002</v>
      </c>
      <c r="H289">
        <v>20562000</v>
      </c>
      <c r="I289">
        <f t="shared" si="30"/>
        <v>0</v>
      </c>
      <c r="J289">
        <f t="shared" si="31"/>
        <v>0.09</v>
      </c>
      <c r="K289" t="str">
        <f t="shared" si="32"/>
        <v>Positive</v>
      </c>
      <c r="L289" s="10">
        <f t="shared" si="33"/>
        <v>1.4750156622970673E-3</v>
      </c>
      <c r="M289" t="str">
        <f t="shared" si="34"/>
        <v/>
      </c>
    </row>
    <row r="290" spans="1:13" x14ac:dyDescent="0.2">
      <c r="A290" s="21" t="s">
        <v>316</v>
      </c>
      <c r="B290" s="21" t="str">
        <f t="shared" si="28"/>
        <v>Friday</v>
      </c>
      <c r="C290" s="9">
        <f t="shared" si="29"/>
        <v>43763</v>
      </c>
      <c r="D290">
        <v>62.551498000000002</v>
      </c>
      <c r="E290">
        <v>63.48</v>
      </c>
      <c r="F290">
        <v>62.500500000000002</v>
      </c>
      <c r="G290">
        <v>63.256500000000003</v>
      </c>
      <c r="H290">
        <v>24262000</v>
      </c>
      <c r="I290">
        <f t="shared" si="30"/>
        <v>0</v>
      </c>
      <c r="J290">
        <f t="shared" si="31"/>
        <v>0.21</v>
      </c>
      <c r="K290" t="str">
        <f t="shared" si="32"/>
        <v>Positive</v>
      </c>
      <c r="L290" s="10">
        <f t="shared" si="33"/>
        <v>3.2723909795831373E-3</v>
      </c>
      <c r="M290" t="str">
        <f t="shared" si="34"/>
        <v/>
      </c>
    </row>
    <row r="291" spans="1:13" x14ac:dyDescent="0.2">
      <c r="A291" s="21" t="s">
        <v>317</v>
      </c>
      <c r="B291" s="21" t="str">
        <f t="shared" si="28"/>
        <v>Monday</v>
      </c>
      <c r="C291" s="9">
        <f t="shared" si="29"/>
        <v>43766</v>
      </c>
      <c r="D291">
        <v>63.772499000000003</v>
      </c>
      <c r="E291">
        <v>64.965500000000006</v>
      </c>
      <c r="F291">
        <v>63.626998999999998</v>
      </c>
      <c r="G291">
        <v>64.5</v>
      </c>
      <c r="H291">
        <v>52264000</v>
      </c>
      <c r="I291">
        <f t="shared" si="30"/>
        <v>0</v>
      </c>
      <c r="J291">
        <f t="shared" si="31"/>
        <v>1.24</v>
      </c>
      <c r="K291" t="str">
        <f t="shared" si="32"/>
        <v>Positive</v>
      </c>
      <c r="L291" s="10">
        <f t="shared" si="33"/>
        <v>1.9279069767441821E-2</v>
      </c>
      <c r="M291" t="str">
        <f t="shared" si="34"/>
        <v/>
      </c>
    </row>
    <row r="292" spans="1:13" x14ac:dyDescent="0.2">
      <c r="A292" s="21" t="s">
        <v>318</v>
      </c>
      <c r="B292" s="21" t="str">
        <f t="shared" si="28"/>
        <v>Tuesday</v>
      </c>
      <c r="C292" s="9">
        <f t="shared" si="29"/>
        <v>43767</v>
      </c>
      <c r="D292">
        <v>63.811501</v>
      </c>
      <c r="E292">
        <v>64.079498000000001</v>
      </c>
      <c r="F292">
        <v>62.860599999999998</v>
      </c>
      <c r="G292">
        <v>63.131000999999998</v>
      </c>
      <c r="H292">
        <v>37728000</v>
      </c>
      <c r="I292">
        <f t="shared" si="30"/>
        <v>0</v>
      </c>
      <c r="J292">
        <f t="shared" si="31"/>
        <v>-1.37</v>
      </c>
      <c r="K292" t="str">
        <f t="shared" si="32"/>
        <v>Negative</v>
      </c>
      <c r="L292" s="10">
        <f t="shared" si="33"/>
        <v>-2.1685051374363641E-2</v>
      </c>
      <c r="M292" t="str">
        <f t="shared" si="34"/>
        <v/>
      </c>
    </row>
    <row r="293" spans="1:13" x14ac:dyDescent="0.2">
      <c r="A293" s="21" t="s">
        <v>319</v>
      </c>
      <c r="B293" s="21" t="str">
        <f t="shared" si="28"/>
        <v>Wednesday</v>
      </c>
      <c r="C293" s="9">
        <f t="shared" si="29"/>
        <v>43768</v>
      </c>
      <c r="D293">
        <v>62.648499000000001</v>
      </c>
      <c r="E293">
        <v>63.467998999999999</v>
      </c>
      <c r="F293">
        <v>62.599997999999999</v>
      </c>
      <c r="G293">
        <v>63.064498999999998</v>
      </c>
      <c r="H293">
        <v>28178000</v>
      </c>
      <c r="I293">
        <f t="shared" si="30"/>
        <v>0</v>
      </c>
      <c r="J293">
        <f t="shared" si="31"/>
        <v>-7.0000000000000007E-2</v>
      </c>
      <c r="K293" t="str">
        <f t="shared" si="32"/>
        <v>Negative</v>
      </c>
      <c r="L293" s="10">
        <f t="shared" si="33"/>
        <v>-1.0545077032959517E-3</v>
      </c>
      <c r="M293" t="str">
        <f t="shared" si="34"/>
        <v/>
      </c>
    </row>
    <row r="294" spans="1:13" x14ac:dyDescent="0.2">
      <c r="A294" s="21" t="s">
        <v>320</v>
      </c>
      <c r="B294" s="21" t="str">
        <f t="shared" si="28"/>
        <v>Thursday</v>
      </c>
      <c r="C294" s="9">
        <f t="shared" si="29"/>
        <v>43769</v>
      </c>
      <c r="D294">
        <v>63.063999000000003</v>
      </c>
      <c r="E294">
        <v>63.383499</v>
      </c>
      <c r="F294">
        <v>62.542149000000002</v>
      </c>
      <c r="G294">
        <v>63.005501000000002</v>
      </c>
      <c r="H294">
        <v>29114000</v>
      </c>
      <c r="I294">
        <f t="shared" si="30"/>
        <v>0</v>
      </c>
      <c r="J294">
        <f t="shared" si="31"/>
        <v>-0.06</v>
      </c>
      <c r="K294" t="str">
        <f t="shared" si="32"/>
        <v>Negative</v>
      </c>
      <c r="L294" s="10">
        <f t="shared" si="33"/>
        <v>-9.3639442689290645E-4</v>
      </c>
      <c r="M294" t="str">
        <f t="shared" si="34"/>
        <v/>
      </c>
    </row>
    <row r="295" spans="1:13" x14ac:dyDescent="0.2">
      <c r="A295" s="21" t="s">
        <v>321</v>
      </c>
      <c r="B295" s="21" t="str">
        <f t="shared" si="28"/>
        <v>Friday</v>
      </c>
      <c r="C295" s="9">
        <f t="shared" si="29"/>
        <v>43770</v>
      </c>
      <c r="D295">
        <v>63.25</v>
      </c>
      <c r="E295">
        <v>63.730998999999997</v>
      </c>
      <c r="F295">
        <v>63.025002000000001</v>
      </c>
      <c r="G295">
        <v>63.686999999999998</v>
      </c>
      <c r="H295">
        <v>33402000</v>
      </c>
      <c r="I295">
        <f t="shared" si="30"/>
        <v>0</v>
      </c>
      <c r="J295">
        <f t="shared" si="31"/>
        <v>0.68</v>
      </c>
      <c r="K295" t="str">
        <f t="shared" si="32"/>
        <v>Positive</v>
      </c>
      <c r="L295" s="10">
        <f t="shared" si="33"/>
        <v>1.0700755256174654E-2</v>
      </c>
      <c r="M295" t="str">
        <f t="shared" si="34"/>
        <v/>
      </c>
    </row>
    <row r="296" spans="1:13" x14ac:dyDescent="0.2">
      <c r="A296" s="21" t="s">
        <v>322</v>
      </c>
      <c r="B296" s="21" t="str">
        <f t="shared" si="28"/>
        <v>Monday</v>
      </c>
      <c r="C296" s="9">
        <f t="shared" si="29"/>
        <v>43773</v>
      </c>
      <c r="D296">
        <v>63.822498000000003</v>
      </c>
      <c r="E296">
        <v>64.706496999999999</v>
      </c>
      <c r="F296">
        <v>63.817748999999999</v>
      </c>
      <c r="G296">
        <v>64.568496999999994</v>
      </c>
      <c r="H296">
        <v>30020000</v>
      </c>
      <c r="I296">
        <f t="shared" si="30"/>
        <v>0</v>
      </c>
      <c r="J296">
        <f t="shared" si="31"/>
        <v>0.88</v>
      </c>
      <c r="K296" t="str">
        <f t="shared" si="32"/>
        <v>Positive</v>
      </c>
      <c r="L296" s="10">
        <f t="shared" si="33"/>
        <v>1.3652122024770006E-2</v>
      </c>
      <c r="M296" t="str">
        <f t="shared" si="34"/>
        <v/>
      </c>
    </row>
    <row r="297" spans="1:13" x14ac:dyDescent="0.2">
      <c r="A297" s="21" t="s">
        <v>323</v>
      </c>
      <c r="B297" s="21" t="str">
        <f t="shared" si="28"/>
        <v>Tuesday</v>
      </c>
      <c r="C297" s="9">
        <f t="shared" si="29"/>
        <v>43774</v>
      </c>
      <c r="D297">
        <v>64.644501000000005</v>
      </c>
      <c r="E297">
        <v>64.946503000000007</v>
      </c>
      <c r="F297">
        <v>64.561447000000001</v>
      </c>
      <c r="G297">
        <v>64.601500999999999</v>
      </c>
      <c r="H297">
        <v>25654000</v>
      </c>
      <c r="I297">
        <f t="shared" si="30"/>
        <v>0</v>
      </c>
      <c r="J297">
        <f t="shared" si="31"/>
        <v>0.03</v>
      </c>
      <c r="K297" t="str">
        <f t="shared" si="32"/>
        <v>Positive</v>
      </c>
      <c r="L297" s="10">
        <f t="shared" si="33"/>
        <v>5.1088596223182741E-4</v>
      </c>
      <c r="M297" t="str">
        <f t="shared" si="34"/>
        <v/>
      </c>
    </row>
    <row r="298" spans="1:13" x14ac:dyDescent="0.2">
      <c r="A298" s="21" t="s">
        <v>324</v>
      </c>
      <c r="B298" s="21" t="str">
        <f t="shared" si="28"/>
        <v>Wednesday</v>
      </c>
      <c r="C298" s="9">
        <f t="shared" si="29"/>
        <v>43775</v>
      </c>
      <c r="D298">
        <v>64.472999999999999</v>
      </c>
      <c r="E298">
        <v>64.686501000000007</v>
      </c>
      <c r="F298">
        <v>64.125</v>
      </c>
      <c r="G298">
        <v>64.589995999999999</v>
      </c>
      <c r="H298">
        <v>23060000</v>
      </c>
      <c r="I298">
        <f t="shared" si="30"/>
        <v>0</v>
      </c>
      <c r="J298">
        <f t="shared" si="31"/>
        <v>-0.01</v>
      </c>
      <c r="K298" t="str">
        <f t="shared" si="32"/>
        <v>Negative</v>
      </c>
      <c r="L298" s="10">
        <f t="shared" si="33"/>
        <v>-1.7812355956795003E-4</v>
      </c>
      <c r="M298" t="str">
        <f t="shared" si="34"/>
        <v/>
      </c>
    </row>
    <row r="299" spans="1:13" x14ac:dyDescent="0.2">
      <c r="A299" s="21" t="s">
        <v>325</v>
      </c>
      <c r="B299" s="21" t="str">
        <f t="shared" si="28"/>
        <v>Thursday</v>
      </c>
      <c r="C299" s="9">
        <f t="shared" si="29"/>
        <v>43776</v>
      </c>
      <c r="D299">
        <v>64.713997000000006</v>
      </c>
      <c r="E299">
        <v>66.186995999999994</v>
      </c>
      <c r="F299">
        <v>64.712249999999997</v>
      </c>
      <c r="G299">
        <v>65.443000999999995</v>
      </c>
      <c r="H299">
        <v>40600000</v>
      </c>
      <c r="I299">
        <f t="shared" si="30"/>
        <v>0</v>
      </c>
      <c r="J299">
        <f t="shared" si="31"/>
        <v>0.85</v>
      </c>
      <c r="K299" t="str">
        <f t="shared" si="32"/>
        <v>Positive</v>
      </c>
      <c r="L299" s="10">
        <f t="shared" si="33"/>
        <v>1.303431974337479E-2</v>
      </c>
      <c r="M299" t="str">
        <f t="shared" si="34"/>
        <v/>
      </c>
    </row>
    <row r="300" spans="1:13" x14ac:dyDescent="0.2">
      <c r="A300" s="21" t="s">
        <v>326</v>
      </c>
      <c r="B300" s="21" t="str">
        <f t="shared" si="28"/>
        <v>Friday</v>
      </c>
      <c r="C300" s="9">
        <f t="shared" si="29"/>
        <v>43777</v>
      </c>
      <c r="D300">
        <v>65.263999999999996</v>
      </c>
      <c r="E300">
        <v>65.900002000000001</v>
      </c>
      <c r="F300">
        <v>65.218245999999994</v>
      </c>
      <c r="G300">
        <v>65.568496999999994</v>
      </c>
      <c r="H300">
        <v>25028000</v>
      </c>
      <c r="I300">
        <f t="shared" si="30"/>
        <v>0</v>
      </c>
      <c r="J300">
        <f t="shared" si="31"/>
        <v>0.13</v>
      </c>
      <c r="K300" t="str">
        <f t="shared" si="32"/>
        <v>Positive</v>
      </c>
      <c r="L300" s="10">
        <f t="shared" si="33"/>
        <v>1.9139679227357963E-3</v>
      </c>
      <c r="M300" t="str">
        <f t="shared" si="34"/>
        <v/>
      </c>
    </row>
    <row r="301" spans="1:13" x14ac:dyDescent="0.2">
      <c r="A301" s="21" t="s">
        <v>327</v>
      </c>
      <c r="B301" s="21" t="str">
        <f t="shared" si="28"/>
        <v>Monday</v>
      </c>
      <c r="C301" s="9">
        <f t="shared" si="29"/>
        <v>43780</v>
      </c>
      <c r="D301">
        <v>65.158996999999999</v>
      </c>
      <c r="E301">
        <v>65.321251000000004</v>
      </c>
      <c r="F301">
        <v>64.870498999999995</v>
      </c>
      <c r="G301">
        <v>64.959502999999998</v>
      </c>
      <c r="H301">
        <v>20238000</v>
      </c>
      <c r="I301">
        <f t="shared" si="30"/>
        <v>0</v>
      </c>
      <c r="J301">
        <f t="shared" si="31"/>
        <v>-0.61</v>
      </c>
      <c r="K301" t="str">
        <f t="shared" si="32"/>
        <v>Negative</v>
      </c>
      <c r="L301" s="10">
        <f t="shared" si="33"/>
        <v>-9.3749793621419122E-3</v>
      </c>
      <c r="M301" t="str">
        <f t="shared" si="34"/>
        <v/>
      </c>
    </row>
    <row r="302" spans="1:13" x14ac:dyDescent="0.2">
      <c r="A302" s="21" t="s">
        <v>328</v>
      </c>
      <c r="B302" s="21" t="str">
        <f t="shared" si="28"/>
        <v>Tuesday</v>
      </c>
      <c r="C302" s="9">
        <f t="shared" si="29"/>
        <v>43781</v>
      </c>
      <c r="D302">
        <v>65</v>
      </c>
      <c r="E302">
        <v>65.5</v>
      </c>
      <c r="F302">
        <v>64.788498000000004</v>
      </c>
      <c r="G302">
        <v>64.940002000000007</v>
      </c>
      <c r="H302">
        <v>21718000</v>
      </c>
      <c r="I302">
        <f t="shared" si="30"/>
        <v>0</v>
      </c>
      <c r="J302">
        <f t="shared" si="31"/>
        <v>-0.02</v>
      </c>
      <c r="K302" t="str">
        <f t="shared" si="32"/>
        <v>Negative</v>
      </c>
      <c r="L302" s="10">
        <f t="shared" si="33"/>
        <v>-3.0029256851564473E-4</v>
      </c>
      <c r="M302" t="str">
        <f t="shared" si="34"/>
        <v/>
      </c>
    </row>
    <row r="303" spans="1:13" x14ac:dyDescent="0.2">
      <c r="A303" s="21" t="s">
        <v>329</v>
      </c>
      <c r="B303" s="21" t="str">
        <f t="shared" si="28"/>
        <v>Wednesday</v>
      </c>
      <c r="C303" s="9">
        <f t="shared" si="29"/>
        <v>43782</v>
      </c>
      <c r="D303">
        <v>64.703498999999994</v>
      </c>
      <c r="E303">
        <v>65.214995999999999</v>
      </c>
      <c r="F303">
        <v>64.675499000000002</v>
      </c>
      <c r="G303">
        <v>64.900002000000001</v>
      </c>
      <c r="H303">
        <v>16534000</v>
      </c>
      <c r="I303">
        <f t="shared" si="30"/>
        <v>0</v>
      </c>
      <c r="J303">
        <f t="shared" si="31"/>
        <v>-0.04</v>
      </c>
      <c r="K303" t="str">
        <f t="shared" si="32"/>
        <v>Negative</v>
      </c>
      <c r="L303" s="10">
        <f t="shared" si="33"/>
        <v>-6.1633280072943993E-4</v>
      </c>
      <c r="M303" t="str">
        <f t="shared" si="34"/>
        <v/>
      </c>
    </row>
    <row r="304" spans="1:13" x14ac:dyDescent="0.2">
      <c r="A304" s="21" t="s">
        <v>330</v>
      </c>
      <c r="B304" s="21" t="str">
        <f t="shared" si="28"/>
        <v>Thursday</v>
      </c>
      <c r="C304" s="9">
        <f t="shared" si="29"/>
        <v>43783</v>
      </c>
      <c r="D304">
        <v>64.875</v>
      </c>
      <c r="E304">
        <v>65.849997999999999</v>
      </c>
      <c r="F304">
        <v>64.782500999999996</v>
      </c>
      <c r="G304">
        <v>65.572997999999998</v>
      </c>
      <c r="H304">
        <v>23870000</v>
      </c>
      <c r="I304">
        <f t="shared" si="30"/>
        <v>0</v>
      </c>
      <c r="J304">
        <f t="shared" si="31"/>
        <v>0.67</v>
      </c>
      <c r="K304" t="str">
        <f t="shared" si="32"/>
        <v>Positive</v>
      </c>
      <c r="L304" s="10">
        <f t="shared" si="33"/>
        <v>1.0263309906922324E-2</v>
      </c>
      <c r="M304" t="str">
        <f t="shared" si="34"/>
        <v/>
      </c>
    </row>
    <row r="305" spans="1:13" x14ac:dyDescent="0.2">
      <c r="A305" s="21" t="s">
        <v>331</v>
      </c>
      <c r="B305" s="21" t="str">
        <f t="shared" si="28"/>
        <v>Friday</v>
      </c>
      <c r="C305" s="9">
        <f t="shared" si="29"/>
        <v>43784</v>
      </c>
      <c r="D305">
        <v>65.946999000000005</v>
      </c>
      <c r="E305">
        <v>66.744003000000006</v>
      </c>
      <c r="F305">
        <v>65.713997000000006</v>
      </c>
      <c r="G305">
        <v>66.743499999999997</v>
      </c>
      <c r="H305">
        <v>35652000</v>
      </c>
      <c r="I305">
        <f t="shared" si="30"/>
        <v>0</v>
      </c>
      <c r="J305">
        <f t="shared" si="31"/>
        <v>1.17</v>
      </c>
      <c r="K305" t="str">
        <f t="shared" si="32"/>
        <v>Positive</v>
      </c>
      <c r="L305" s="10">
        <f t="shared" si="33"/>
        <v>1.7537318240727549E-2</v>
      </c>
      <c r="M305" t="str">
        <f t="shared" si="34"/>
        <v/>
      </c>
    </row>
    <row r="306" spans="1:13" x14ac:dyDescent="0.2">
      <c r="A306" s="21" t="s">
        <v>332</v>
      </c>
      <c r="B306" s="21" t="str">
        <f t="shared" si="28"/>
        <v>Monday</v>
      </c>
      <c r="C306" s="9">
        <f t="shared" si="29"/>
        <v>43787</v>
      </c>
      <c r="D306">
        <v>66.611000000000004</v>
      </c>
      <c r="E306">
        <v>66.776450999999994</v>
      </c>
      <c r="F306">
        <v>65.875</v>
      </c>
      <c r="G306">
        <v>66.035004000000001</v>
      </c>
      <c r="H306">
        <v>29748000</v>
      </c>
      <c r="I306">
        <f t="shared" si="30"/>
        <v>0</v>
      </c>
      <c r="J306">
        <f t="shared" si="31"/>
        <v>-0.71</v>
      </c>
      <c r="K306" t="str">
        <f t="shared" si="32"/>
        <v>Negative</v>
      </c>
      <c r="L306" s="10">
        <f t="shared" si="33"/>
        <v>-1.0729097555593344E-2</v>
      </c>
      <c r="M306" t="str">
        <f t="shared" si="34"/>
        <v/>
      </c>
    </row>
    <row r="307" spans="1:13" x14ac:dyDescent="0.2">
      <c r="A307" s="21" t="s">
        <v>333</v>
      </c>
      <c r="B307" s="21" t="str">
        <f t="shared" si="28"/>
        <v>Tuesday</v>
      </c>
      <c r="C307" s="9">
        <f t="shared" si="29"/>
        <v>43788</v>
      </c>
      <c r="D307">
        <v>66.385002</v>
      </c>
      <c r="E307">
        <v>66.385002</v>
      </c>
      <c r="F307">
        <v>65.639999000000003</v>
      </c>
      <c r="G307">
        <v>65.773003000000003</v>
      </c>
      <c r="H307">
        <v>25384000</v>
      </c>
      <c r="I307">
        <f t="shared" si="30"/>
        <v>0</v>
      </c>
      <c r="J307">
        <f t="shared" si="31"/>
        <v>-0.26</v>
      </c>
      <c r="K307" t="str">
        <f t="shared" si="32"/>
        <v>Negative</v>
      </c>
      <c r="L307" s="10">
        <f t="shared" si="33"/>
        <v>-3.9834124648375551E-3</v>
      </c>
      <c r="M307" t="str">
        <f t="shared" si="34"/>
        <v/>
      </c>
    </row>
    <row r="308" spans="1:13" x14ac:dyDescent="0.2">
      <c r="A308" s="21" t="s">
        <v>334</v>
      </c>
      <c r="B308" s="21" t="str">
        <f t="shared" si="28"/>
        <v>Wednesday</v>
      </c>
      <c r="C308" s="9">
        <f t="shared" si="29"/>
        <v>43789</v>
      </c>
      <c r="D308">
        <v>65.586997999999994</v>
      </c>
      <c r="E308">
        <v>65.75</v>
      </c>
      <c r="F308">
        <v>64.557502999999997</v>
      </c>
      <c r="G308">
        <v>65.152495999999999</v>
      </c>
      <c r="H308">
        <v>26172000</v>
      </c>
      <c r="I308">
        <f t="shared" si="30"/>
        <v>0</v>
      </c>
      <c r="J308">
        <f t="shared" si="31"/>
        <v>-0.62</v>
      </c>
      <c r="K308" t="str">
        <f t="shared" si="32"/>
        <v>Negative</v>
      </c>
      <c r="L308" s="10">
        <f t="shared" si="33"/>
        <v>-9.5239175487613469E-3</v>
      </c>
      <c r="M308" t="str">
        <f t="shared" si="34"/>
        <v/>
      </c>
    </row>
    <row r="309" spans="1:13" x14ac:dyDescent="0.2">
      <c r="A309" s="21" t="s">
        <v>335</v>
      </c>
      <c r="B309" s="21" t="str">
        <f t="shared" si="28"/>
        <v>Thursday</v>
      </c>
      <c r="C309" s="9">
        <f t="shared" si="29"/>
        <v>43790</v>
      </c>
      <c r="D309">
        <v>65.073997000000006</v>
      </c>
      <c r="E309">
        <v>65.629501000000005</v>
      </c>
      <c r="F309">
        <v>64.650002000000001</v>
      </c>
      <c r="G309">
        <v>65.067497000000003</v>
      </c>
      <c r="H309">
        <v>19910000</v>
      </c>
      <c r="I309">
        <f t="shared" si="30"/>
        <v>0</v>
      </c>
      <c r="J309">
        <f t="shared" si="31"/>
        <v>-0.08</v>
      </c>
      <c r="K309" t="str">
        <f t="shared" si="32"/>
        <v>Negative</v>
      </c>
      <c r="L309" s="10">
        <f t="shared" si="33"/>
        <v>-1.3063204198556504E-3</v>
      </c>
      <c r="M309" t="str">
        <f t="shared" si="34"/>
        <v/>
      </c>
    </row>
    <row r="310" spans="1:13" x14ac:dyDescent="0.2">
      <c r="A310" s="21" t="s">
        <v>336</v>
      </c>
      <c r="B310" s="21" t="str">
        <f t="shared" si="28"/>
        <v>Friday</v>
      </c>
      <c r="C310" s="9">
        <f t="shared" si="29"/>
        <v>43791</v>
      </c>
      <c r="D310">
        <v>65.280997999999997</v>
      </c>
      <c r="E310">
        <v>65.436501000000007</v>
      </c>
      <c r="F310">
        <v>64.570503000000002</v>
      </c>
      <c r="G310">
        <v>64.766998000000001</v>
      </c>
      <c r="H310">
        <v>27714000</v>
      </c>
      <c r="I310">
        <f t="shared" si="30"/>
        <v>0</v>
      </c>
      <c r="J310">
        <f t="shared" si="31"/>
        <v>-0.3</v>
      </c>
      <c r="K310" t="str">
        <f t="shared" si="32"/>
        <v>Negative</v>
      </c>
      <c r="L310" s="10">
        <f t="shared" si="33"/>
        <v>-4.6396931968346296E-3</v>
      </c>
      <c r="M310" t="str">
        <f t="shared" si="34"/>
        <v/>
      </c>
    </row>
    <row r="311" spans="1:13" x14ac:dyDescent="0.2">
      <c r="A311" s="21" t="s">
        <v>337</v>
      </c>
      <c r="B311" s="21" t="str">
        <f t="shared" si="28"/>
        <v>Monday</v>
      </c>
      <c r="C311" s="9">
        <f t="shared" si="29"/>
        <v>43794</v>
      </c>
      <c r="D311">
        <v>64.959000000000003</v>
      </c>
      <c r="E311">
        <v>65.565498000000005</v>
      </c>
      <c r="F311">
        <v>64.906502000000003</v>
      </c>
      <c r="G311">
        <v>64.766998000000001</v>
      </c>
      <c r="H311">
        <v>20724000</v>
      </c>
      <c r="I311">
        <f t="shared" si="30"/>
        <v>0</v>
      </c>
      <c r="J311">
        <f t="shared" si="31"/>
        <v>0</v>
      </c>
      <c r="K311" t="str">
        <f t="shared" si="32"/>
        <v>Neutral</v>
      </c>
      <c r="L311" s="10">
        <f t="shared" si="33"/>
        <v>0</v>
      </c>
      <c r="M311" t="str">
        <f t="shared" si="34"/>
        <v/>
      </c>
    </row>
    <row r="312" spans="1:13" x14ac:dyDescent="0.2">
      <c r="A312" s="21" t="s">
        <v>338</v>
      </c>
      <c r="B312" s="21" t="str">
        <f t="shared" si="28"/>
        <v>Tuesday</v>
      </c>
      <c r="C312" s="9">
        <f t="shared" si="29"/>
        <v>43795</v>
      </c>
      <c r="D312">
        <v>65.492996000000005</v>
      </c>
      <c r="E312">
        <v>65.739998</v>
      </c>
      <c r="F312">
        <v>65.254501000000005</v>
      </c>
      <c r="G312">
        <v>65.677498</v>
      </c>
      <c r="H312">
        <v>21394000</v>
      </c>
      <c r="I312">
        <f t="shared" si="30"/>
        <v>0</v>
      </c>
      <c r="J312">
        <f t="shared" si="31"/>
        <v>0.91</v>
      </c>
      <c r="K312" t="str">
        <f t="shared" si="32"/>
        <v>Positive</v>
      </c>
      <c r="L312" s="10">
        <f t="shared" si="33"/>
        <v>1.3863195580318833E-2</v>
      </c>
      <c r="M312" t="str">
        <f t="shared" si="34"/>
        <v/>
      </c>
    </row>
    <row r="313" spans="1:13" x14ac:dyDescent="0.2">
      <c r="A313" s="21" t="s">
        <v>339</v>
      </c>
      <c r="B313" s="21" t="str">
        <f t="shared" si="28"/>
        <v>Wednesday</v>
      </c>
      <c r="C313" s="9">
        <f t="shared" si="29"/>
        <v>43796</v>
      </c>
      <c r="D313">
        <v>65.75</v>
      </c>
      <c r="E313">
        <v>65.917998999999995</v>
      </c>
      <c r="F313">
        <v>65.481498999999999</v>
      </c>
      <c r="G313">
        <v>65.649497999999994</v>
      </c>
      <c r="H313">
        <v>19912000</v>
      </c>
      <c r="I313">
        <f t="shared" si="30"/>
        <v>0</v>
      </c>
      <c r="J313">
        <f t="shared" si="31"/>
        <v>-0.03</v>
      </c>
      <c r="K313" t="str">
        <f t="shared" si="32"/>
        <v>Negative</v>
      </c>
      <c r="L313" s="10">
        <f t="shared" si="33"/>
        <v>-4.2650745021699635E-4</v>
      </c>
      <c r="M313" t="str">
        <f t="shared" si="34"/>
        <v/>
      </c>
    </row>
    <row r="314" spans="1:13" x14ac:dyDescent="0.2">
      <c r="A314" s="21" t="s">
        <v>340</v>
      </c>
      <c r="B314" s="21" t="str">
        <f t="shared" si="28"/>
        <v>Friday</v>
      </c>
      <c r="C314" s="9">
        <f t="shared" si="29"/>
        <v>43798</v>
      </c>
      <c r="D314">
        <v>65.356003000000001</v>
      </c>
      <c r="E314">
        <v>65.510245999999995</v>
      </c>
      <c r="F314">
        <v>65.198502000000005</v>
      </c>
      <c r="G314">
        <v>65.248001000000002</v>
      </c>
      <c r="H314">
        <v>11740000</v>
      </c>
      <c r="I314">
        <f t="shared" si="30"/>
        <v>0</v>
      </c>
      <c r="J314">
        <f t="shared" si="31"/>
        <v>-0.4</v>
      </c>
      <c r="K314" t="str">
        <f t="shared" si="32"/>
        <v>Negative</v>
      </c>
      <c r="L314" s="10">
        <f t="shared" si="33"/>
        <v>-6.1533992436027581E-3</v>
      </c>
      <c r="M314" t="str">
        <f t="shared" si="34"/>
        <v/>
      </c>
    </row>
    <row r="315" spans="1:13" x14ac:dyDescent="0.2">
      <c r="A315" s="21" t="s">
        <v>341</v>
      </c>
      <c r="B315" s="21" t="str">
        <f t="shared" si="28"/>
        <v>Monday</v>
      </c>
      <c r="C315" s="9">
        <f t="shared" si="29"/>
        <v>43801</v>
      </c>
      <c r="D315">
        <v>65.050003000000004</v>
      </c>
      <c r="E315">
        <v>65.291495999999995</v>
      </c>
      <c r="F315">
        <v>64.050003000000004</v>
      </c>
      <c r="G315">
        <v>64.496002000000004</v>
      </c>
      <c r="H315">
        <v>30218000</v>
      </c>
      <c r="I315">
        <f t="shared" si="30"/>
        <v>0</v>
      </c>
      <c r="J315">
        <f t="shared" si="31"/>
        <v>-0.75</v>
      </c>
      <c r="K315" t="str">
        <f t="shared" si="32"/>
        <v>Negative</v>
      </c>
      <c r="L315" s="10">
        <f t="shared" si="33"/>
        <v>-1.1659621940597152E-2</v>
      </c>
      <c r="M315" t="str">
        <f t="shared" si="34"/>
        <v/>
      </c>
    </row>
    <row r="316" spans="1:13" x14ac:dyDescent="0.2">
      <c r="A316" s="21" t="s">
        <v>342</v>
      </c>
      <c r="B316" s="21" t="str">
        <f t="shared" si="28"/>
        <v>Tuesday</v>
      </c>
      <c r="C316" s="9">
        <f t="shared" si="29"/>
        <v>43802</v>
      </c>
      <c r="D316">
        <v>63.978499999999997</v>
      </c>
      <c r="E316">
        <v>64.923050000000003</v>
      </c>
      <c r="F316">
        <v>63.950001</v>
      </c>
      <c r="G316">
        <v>64.763999999999996</v>
      </c>
      <c r="H316">
        <v>22876000</v>
      </c>
      <c r="I316">
        <f t="shared" si="30"/>
        <v>0</v>
      </c>
      <c r="J316">
        <f t="shared" si="31"/>
        <v>0.27</v>
      </c>
      <c r="K316" t="str">
        <f t="shared" si="32"/>
        <v>Positive</v>
      </c>
      <c r="L316" s="10">
        <f t="shared" si="33"/>
        <v>4.1380705330120362E-3</v>
      </c>
      <c r="M316" t="str">
        <f t="shared" si="34"/>
        <v/>
      </c>
    </row>
    <row r="317" spans="1:13" x14ac:dyDescent="0.2">
      <c r="A317" s="21" t="s">
        <v>343</v>
      </c>
      <c r="B317" s="21" t="str">
        <f t="shared" si="28"/>
        <v>Wednesday</v>
      </c>
      <c r="C317" s="9">
        <f t="shared" si="29"/>
        <v>43803</v>
      </c>
      <c r="D317">
        <v>65.350502000000006</v>
      </c>
      <c r="E317">
        <v>66.290001000000004</v>
      </c>
      <c r="F317">
        <v>65.243499999999997</v>
      </c>
      <c r="G317">
        <v>66.027000000000001</v>
      </c>
      <c r="H317">
        <v>30750000</v>
      </c>
      <c r="I317">
        <f t="shared" si="30"/>
        <v>0</v>
      </c>
      <c r="J317">
        <f t="shared" si="31"/>
        <v>1.26</v>
      </c>
      <c r="K317" t="str">
        <f t="shared" si="32"/>
        <v>Positive</v>
      </c>
      <c r="L317" s="10">
        <f t="shared" si="33"/>
        <v>1.9128538325230666E-2</v>
      </c>
      <c r="M317" t="str">
        <f t="shared" si="34"/>
        <v/>
      </c>
    </row>
    <row r="318" spans="1:13" x14ac:dyDescent="0.2">
      <c r="A318" s="21" t="s">
        <v>344</v>
      </c>
      <c r="B318" s="21" t="str">
        <f t="shared" si="28"/>
        <v>Thursday</v>
      </c>
      <c r="C318" s="9">
        <f t="shared" si="29"/>
        <v>43804</v>
      </c>
      <c r="D318">
        <v>66.400002000000001</v>
      </c>
      <c r="E318">
        <v>66.467903000000007</v>
      </c>
      <c r="F318">
        <v>65.821999000000005</v>
      </c>
      <c r="G318">
        <v>66.406502000000003</v>
      </c>
      <c r="H318">
        <v>24254000</v>
      </c>
      <c r="I318">
        <f t="shared" si="30"/>
        <v>0</v>
      </c>
      <c r="J318">
        <f t="shared" si="31"/>
        <v>0.38</v>
      </c>
      <c r="K318" t="str">
        <f t="shared" si="32"/>
        <v>Positive</v>
      </c>
      <c r="L318" s="10">
        <f t="shared" si="33"/>
        <v>5.7148319602800673E-3</v>
      </c>
      <c r="M318" t="str">
        <f t="shared" si="34"/>
        <v/>
      </c>
    </row>
    <row r="319" spans="1:13" x14ac:dyDescent="0.2">
      <c r="A319" s="21" t="s">
        <v>345</v>
      </c>
      <c r="B319" s="21" t="str">
        <f t="shared" si="28"/>
        <v>Friday</v>
      </c>
      <c r="C319" s="9">
        <f t="shared" si="29"/>
        <v>43805</v>
      </c>
      <c r="D319">
        <v>66.671997000000005</v>
      </c>
      <c r="E319">
        <v>67.199996999999996</v>
      </c>
      <c r="F319">
        <v>66.671997000000005</v>
      </c>
      <c r="G319">
        <v>67.030997999999997</v>
      </c>
      <c r="H319">
        <v>26296000</v>
      </c>
      <c r="I319">
        <f t="shared" si="30"/>
        <v>0</v>
      </c>
      <c r="J319">
        <f t="shared" si="31"/>
        <v>0.62</v>
      </c>
      <c r="K319" t="str">
        <f t="shared" si="32"/>
        <v>Positive</v>
      </c>
      <c r="L319" s="10">
        <f t="shared" si="33"/>
        <v>9.3165254678140626E-3</v>
      </c>
      <c r="M319" t="str">
        <f t="shared" si="34"/>
        <v/>
      </c>
    </row>
    <row r="320" spans="1:13" x14ac:dyDescent="0.2">
      <c r="A320" s="21" t="s">
        <v>346</v>
      </c>
      <c r="B320" s="21" t="str">
        <f t="shared" si="28"/>
        <v>Monday</v>
      </c>
      <c r="C320" s="9">
        <f t="shared" si="29"/>
        <v>43808</v>
      </c>
      <c r="D320">
        <v>66.902000000000001</v>
      </c>
      <c r="E320">
        <v>67.972504000000001</v>
      </c>
      <c r="F320">
        <v>66.891998000000001</v>
      </c>
      <c r="G320">
        <v>67.178000999999995</v>
      </c>
      <c r="H320">
        <v>27086000</v>
      </c>
      <c r="I320">
        <f t="shared" si="30"/>
        <v>0</v>
      </c>
      <c r="J320">
        <f t="shared" si="31"/>
        <v>0.15</v>
      </c>
      <c r="K320" t="str">
        <f t="shared" si="32"/>
        <v>Positive</v>
      </c>
      <c r="L320" s="10">
        <f t="shared" si="33"/>
        <v>2.1882610052656672E-3</v>
      </c>
      <c r="M320" t="str">
        <f t="shared" si="34"/>
        <v/>
      </c>
    </row>
    <row r="321" spans="1:13" x14ac:dyDescent="0.2">
      <c r="A321" s="21" t="s">
        <v>347</v>
      </c>
      <c r="B321" s="21" t="str">
        <f t="shared" si="28"/>
        <v>Tuesday</v>
      </c>
      <c r="C321" s="9">
        <f t="shared" si="29"/>
        <v>43809</v>
      </c>
      <c r="D321">
        <v>67.074996999999996</v>
      </c>
      <c r="E321">
        <v>67.498749000000004</v>
      </c>
      <c r="F321">
        <v>66.802002000000002</v>
      </c>
      <c r="G321">
        <v>67.233001999999999</v>
      </c>
      <c r="H321">
        <v>21882000</v>
      </c>
      <c r="I321">
        <f t="shared" si="30"/>
        <v>0</v>
      </c>
      <c r="J321">
        <f t="shared" si="31"/>
        <v>0.06</v>
      </c>
      <c r="K321" t="str">
        <f t="shared" si="32"/>
        <v>Positive</v>
      </c>
      <c r="L321" s="10">
        <f t="shared" si="33"/>
        <v>8.1806550895948836E-4</v>
      </c>
      <c r="M321" t="str">
        <f t="shared" si="34"/>
        <v/>
      </c>
    </row>
    <row r="322" spans="1:13" x14ac:dyDescent="0.2">
      <c r="A322" s="21" t="s">
        <v>348</v>
      </c>
      <c r="B322" s="21" t="str">
        <f t="shared" si="28"/>
        <v>Wednesday</v>
      </c>
      <c r="C322" s="9">
        <f t="shared" si="29"/>
        <v>43810</v>
      </c>
      <c r="D322">
        <v>67.542000000000002</v>
      </c>
      <c r="E322">
        <v>67.559997999999993</v>
      </c>
      <c r="F322">
        <v>67.133499</v>
      </c>
      <c r="G322">
        <v>67.250998999999993</v>
      </c>
      <c r="H322">
        <v>17008000</v>
      </c>
      <c r="I322">
        <f t="shared" si="30"/>
        <v>0</v>
      </c>
      <c r="J322">
        <f t="shared" si="31"/>
        <v>0.02</v>
      </c>
      <c r="K322" t="str">
        <f t="shared" si="32"/>
        <v>Positive</v>
      </c>
      <c r="L322" s="10">
        <f t="shared" si="33"/>
        <v>2.6760940755681634E-4</v>
      </c>
      <c r="M322" t="str">
        <f t="shared" si="34"/>
        <v/>
      </c>
    </row>
    <row r="323" spans="1:13" x14ac:dyDescent="0.2">
      <c r="A323" s="21" t="s">
        <v>349</v>
      </c>
      <c r="B323" s="21" t="str">
        <f t="shared" ref="B323:B386" si="35">LEFT(A323,SEARCH(",",A323)-1)</f>
        <v>Thursday</v>
      </c>
      <c r="C323" s="9">
        <f t="shared" ref="C323:C386" si="36">DATEVALUE(RIGHT(A323,LEN(A323) - SEARCH(",",A323)))</f>
        <v>43811</v>
      </c>
      <c r="D323">
        <v>67.296997000000005</v>
      </c>
      <c r="E323">
        <v>67.788749999999993</v>
      </c>
      <c r="F323">
        <v>67.025002000000001</v>
      </c>
      <c r="G323">
        <v>67.513496000000004</v>
      </c>
      <c r="H323">
        <v>25620000</v>
      </c>
      <c r="I323">
        <f t="shared" ref="I323:I386" si="37">COUNTBLANK(A323:H323)</f>
        <v>0</v>
      </c>
      <c r="J323">
        <f t="shared" ref="J323:J386" si="38">ROUND(IF(ISNUMBER(G322),G323-G322,0),2)</f>
        <v>0.26</v>
      </c>
      <c r="K323" t="str">
        <f t="shared" ref="K323:K386" si="39">IF(J323=0,"Neutral",IF(J323&gt;0,"Positive","Negative"))</f>
        <v>Positive</v>
      </c>
      <c r="L323" s="10">
        <f t="shared" ref="L323:L386" si="40">IF(ISNUMBER(G322),((G323-G322)/G323),0)</f>
        <v>3.8880670614362851E-3</v>
      </c>
      <c r="M323" t="str">
        <f t="shared" ref="M323:M386" si="41">IF(L323&gt;0.05,L323,"")</f>
        <v/>
      </c>
    </row>
    <row r="324" spans="1:13" x14ac:dyDescent="0.2">
      <c r="A324" s="21" t="s">
        <v>350</v>
      </c>
      <c r="B324" s="21" t="str">
        <f t="shared" si="35"/>
        <v>Friday</v>
      </c>
      <c r="C324" s="9">
        <f t="shared" si="36"/>
        <v>43812</v>
      </c>
      <c r="D324">
        <v>67.397498999999996</v>
      </c>
      <c r="E324">
        <v>67.654647999999995</v>
      </c>
      <c r="F324">
        <v>67.193496999999994</v>
      </c>
      <c r="G324">
        <v>67.391502000000003</v>
      </c>
      <c r="H324">
        <v>30992000</v>
      </c>
      <c r="I324">
        <f t="shared" si="37"/>
        <v>0</v>
      </c>
      <c r="J324">
        <f t="shared" si="38"/>
        <v>-0.12</v>
      </c>
      <c r="K324" t="str">
        <f t="shared" si="39"/>
        <v>Negative</v>
      </c>
      <c r="L324" s="10">
        <f t="shared" si="40"/>
        <v>-1.8102282391628669E-3</v>
      </c>
      <c r="M324" t="str">
        <f t="shared" si="41"/>
        <v/>
      </c>
    </row>
    <row r="325" spans="1:13" x14ac:dyDescent="0.2">
      <c r="A325" s="21" t="s">
        <v>351</v>
      </c>
      <c r="B325" s="21" t="str">
        <f t="shared" si="35"/>
        <v>Monday</v>
      </c>
      <c r="C325" s="9">
        <f t="shared" si="36"/>
        <v>43815</v>
      </c>
      <c r="D325">
        <v>67.824996999999996</v>
      </c>
      <c r="E325">
        <v>68.234001000000006</v>
      </c>
      <c r="F325">
        <v>67.633499</v>
      </c>
      <c r="G325">
        <v>68.058502000000004</v>
      </c>
      <c r="H325">
        <v>27946000</v>
      </c>
      <c r="I325">
        <f t="shared" si="37"/>
        <v>0</v>
      </c>
      <c r="J325">
        <f t="shared" si="38"/>
        <v>0.67</v>
      </c>
      <c r="K325" t="str">
        <f t="shared" si="39"/>
        <v>Positive</v>
      </c>
      <c r="L325" s="10">
        <f t="shared" si="40"/>
        <v>9.8003920215581821E-3</v>
      </c>
      <c r="M325" t="str">
        <f t="shared" si="41"/>
        <v/>
      </c>
    </row>
    <row r="326" spans="1:13" x14ac:dyDescent="0.2">
      <c r="A326" s="21" t="s">
        <v>352</v>
      </c>
      <c r="B326" s="21" t="str">
        <f t="shared" si="35"/>
        <v>Tuesday</v>
      </c>
      <c r="C326" s="9">
        <f t="shared" si="36"/>
        <v>43816</v>
      </c>
      <c r="D326">
        <v>68.144501000000005</v>
      </c>
      <c r="E326">
        <v>68.25</v>
      </c>
      <c r="F326">
        <v>67.566147000000001</v>
      </c>
      <c r="G326">
        <v>67.755996999999994</v>
      </c>
      <c r="H326">
        <v>37080000</v>
      </c>
      <c r="I326">
        <f t="shared" si="37"/>
        <v>0</v>
      </c>
      <c r="J326">
        <f t="shared" si="38"/>
        <v>-0.3</v>
      </c>
      <c r="K326" t="str">
        <f t="shared" si="39"/>
        <v>Negative</v>
      </c>
      <c r="L326" s="10">
        <f t="shared" si="40"/>
        <v>-4.4646232568906147E-3</v>
      </c>
      <c r="M326" t="str">
        <f t="shared" si="41"/>
        <v/>
      </c>
    </row>
    <row r="327" spans="1:13" x14ac:dyDescent="0.2">
      <c r="A327" s="21" t="s">
        <v>353</v>
      </c>
      <c r="B327" s="21" t="str">
        <f t="shared" si="35"/>
        <v>Wednesday</v>
      </c>
      <c r="C327" s="9">
        <f t="shared" si="36"/>
        <v>43817</v>
      </c>
      <c r="D327">
        <v>67.830001999999993</v>
      </c>
      <c r="E327">
        <v>68.023499000000001</v>
      </c>
      <c r="F327">
        <v>67.550003000000004</v>
      </c>
      <c r="G327">
        <v>67.630996999999994</v>
      </c>
      <c r="H327">
        <v>30452000</v>
      </c>
      <c r="I327">
        <f t="shared" si="37"/>
        <v>0</v>
      </c>
      <c r="J327">
        <f t="shared" si="38"/>
        <v>-0.13</v>
      </c>
      <c r="K327" t="str">
        <f t="shared" si="39"/>
        <v>Negative</v>
      </c>
      <c r="L327" s="10">
        <f t="shared" si="40"/>
        <v>-1.8482649309457912E-3</v>
      </c>
      <c r="M327" t="str">
        <f t="shared" si="41"/>
        <v/>
      </c>
    </row>
    <row r="328" spans="1:13" x14ac:dyDescent="0.2">
      <c r="A328" s="21" t="s">
        <v>354</v>
      </c>
      <c r="B328" s="21" t="str">
        <f t="shared" si="35"/>
        <v>Thursday</v>
      </c>
      <c r="C328" s="9">
        <f t="shared" si="36"/>
        <v>43818</v>
      </c>
      <c r="D328">
        <v>67.591003000000001</v>
      </c>
      <c r="E328">
        <v>67.904999000000004</v>
      </c>
      <c r="F328">
        <v>67.449248999999995</v>
      </c>
      <c r="G328">
        <v>67.802002000000002</v>
      </c>
      <c r="H328">
        <v>29398000</v>
      </c>
      <c r="I328">
        <f t="shared" si="37"/>
        <v>0</v>
      </c>
      <c r="J328">
        <f t="shared" si="38"/>
        <v>0.17</v>
      </c>
      <c r="K328" t="str">
        <f t="shared" si="39"/>
        <v>Positive</v>
      </c>
      <c r="L328" s="10">
        <f t="shared" si="40"/>
        <v>2.5221231668057244E-3</v>
      </c>
      <c r="M328" t="str">
        <f t="shared" si="41"/>
        <v/>
      </c>
    </row>
    <row r="329" spans="1:13" x14ac:dyDescent="0.2">
      <c r="A329" s="21" t="s">
        <v>355</v>
      </c>
      <c r="B329" s="21" t="str">
        <f t="shared" si="35"/>
        <v>Friday</v>
      </c>
      <c r="C329" s="9">
        <f t="shared" si="36"/>
        <v>43819</v>
      </c>
      <c r="D329">
        <v>68.167502999999996</v>
      </c>
      <c r="E329">
        <v>68.181999000000005</v>
      </c>
      <c r="F329">
        <v>67.449996999999996</v>
      </c>
      <c r="G329">
        <v>67.479500000000002</v>
      </c>
      <c r="H329">
        <v>66300000</v>
      </c>
      <c r="I329">
        <f t="shared" si="37"/>
        <v>0</v>
      </c>
      <c r="J329">
        <f t="shared" si="38"/>
        <v>-0.32</v>
      </c>
      <c r="K329" t="str">
        <f t="shared" si="39"/>
        <v>Negative</v>
      </c>
      <c r="L329" s="10">
        <f t="shared" si="40"/>
        <v>-4.7792588860320548E-3</v>
      </c>
      <c r="M329" t="str">
        <f t="shared" si="41"/>
        <v/>
      </c>
    </row>
    <row r="330" spans="1:13" x14ac:dyDescent="0.2">
      <c r="A330" s="21" t="s">
        <v>356</v>
      </c>
      <c r="B330" s="21" t="str">
        <f t="shared" si="35"/>
        <v>Monday</v>
      </c>
      <c r="C330" s="9">
        <f t="shared" si="36"/>
        <v>43822</v>
      </c>
      <c r="D330">
        <v>67.793503000000001</v>
      </c>
      <c r="E330">
        <v>67.989998</v>
      </c>
      <c r="F330">
        <v>67.325500000000005</v>
      </c>
      <c r="G330">
        <v>67.442001000000005</v>
      </c>
      <c r="H330">
        <v>17662000</v>
      </c>
      <c r="I330">
        <f t="shared" si="37"/>
        <v>0</v>
      </c>
      <c r="J330">
        <f t="shared" si="38"/>
        <v>-0.04</v>
      </c>
      <c r="K330" t="str">
        <f t="shared" si="39"/>
        <v>Negative</v>
      </c>
      <c r="L330" s="10">
        <f t="shared" si="40"/>
        <v>-5.5601849654485843E-4</v>
      </c>
      <c r="M330" t="str">
        <f t="shared" si="41"/>
        <v/>
      </c>
    </row>
    <row r="331" spans="1:13" x14ac:dyDescent="0.2">
      <c r="A331" s="21" t="s">
        <v>357</v>
      </c>
      <c r="B331" s="21" t="str">
        <f t="shared" si="35"/>
        <v>Tuesday</v>
      </c>
      <c r="C331" s="9">
        <f t="shared" si="36"/>
        <v>43823</v>
      </c>
      <c r="D331">
        <v>67.425003000000004</v>
      </c>
      <c r="E331">
        <v>67.513000000000005</v>
      </c>
      <c r="F331">
        <v>67.138999999999996</v>
      </c>
      <c r="G331">
        <v>67.178000999999995</v>
      </c>
      <c r="H331">
        <v>6950000</v>
      </c>
      <c r="I331">
        <f t="shared" si="37"/>
        <v>0</v>
      </c>
      <c r="J331">
        <f t="shared" si="38"/>
        <v>-0.26</v>
      </c>
      <c r="K331" t="str">
        <f t="shared" si="39"/>
        <v>Negative</v>
      </c>
      <c r="L331" s="10">
        <f t="shared" si="40"/>
        <v>-3.9298579307236311E-3</v>
      </c>
      <c r="M331" t="str">
        <f t="shared" si="41"/>
        <v/>
      </c>
    </row>
    <row r="332" spans="1:13" x14ac:dyDescent="0.2">
      <c r="A332" s="21" t="s">
        <v>358</v>
      </c>
      <c r="B332" s="21" t="str">
        <f t="shared" si="35"/>
        <v>Thursday</v>
      </c>
      <c r="C332" s="9">
        <f t="shared" si="36"/>
        <v>43825</v>
      </c>
      <c r="D332">
        <v>67.308502000000004</v>
      </c>
      <c r="E332">
        <v>68.066353000000007</v>
      </c>
      <c r="F332">
        <v>67.223502999999994</v>
      </c>
      <c r="G332">
        <v>68.019997000000004</v>
      </c>
      <c r="H332">
        <v>13350000</v>
      </c>
      <c r="I332">
        <f t="shared" si="37"/>
        <v>0</v>
      </c>
      <c r="J332">
        <f t="shared" si="38"/>
        <v>0.84</v>
      </c>
      <c r="K332" t="str">
        <f t="shared" si="39"/>
        <v>Positive</v>
      </c>
      <c r="L332" s="10">
        <f t="shared" si="40"/>
        <v>1.2378653883210387E-2</v>
      </c>
      <c r="M332" t="str">
        <f t="shared" si="41"/>
        <v/>
      </c>
    </row>
    <row r="333" spans="1:13" x14ac:dyDescent="0.2">
      <c r="A333" s="21" t="s">
        <v>359</v>
      </c>
      <c r="B333" s="21" t="str">
        <f t="shared" si="35"/>
        <v>Friday</v>
      </c>
      <c r="C333" s="9">
        <f t="shared" si="36"/>
        <v>43826</v>
      </c>
      <c r="D333">
        <v>68.149497999999994</v>
      </c>
      <c r="E333">
        <v>68.226500999999999</v>
      </c>
      <c r="F333">
        <v>67.465500000000006</v>
      </c>
      <c r="G333">
        <v>67.594498000000002</v>
      </c>
      <c r="H333">
        <v>20768000</v>
      </c>
      <c r="I333">
        <f t="shared" si="37"/>
        <v>0</v>
      </c>
      <c r="J333">
        <f t="shared" si="38"/>
        <v>-0.43</v>
      </c>
      <c r="K333" t="str">
        <f t="shared" si="39"/>
        <v>Negative</v>
      </c>
      <c r="L333" s="10">
        <f t="shared" si="40"/>
        <v>-6.294876248655653E-3</v>
      </c>
      <c r="M333" t="str">
        <f t="shared" si="41"/>
        <v/>
      </c>
    </row>
    <row r="334" spans="1:13" x14ac:dyDescent="0.2">
      <c r="A334" s="21" t="s">
        <v>360</v>
      </c>
      <c r="B334" s="21" t="str">
        <f t="shared" si="35"/>
        <v>Monday</v>
      </c>
      <c r="C334" s="9">
        <f t="shared" si="36"/>
        <v>43829</v>
      </c>
      <c r="D334">
        <v>67.5</v>
      </c>
      <c r="E334">
        <v>67.650002000000001</v>
      </c>
      <c r="F334">
        <v>66.700996000000004</v>
      </c>
      <c r="G334">
        <v>66.806999000000005</v>
      </c>
      <c r="H334">
        <v>21018000</v>
      </c>
      <c r="I334">
        <f t="shared" si="37"/>
        <v>0</v>
      </c>
      <c r="J334">
        <f t="shared" si="38"/>
        <v>-0.79</v>
      </c>
      <c r="K334" t="str">
        <f t="shared" si="39"/>
        <v>Negative</v>
      </c>
      <c r="L334" s="10">
        <f t="shared" si="40"/>
        <v>-1.1787672126987725E-2</v>
      </c>
      <c r="M334" t="str">
        <f t="shared" si="41"/>
        <v/>
      </c>
    </row>
    <row r="335" spans="1:13" x14ac:dyDescent="0.2">
      <c r="A335" s="21" t="s">
        <v>361</v>
      </c>
      <c r="B335" s="21" t="str">
        <f t="shared" si="35"/>
        <v>Tuesday</v>
      </c>
      <c r="C335" s="9">
        <f t="shared" si="36"/>
        <v>43830</v>
      </c>
      <c r="D335">
        <v>66.505500999999995</v>
      </c>
      <c r="E335">
        <v>66.900002000000001</v>
      </c>
      <c r="F335">
        <v>66.454246999999995</v>
      </c>
      <c r="G335">
        <v>66.850998000000004</v>
      </c>
      <c r="H335">
        <v>19236000</v>
      </c>
      <c r="I335">
        <f t="shared" si="37"/>
        <v>0</v>
      </c>
      <c r="J335">
        <f t="shared" si="38"/>
        <v>0.04</v>
      </c>
      <c r="K335" t="str">
        <f t="shared" si="39"/>
        <v>Positive</v>
      </c>
      <c r="L335" s="10">
        <f t="shared" si="40"/>
        <v>6.5816519298634039E-4</v>
      </c>
      <c r="M335" t="str">
        <f t="shared" si="41"/>
        <v/>
      </c>
    </row>
    <row r="336" spans="1:13" x14ac:dyDescent="0.2">
      <c r="A336" s="21" t="s">
        <v>362</v>
      </c>
      <c r="B336" s="21" t="str">
        <f t="shared" si="35"/>
        <v>Thursday</v>
      </c>
      <c r="C336" s="9">
        <f t="shared" si="36"/>
        <v>43832</v>
      </c>
      <c r="D336">
        <v>67.077499000000003</v>
      </c>
      <c r="E336">
        <v>68.406998000000002</v>
      </c>
      <c r="F336">
        <v>67.077499000000003</v>
      </c>
      <c r="G336">
        <v>68.368499999999997</v>
      </c>
      <c r="H336">
        <v>28132000</v>
      </c>
      <c r="I336">
        <f t="shared" si="37"/>
        <v>0</v>
      </c>
      <c r="J336">
        <f t="shared" si="38"/>
        <v>1.52</v>
      </c>
      <c r="K336" t="str">
        <f t="shared" si="39"/>
        <v>Positive</v>
      </c>
      <c r="L336" s="10">
        <f t="shared" si="40"/>
        <v>2.2195923561289091E-2</v>
      </c>
      <c r="M336" t="str">
        <f t="shared" si="41"/>
        <v/>
      </c>
    </row>
    <row r="337" spans="1:13" x14ac:dyDescent="0.2">
      <c r="A337" s="21" t="s">
        <v>363</v>
      </c>
      <c r="B337" s="21" t="str">
        <f t="shared" si="35"/>
        <v>Friday</v>
      </c>
      <c r="C337" s="9">
        <f t="shared" si="36"/>
        <v>43833</v>
      </c>
      <c r="D337">
        <v>67.392998000000006</v>
      </c>
      <c r="E337">
        <v>68.625</v>
      </c>
      <c r="F337">
        <v>67.277198999999996</v>
      </c>
      <c r="G337">
        <v>68.032996999999995</v>
      </c>
      <c r="H337">
        <v>23728000</v>
      </c>
      <c r="I337">
        <f t="shared" si="37"/>
        <v>0</v>
      </c>
      <c r="J337">
        <f t="shared" si="38"/>
        <v>-0.34</v>
      </c>
      <c r="K337" t="str">
        <f t="shared" si="39"/>
        <v>Negative</v>
      </c>
      <c r="L337" s="10">
        <f t="shared" si="40"/>
        <v>-4.9314746489854443E-3</v>
      </c>
      <c r="M337" t="str">
        <f t="shared" si="41"/>
        <v/>
      </c>
    </row>
    <row r="338" spans="1:13" x14ac:dyDescent="0.2">
      <c r="A338" s="21" t="s">
        <v>364</v>
      </c>
      <c r="B338" s="21" t="str">
        <f t="shared" si="35"/>
        <v>Monday</v>
      </c>
      <c r="C338" s="9">
        <f t="shared" si="36"/>
        <v>43836</v>
      </c>
      <c r="D338">
        <v>67.5</v>
      </c>
      <c r="E338">
        <v>69.824996999999996</v>
      </c>
      <c r="F338">
        <v>67.5</v>
      </c>
      <c r="G338">
        <v>69.710503000000003</v>
      </c>
      <c r="H338">
        <v>34646000</v>
      </c>
      <c r="I338">
        <f t="shared" si="37"/>
        <v>0</v>
      </c>
      <c r="J338">
        <f t="shared" si="38"/>
        <v>1.68</v>
      </c>
      <c r="K338" t="str">
        <f t="shared" si="39"/>
        <v>Positive</v>
      </c>
      <c r="L338" s="10">
        <f t="shared" si="40"/>
        <v>2.4063891778259124E-2</v>
      </c>
      <c r="M338" t="str">
        <f t="shared" si="41"/>
        <v/>
      </c>
    </row>
    <row r="339" spans="1:13" x14ac:dyDescent="0.2">
      <c r="A339" s="21" t="s">
        <v>365</v>
      </c>
      <c r="B339" s="21" t="str">
        <f t="shared" si="35"/>
        <v>Tuesday</v>
      </c>
      <c r="C339" s="9">
        <f t="shared" si="36"/>
        <v>43837</v>
      </c>
      <c r="D339">
        <v>69.897002999999998</v>
      </c>
      <c r="E339">
        <v>70.149497999999994</v>
      </c>
      <c r="F339">
        <v>69.518996999999999</v>
      </c>
      <c r="G339">
        <v>69.667000000000002</v>
      </c>
      <c r="H339">
        <v>30054000</v>
      </c>
      <c r="I339">
        <f t="shared" si="37"/>
        <v>0</v>
      </c>
      <c r="J339">
        <f t="shared" si="38"/>
        <v>-0.04</v>
      </c>
      <c r="K339" t="str">
        <f t="shared" si="39"/>
        <v>Negative</v>
      </c>
      <c r="L339" s="10">
        <f t="shared" si="40"/>
        <v>-6.244419883158623E-4</v>
      </c>
      <c r="M339" t="str">
        <f t="shared" si="41"/>
        <v/>
      </c>
    </row>
    <row r="340" spans="1:13" x14ac:dyDescent="0.2">
      <c r="A340" s="21" t="s">
        <v>366</v>
      </c>
      <c r="B340" s="21" t="str">
        <f t="shared" si="35"/>
        <v>Wednesday</v>
      </c>
      <c r="C340" s="9">
        <f t="shared" si="36"/>
        <v>43838</v>
      </c>
      <c r="D340">
        <v>69.603995999999995</v>
      </c>
      <c r="E340">
        <v>70.579002000000003</v>
      </c>
      <c r="F340">
        <v>69.542000000000002</v>
      </c>
      <c r="G340">
        <v>70.216003000000001</v>
      </c>
      <c r="H340">
        <v>30560000</v>
      </c>
      <c r="I340">
        <f t="shared" si="37"/>
        <v>0</v>
      </c>
      <c r="J340">
        <f t="shared" si="38"/>
        <v>0.55000000000000004</v>
      </c>
      <c r="K340" t="str">
        <f t="shared" si="39"/>
        <v>Positive</v>
      </c>
      <c r="L340" s="10">
        <f t="shared" si="40"/>
        <v>7.8187731648581456E-3</v>
      </c>
      <c r="M340" t="str">
        <f t="shared" si="41"/>
        <v/>
      </c>
    </row>
    <row r="341" spans="1:13" x14ac:dyDescent="0.2">
      <c r="A341" s="21" t="s">
        <v>367</v>
      </c>
      <c r="B341" s="21" t="str">
        <f t="shared" si="35"/>
        <v>Thursday</v>
      </c>
      <c r="C341" s="9">
        <f t="shared" si="36"/>
        <v>43839</v>
      </c>
      <c r="D341">
        <v>71.028503000000001</v>
      </c>
      <c r="E341">
        <v>71.366501</v>
      </c>
      <c r="F341">
        <v>70.513496000000004</v>
      </c>
      <c r="G341">
        <v>70.991501</v>
      </c>
      <c r="H341">
        <v>30018000</v>
      </c>
      <c r="I341">
        <f t="shared" si="37"/>
        <v>0</v>
      </c>
      <c r="J341">
        <f t="shared" si="38"/>
        <v>0.78</v>
      </c>
      <c r="K341" t="str">
        <f t="shared" si="39"/>
        <v>Positive</v>
      </c>
      <c r="L341" s="10">
        <f t="shared" si="40"/>
        <v>1.0923814669026352E-2</v>
      </c>
      <c r="M341" t="str">
        <f t="shared" si="41"/>
        <v/>
      </c>
    </row>
    <row r="342" spans="1:13" x14ac:dyDescent="0.2">
      <c r="A342" s="21" t="s">
        <v>368</v>
      </c>
      <c r="B342" s="21" t="str">
        <f t="shared" si="35"/>
        <v>Friday</v>
      </c>
      <c r="C342" s="9">
        <f t="shared" si="36"/>
        <v>43840</v>
      </c>
      <c r="D342">
        <v>71.377998000000005</v>
      </c>
      <c r="E342">
        <v>71.746452000000005</v>
      </c>
      <c r="F342">
        <v>70.917502999999996</v>
      </c>
      <c r="G342">
        <v>71.486503999999996</v>
      </c>
      <c r="H342">
        <v>36414000</v>
      </c>
      <c r="I342">
        <f t="shared" si="37"/>
        <v>0</v>
      </c>
      <c r="J342">
        <f t="shared" si="38"/>
        <v>0.5</v>
      </c>
      <c r="K342" t="str">
        <f t="shared" si="39"/>
        <v>Positive</v>
      </c>
      <c r="L342" s="10">
        <f t="shared" si="40"/>
        <v>6.9244259028249161E-3</v>
      </c>
      <c r="M342" t="str">
        <f t="shared" si="41"/>
        <v/>
      </c>
    </row>
    <row r="343" spans="1:13" x14ac:dyDescent="0.2">
      <c r="A343" s="21" t="s">
        <v>369</v>
      </c>
      <c r="B343" s="21" t="str">
        <f t="shared" si="35"/>
        <v>Monday</v>
      </c>
      <c r="C343" s="9">
        <f t="shared" si="36"/>
        <v>43843</v>
      </c>
      <c r="D343">
        <v>71.806503000000006</v>
      </c>
      <c r="E343">
        <v>72.026000999999994</v>
      </c>
      <c r="F343">
        <v>71.301002999999994</v>
      </c>
      <c r="G343">
        <v>71.961501999999996</v>
      </c>
      <c r="H343">
        <v>33046000</v>
      </c>
      <c r="I343">
        <f t="shared" si="37"/>
        <v>0</v>
      </c>
      <c r="J343">
        <f t="shared" si="38"/>
        <v>0.47</v>
      </c>
      <c r="K343" t="str">
        <f t="shared" si="39"/>
        <v>Positive</v>
      </c>
      <c r="L343" s="10">
        <f t="shared" si="40"/>
        <v>6.6007238147975204E-3</v>
      </c>
      <c r="M343" t="str">
        <f t="shared" si="41"/>
        <v/>
      </c>
    </row>
    <row r="344" spans="1:13" x14ac:dyDescent="0.2">
      <c r="A344" s="21" t="s">
        <v>370</v>
      </c>
      <c r="B344" s="21" t="str">
        <f t="shared" si="35"/>
        <v>Tuesday</v>
      </c>
      <c r="C344" s="9">
        <f t="shared" si="36"/>
        <v>43844</v>
      </c>
      <c r="D344">
        <v>71.950500000000005</v>
      </c>
      <c r="E344">
        <v>72.089995999999999</v>
      </c>
      <c r="F344">
        <v>71.418503000000001</v>
      </c>
      <c r="G344">
        <v>71.543998999999999</v>
      </c>
      <c r="H344">
        <v>31178000</v>
      </c>
      <c r="I344">
        <f t="shared" si="37"/>
        <v>0</v>
      </c>
      <c r="J344">
        <f t="shared" si="38"/>
        <v>-0.42</v>
      </c>
      <c r="K344" t="str">
        <f t="shared" si="39"/>
        <v>Negative</v>
      </c>
      <c r="L344" s="10">
        <f t="shared" si="40"/>
        <v>-5.8356117331377633E-3</v>
      </c>
      <c r="M344" t="str">
        <f t="shared" si="41"/>
        <v/>
      </c>
    </row>
    <row r="345" spans="1:13" x14ac:dyDescent="0.2">
      <c r="A345" s="21" t="s">
        <v>371</v>
      </c>
      <c r="B345" s="21" t="str">
        <f t="shared" si="35"/>
        <v>Wednesday</v>
      </c>
      <c r="C345" s="9">
        <f t="shared" si="36"/>
        <v>43845</v>
      </c>
      <c r="D345">
        <v>71.510497999999998</v>
      </c>
      <c r="E345">
        <v>72.069748000000004</v>
      </c>
      <c r="F345">
        <v>71.510497999999998</v>
      </c>
      <c r="G345">
        <v>71.959998999999996</v>
      </c>
      <c r="H345">
        <v>25654000</v>
      </c>
      <c r="I345">
        <f t="shared" si="37"/>
        <v>0</v>
      </c>
      <c r="J345">
        <f t="shared" si="38"/>
        <v>0.42</v>
      </c>
      <c r="K345" t="str">
        <f t="shared" si="39"/>
        <v>Positive</v>
      </c>
      <c r="L345" s="10">
        <f t="shared" si="40"/>
        <v>5.7809895189130959E-3</v>
      </c>
      <c r="M345" t="str">
        <f t="shared" si="41"/>
        <v/>
      </c>
    </row>
    <row r="346" spans="1:13" x14ac:dyDescent="0.2">
      <c r="A346" s="21" t="s">
        <v>372</v>
      </c>
      <c r="B346" s="21" t="str">
        <f t="shared" si="35"/>
        <v>Thursday</v>
      </c>
      <c r="C346" s="9">
        <f t="shared" si="36"/>
        <v>43846</v>
      </c>
      <c r="D346">
        <v>72.372001999999995</v>
      </c>
      <c r="E346">
        <v>72.599502999999999</v>
      </c>
      <c r="F346">
        <v>72.045997999999997</v>
      </c>
      <c r="G346">
        <v>72.584998999999996</v>
      </c>
      <c r="H346">
        <v>23474000</v>
      </c>
      <c r="I346">
        <f t="shared" si="37"/>
        <v>0</v>
      </c>
      <c r="J346">
        <f t="shared" si="38"/>
        <v>0.63</v>
      </c>
      <c r="K346" t="str">
        <f t="shared" si="39"/>
        <v>Positive</v>
      </c>
      <c r="L346" s="10">
        <f t="shared" si="40"/>
        <v>8.6105945940703268E-3</v>
      </c>
      <c r="M346" t="str">
        <f t="shared" si="41"/>
        <v/>
      </c>
    </row>
    <row r="347" spans="1:13" x14ac:dyDescent="0.2">
      <c r="A347" s="21" t="s">
        <v>373</v>
      </c>
      <c r="B347" s="21" t="str">
        <f t="shared" si="35"/>
        <v>Friday</v>
      </c>
      <c r="C347" s="9">
        <f t="shared" si="36"/>
        <v>43847</v>
      </c>
      <c r="D347">
        <v>73.145499999999998</v>
      </c>
      <c r="E347">
        <v>74.064751000000001</v>
      </c>
      <c r="F347">
        <v>72.911002999999994</v>
      </c>
      <c r="G347">
        <v>74.019501000000005</v>
      </c>
      <c r="H347">
        <v>47924000</v>
      </c>
      <c r="I347">
        <f t="shared" si="37"/>
        <v>0</v>
      </c>
      <c r="J347">
        <f t="shared" si="38"/>
        <v>1.43</v>
      </c>
      <c r="K347" t="str">
        <f t="shared" si="39"/>
        <v>Positive</v>
      </c>
      <c r="L347" s="10">
        <f t="shared" si="40"/>
        <v>1.9380054993886123E-2</v>
      </c>
      <c r="M347" t="str">
        <f t="shared" si="41"/>
        <v/>
      </c>
    </row>
    <row r="348" spans="1:13" x14ac:dyDescent="0.2">
      <c r="A348" s="21" t="s">
        <v>374</v>
      </c>
      <c r="B348" s="21" t="str">
        <f t="shared" si="35"/>
        <v>Tuesday</v>
      </c>
      <c r="C348" s="9">
        <f t="shared" si="36"/>
        <v>43851</v>
      </c>
      <c r="D348">
        <v>73.956001000000001</v>
      </c>
      <c r="E348">
        <v>74.592499000000004</v>
      </c>
      <c r="F348">
        <v>73.559997999999993</v>
      </c>
      <c r="G348">
        <v>74.220000999999996</v>
      </c>
      <c r="H348">
        <v>40734000</v>
      </c>
      <c r="I348">
        <f t="shared" si="37"/>
        <v>0</v>
      </c>
      <c r="J348">
        <f t="shared" si="38"/>
        <v>0.2</v>
      </c>
      <c r="K348" t="str">
        <f t="shared" si="39"/>
        <v>Positive</v>
      </c>
      <c r="L348" s="10">
        <f t="shared" si="40"/>
        <v>2.7014281500749512E-3</v>
      </c>
      <c r="M348" t="str">
        <f t="shared" si="41"/>
        <v/>
      </c>
    </row>
    <row r="349" spans="1:13" x14ac:dyDescent="0.2">
      <c r="A349" s="21" t="s">
        <v>375</v>
      </c>
      <c r="B349" s="21" t="str">
        <f t="shared" si="35"/>
        <v>Wednesday</v>
      </c>
      <c r="C349" s="9">
        <f t="shared" si="36"/>
        <v>43852</v>
      </c>
      <c r="D349">
        <v>74.550003000000004</v>
      </c>
      <c r="E349">
        <v>75.160697999999996</v>
      </c>
      <c r="F349">
        <v>74.246498000000003</v>
      </c>
      <c r="G349">
        <v>74.297500999999997</v>
      </c>
      <c r="H349">
        <v>32216000</v>
      </c>
      <c r="I349">
        <f t="shared" si="37"/>
        <v>0</v>
      </c>
      <c r="J349">
        <f t="shared" si="38"/>
        <v>0.08</v>
      </c>
      <c r="K349" t="str">
        <f t="shared" si="39"/>
        <v>Positive</v>
      </c>
      <c r="L349" s="10">
        <f t="shared" si="40"/>
        <v>1.0431037243096583E-3</v>
      </c>
      <c r="M349" t="str">
        <f t="shared" si="41"/>
        <v/>
      </c>
    </row>
    <row r="350" spans="1:13" x14ac:dyDescent="0.2">
      <c r="A350" s="21" t="s">
        <v>376</v>
      </c>
      <c r="B350" s="21" t="str">
        <f t="shared" si="35"/>
        <v>Thursday</v>
      </c>
      <c r="C350" s="9">
        <f t="shared" si="36"/>
        <v>43853</v>
      </c>
      <c r="D350">
        <v>74.382003999999995</v>
      </c>
      <c r="E350">
        <v>74.776000999999994</v>
      </c>
      <c r="F350">
        <v>74.105002999999996</v>
      </c>
      <c r="G350">
        <v>74.332497000000004</v>
      </c>
      <c r="H350">
        <v>27024000</v>
      </c>
      <c r="I350">
        <f t="shared" si="37"/>
        <v>0</v>
      </c>
      <c r="J350">
        <f t="shared" si="38"/>
        <v>0.03</v>
      </c>
      <c r="K350" t="str">
        <f t="shared" si="39"/>
        <v>Positive</v>
      </c>
      <c r="L350" s="10">
        <f t="shared" si="40"/>
        <v>4.7080350334533611E-4</v>
      </c>
      <c r="M350" t="str">
        <f t="shared" si="41"/>
        <v/>
      </c>
    </row>
    <row r="351" spans="1:13" x14ac:dyDescent="0.2">
      <c r="A351" s="21" t="s">
        <v>377</v>
      </c>
      <c r="B351" s="21" t="str">
        <f t="shared" si="35"/>
        <v>Friday</v>
      </c>
      <c r="C351" s="9">
        <f t="shared" si="36"/>
        <v>43854</v>
      </c>
      <c r="D351">
        <v>74.679496999999998</v>
      </c>
      <c r="E351">
        <v>74.774749999999997</v>
      </c>
      <c r="F351">
        <v>73.262496999999996</v>
      </c>
      <c r="G351">
        <v>73.335503000000003</v>
      </c>
      <c r="H351">
        <v>35692000</v>
      </c>
      <c r="I351">
        <f t="shared" si="37"/>
        <v>0</v>
      </c>
      <c r="J351">
        <f t="shared" si="38"/>
        <v>-1</v>
      </c>
      <c r="K351" t="str">
        <f t="shared" si="39"/>
        <v>Negative</v>
      </c>
      <c r="L351" s="10">
        <f t="shared" si="40"/>
        <v>-1.3594970501531854E-2</v>
      </c>
      <c r="M351" t="str">
        <f t="shared" si="41"/>
        <v/>
      </c>
    </row>
    <row r="352" spans="1:13" x14ac:dyDescent="0.2">
      <c r="A352" s="21" t="s">
        <v>378</v>
      </c>
      <c r="B352" s="21" t="str">
        <f t="shared" si="35"/>
        <v>Monday</v>
      </c>
      <c r="C352" s="9">
        <f t="shared" si="36"/>
        <v>43857</v>
      </c>
      <c r="D352">
        <v>71.550003000000004</v>
      </c>
      <c r="E352">
        <v>71.903503000000001</v>
      </c>
      <c r="F352">
        <v>71.059997999999993</v>
      </c>
      <c r="G352">
        <v>71.694999999999993</v>
      </c>
      <c r="H352">
        <v>35104000</v>
      </c>
      <c r="I352">
        <f t="shared" si="37"/>
        <v>0</v>
      </c>
      <c r="J352">
        <f t="shared" si="38"/>
        <v>-1.64</v>
      </c>
      <c r="K352" t="str">
        <f t="shared" si="39"/>
        <v>Negative</v>
      </c>
      <c r="L352" s="10">
        <f t="shared" si="40"/>
        <v>-2.2881693284050628E-2</v>
      </c>
      <c r="M352" t="str">
        <f t="shared" si="41"/>
        <v/>
      </c>
    </row>
    <row r="353" spans="1:13" x14ac:dyDescent="0.2">
      <c r="A353" s="21" t="s">
        <v>379</v>
      </c>
      <c r="B353" s="21" t="str">
        <f t="shared" si="35"/>
        <v>Tuesday</v>
      </c>
      <c r="C353" s="9">
        <f t="shared" si="36"/>
        <v>43858</v>
      </c>
      <c r="D353">
        <v>72.150002000000001</v>
      </c>
      <c r="E353">
        <v>72.800003000000004</v>
      </c>
      <c r="F353">
        <v>71.623497</v>
      </c>
      <c r="G353">
        <v>72.627998000000005</v>
      </c>
      <c r="H353">
        <v>31548000</v>
      </c>
      <c r="I353">
        <f t="shared" si="37"/>
        <v>0</v>
      </c>
      <c r="J353">
        <f t="shared" si="38"/>
        <v>0.93</v>
      </c>
      <c r="K353" t="str">
        <f t="shared" si="39"/>
        <v>Positive</v>
      </c>
      <c r="L353" s="10">
        <f t="shared" si="40"/>
        <v>1.2846257995436029E-2</v>
      </c>
      <c r="M353" t="str">
        <f t="shared" si="41"/>
        <v/>
      </c>
    </row>
    <row r="354" spans="1:13" x14ac:dyDescent="0.2">
      <c r="A354" s="21" t="s">
        <v>380</v>
      </c>
      <c r="B354" s="21" t="str">
        <f t="shared" si="35"/>
        <v>Wednesday</v>
      </c>
      <c r="C354" s="9">
        <f t="shared" si="36"/>
        <v>43859</v>
      </c>
      <c r="D354">
        <v>72.940002000000007</v>
      </c>
      <c r="E354">
        <v>73.271500000000003</v>
      </c>
      <c r="F354">
        <v>72.336997999999994</v>
      </c>
      <c r="G354">
        <v>72.931503000000006</v>
      </c>
      <c r="H354">
        <v>21554000</v>
      </c>
      <c r="I354">
        <f t="shared" si="37"/>
        <v>0</v>
      </c>
      <c r="J354">
        <f t="shared" si="38"/>
        <v>0.3</v>
      </c>
      <c r="K354" t="str">
        <f t="shared" si="39"/>
        <v>Positive</v>
      </c>
      <c r="L354" s="10">
        <f t="shared" si="40"/>
        <v>4.1615075449631311E-3</v>
      </c>
      <c r="M354" t="str">
        <f t="shared" si="41"/>
        <v/>
      </c>
    </row>
    <row r="355" spans="1:13" x14ac:dyDescent="0.2">
      <c r="A355" s="21" t="s">
        <v>381</v>
      </c>
      <c r="B355" s="21" t="str">
        <f t="shared" si="35"/>
        <v>Thursday</v>
      </c>
      <c r="C355" s="9">
        <f t="shared" si="36"/>
        <v>43860</v>
      </c>
      <c r="D355">
        <v>71.998001000000002</v>
      </c>
      <c r="E355">
        <v>72.863997999999995</v>
      </c>
      <c r="F355">
        <v>71.819999999999993</v>
      </c>
      <c r="G355">
        <v>72.792000000000002</v>
      </c>
      <c r="H355">
        <v>26788000</v>
      </c>
      <c r="I355">
        <f t="shared" si="37"/>
        <v>0</v>
      </c>
      <c r="J355">
        <f t="shared" si="38"/>
        <v>-0.14000000000000001</v>
      </c>
      <c r="K355" t="str">
        <f t="shared" si="39"/>
        <v>Negative</v>
      </c>
      <c r="L355" s="10">
        <f t="shared" si="40"/>
        <v>-1.9164606000660076E-3</v>
      </c>
      <c r="M355" t="str">
        <f t="shared" si="41"/>
        <v/>
      </c>
    </row>
    <row r="356" spans="1:13" x14ac:dyDescent="0.2">
      <c r="A356" s="21" t="s">
        <v>382</v>
      </c>
      <c r="B356" s="21" t="str">
        <f t="shared" si="35"/>
        <v>Friday</v>
      </c>
      <c r="C356" s="9">
        <f t="shared" si="36"/>
        <v>43861</v>
      </c>
      <c r="D356">
        <v>73.444999999999993</v>
      </c>
      <c r="E356">
        <v>73.506500000000003</v>
      </c>
      <c r="F356">
        <v>71.426497999999995</v>
      </c>
      <c r="G356">
        <v>71.711501999999996</v>
      </c>
      <c r="H356">
        <v>48344000</v>
      </c>
      <c r="I356">
        <f t="shared" si="37"/>
        <v>0</v>
      </c>
      <c r="J356">
        <f t="shared" si="38"/>
        <v>-1.08</v>
      </c>
      <c r="K356" t="str">
        <f t="shared" si="39"/>
        <v>Negative</v>
      </c>
      <c r="L356" s="10">
        <f t="shared" si="40"/>
        <v>-1.5067290042258574E-2</v>
      </c>
      <c r="M356" t="str">
        <f t="shared" si="41"/>
        <v/>
      </c>
    </row>
    <row r="357" spans="1:13" x14ac:dyDescent="0.2">
      <c r="A357" s="21" t="s">
        <v>383</v>
      </c>
      <c r="B357" s="21" t="str">
        <f t="shared" si="35"/>
        <v>Monday</v>
      </c>
      <c r="C357" s="9">
        <f t="shared" si="36"/>
        <v>43864</v>
      </c>
      <c r="D357">
        <v>73.099997999999999</v>
      </c>
      <c r="E357">
        <v>74.5</v>
      </c>
      <c r="F357">
        <v>72.949500999999998</v>
      </c>
      <c r="G357">
        <v>74.296997000000005</v>
      </c>
      <c r="H357">
        <v>60736000</v>
      </c>
      <c r="I357">
        <f t="shared" si="37"/>
        <v>0</v>
      </c>
      <c r="J357">
        <f t="shared" si="38"/>
        <v>2.59</v>
      </c>
      <c r="K357" t="str">
        <f t="shared" si="39"/>
        <v>Positive</v>
      </c>
      <c r="L357" s="10">
        <f t="shared" si="40"/>
        <v>3.4799454949706897E-2</v>
      </c>
      <c r="M357" t="str">
        <f t="shared" si="41"/>
        <v/>
      </c>
    </row>
    <row r="358" spans="1:13" x14ac:dyDescent="0.2">
      <c r="A358" s="21" t="s">
        <v>384</v>
      </c>
      <c r="B358" s="21" t="str">
        <f t="shared" si="35"/>
        <v>Tuesday</v>
      </c>
      <c r="C358" s="9">
        <f t="shared" si="36"/>
        <v>43865</v>
      </c>
      <c r="D358">
        <v>72.853499999999997</v>
      </c>
      <c r="E358">
        <v>73.474997999999999</v>
      </c>
      <c r="F358">
        <v>71.315002000000007</v>
      </c>
      <c r="G358">
        <v>72.353499999999997</v>
      </c>
      <c r="H358">
        <v>78660000</v>
      </c>
      <c r="I358">
        <f t="shared" si="37"/>
        <v>0</v>
      </c>
      <c r="J358">
        <f t="shared" si="38"/>
        <v>-1.94</v>
      </c>
      <c r="K358" t="str">
        <f t="shared" si="39"/>
        <v>Negative</v>
      </c>
      <c r="L358" s="10">
        <f t="shared" si="40"/>
        <v>-2.6861133186369807E-2</v>
      </c>
      <c r="M358" t="str">
        <f t="shared" si="41"/>
        <v/>
      </c>
    </row>
    <row r="359" spans="1:13" x14ac:dyDescent="0.2">
      <c r="A359" s="21" t="s">
        <v>385</v>
      </c>
      <c r="B359" s="21" t="str">
        <f t="shared" si="35"/>
        <v>Wednesday</v>
      </c>
      <c r="C359" s="9">
        <f t="shared" si="36"/>
        <v>43866</v>
      </c>
      <c r="D359">
        <v>73.121002000000004</v>
      </c>
      <c r="E359">
        <v>73.192001000000005</v>
      </c>
      <c r="F359">
        <v>71.528000000000006</v>
      </c>
      <c r="G359">
        <v>72.411499000000006</v>
      </c>
      <c r="H359">
        <v>39724000</v>
      </c>
      <c r="I359">
        <f t="shared" si="37"/>
        <v>0</v>
      </c>
      <c r="J359">
        <f t="shared" si="38"/>
        <v>0.06</v>
      </c>
      <c r="K359" t="str">
        <f t="shared" si="39"/>
        <v>Positive</v>
      </c>
      <c r="L359" s="10">
        <f t="shared" si="40"/>
        <v>8.0096394634793374E-4</v>
      </c>
      <c r="M359" t="str">
        <f t="shared" si="41"/>
        <v/>
      </c>
    </row>
    <row r="360" spans="1:13" x14ac:dyDescent="0.2">
      <c r="A360" s="21" t="s">
        <v>386</v>
      </c>
      <c r="B360" s="21" t="str">
        <f t="shared" si="35"/>
        <v>Thursday</v>
      </c>
      <c r="C360" s="9">
        <f t="shared" si="36"/>
        <v>43867</v>
      </c>
      <c r="D360">
        <v>72.516502000000003</v>
      </c>
      <c r="E360">
        <v>74.099997999999999</v>
      </c>
      <c r="F360">
        <v>72.478499999999997</v>
      </c>
      <c r="G360">
        <v>73.811501000000007</v>
      </c>
      <c r="H360">
        <v>33588000</v>
      </c>
      <c r="I360">
        <f t="shared" si="37"/>
        <v>0</v>
      </c>
      <c r="J360">
        <f t="shared" si="38"/>
        <v>1.4</v>
      </c>
      <c r="K360" t="str">
        <f t="shared" si="39"/>
        <v>Positive</v>
      </c>
      <c r="L360" s="10">
        <f t="shared" si="40"/>
        <v>1.896726094216673E-2</v>
      </c>
      <c r="M360" t="str">
        <f t="shared" si="41"/>
        <v/>
      </c>
    </row>
    <row r="361" spans="1:13" x14ac:dyDescent="0.2">
      <c r="A361" s="21" t="s">
        <v>387</v>
      </c>
      <c r="B361" s="21" t="str">
        <f t="shared" si="35"/>
        <v>Friday</v>
      </c>
      <c r="C361" s="9">
        <f t="shared" si="36"/>
        <v>43868</v>
      </c>
      <c r="D361">
        <v>73.364998</v>
      </c>
      <c r="E361">
        <v>74.292000000000002</v>
      </c>
      <c r="F361">
        <v>73.317497000000003</v>
      </c>
      <c r="G361">
        <v>73.961501999999996</v>
      </c>
      <c r="H361">
        <v>23446000</v>
      </c>
      <c r="I361">
        <f t="shared" si="37"/>
        <v>0</v>
      </c>
      <c r="J361">
        <f t="shared" si="38"/>
        <v>0.15</v>
      </c>
      <c r="K361" t="str">
        <f t="shared" si="39"/>
        <v>Positive</v>
      </c>
      <c r="L361" s="10">
        <f t="shared" si="40"/>
        <v>2.0280956435956231E-3</v>
      </c>
      <c r="M361" t="str">
        <f t="shared" si="41"/>
        <v/>
      </c>
    </row>
    <row r="362" spans="1:13" x14ac:dyDescent="0.2">
      <c r="A362" s="21" t="s">
        <v>388</v>
      </c>
      <c r="B362" s="21" t="str">
        <f t="shared" si="35"/>
        <v>Monday</v>
      </c>
      <c r="C362" s="9">
        <f t="shared" si="36"/>
        <v>43871</v>
      </c>
      <c r="D362">
        <v>73.716003000000001</v>
      </c>
      <c r="E362">
        <v>75.474997999999999</v>
      </c>
      <c r="F362">
        <v>73.716003000000001</v>
      </c>
      <c r="G362">
        <v>75.433998000000003</v>
      </c>
      <c r="H362">
        <v>28398000</v>
      </c>
      <c r="I362">
        <f t="shared" si="37"/>
        <v>0</v>
      </c>
      <c r="J362">
        <f t="shared" si="38"/>
        <v>1.47</v>
      </c>
      <c r="K362" t="str">
        <f t="shared" si="39"/>
        <v>Positive</v>
      </c>
      <c r="L362" s="10">
        <f t="shared" si="40"/>
        <v>1.9520322918586481E-2</v>
      </c>
      <c r="M362" t="str">
        <f t="shared" si="41"/>
        <v/>
      </c>
    </row>
    <row r="363" spans="1:13" x14ac:dyDescent="0.2">
      <c r="A363" s="21" t="s">
        <v>389</v>
      </c>
      <c r="B363" s="21" t="str">
        <f t="shared" si="35"/>
        <v>Tuesday</v>
      </c>
      <c r="C363" s="9">
        <f t="shared" si="36"/>
        <v>43872</v>
      </c>
      <c r="D363">
        <v>75.590500000000006</v>
      </c>
      <c r="E363">
        <v>76.481498999999999</v>
      </c>
      <c r="F363">
        <v>75.281897999999998</v>
      </c>
      <c r="G363">
        <v>75.439498999999998</v>
      </c>
      <c r="H363">
        <v>26892000</v>
      </c>
      <c r="I363">
        <f t="shared" si="37"/>
        <v>0</v>
      </c>
      <c r="J363">
        <f t="shared" si="38"/>
        <v>0.01</v>
      </c>
      <c r="K363" t="str">
        <f t="shared" si="39"/>
        <v>Positive</v>
      </c>
      <c r="L363" s="10">
        <f t="shared" si="40"/>
        <v>7.2919360188159718E-5</v>
      </c>
      <c r="M363" t="str">
        <f t="shared" si="41"/>
        <v/>
      </c>
    </row>
    <row r="364" spans="1:13" x14ac:dyDescent="0.2">
      <c r="A364" s="21" t="s">
        <v>390</v>
      </c>
      <c r="B364" s="21" t="str">
        <f t="shared" si="35"/>
        <v>Wednesday</v>
      </c>
      <c r="C364" s="9">
        <f t="shared" si="36"/>
        <v>43873</v>
      </c>
      <c r="D364">
        <v>75.723999000000006</v>
      </c>
      <c r="E364">
        <v>76.034751999999997</v>
      </c>
      <c r="F364">
        <v>75.405501999999998</v>
      </c>
      <c r="G364">
        <v>75.913498000000004</v>
      </c>
      <c r="H364">
        <v>23352000</v>
      </c>
      <c r="I364">
        <f t="shared" si="37"/>
        <v>0</v>
      </c>
      <c r="J364">
        <f t="shared" si="38"/>
        <v>0.47</v>
      </c>
      <c r="K364" t="str">
        <f t="shared" si="39"/>
        <v>Positive</v>
      </c>
      <c r="L364" s="10">
        <f t="shared" si="40"/>
        <v>6.2439356963896759E-3</v>
      </c>
      <c r="M364" t="str">
        <f t="shared" si="41"/>
        <v/>
      </c>
    </row>
    <row r="365" spans="1:13" x14ac:dyDescent="0.2">
      <c r="A365" s="21" t="s">
        <v>391</v>
      </c>
      <c r="B365" s="21" t="str">
        <f t="shared" si="35"/>
        <v>Thursday</v>
      </c>
      <c r="C365" s="9">
        <f t="shared" si="36"/>
        <v>43874</v>
      </c>
      <c r="D365">
        <v>75.634499000000005</v>
      </c>
      <c r="E365">
        <v>76.359001000000006</v>
      </c>
      <c r="F365">
        <v>75.230002999999996</v>
      </c>
      <c r="G365">
        <v>75.733001999999999</v>
      </c>
      <c r="H365">
        <v>18590000</v>
      </c>
      <c r="I365">
        <f t="shared" si="37"/>
        <v>0</v>
      </c>
      <c r="J365">
        <f t="shared" si="38"/>
        <v>-0.18</v>
      </c>
      <c r="K365" t="str">
        <f t="shared" si="39"/>
        <v>Negative</v>
      </c>
      <c r="L365" s="10">
        <f t="shared" si="40"/>
        <v>-2.3833202861812488E-3</v>
      </c>
      <c r="M365" t="str">
        <f t="shared" si="41"/>
        <v/>
      </c>
    </row>
    <row r="366" spans="1:13" x14ac:dyDescent="0.2">
      <c r="A366" s="21" t="s">
        <v>392</v>
      </c>
      <c r="B366" s="21" t="str">
        <f t="shared" si="35"/>
        <v>Friday</v>
      </c>
      <c r="C366" s="9">
        <f t="shared" si="36"/>
        <v>43875</v>
      </c>
      <c r="D366">
        <v>75.779999000000004</v>
      </c>
      <c r="E366">
        <v>76.037002999999999</v>
      </c>
      <c r="F366">
        <v>75.366996999999998</v>
      </c>
      <c r="G366">
        <v>76.037002999999999</v>
      </c>
      <c r="H366">
        <v>23956000</v>
      </c>
      <c r="I366">
        <f t="shared" si="37"/>
        <v>0</v>
      </c>
      <c r="J366">
        <f t="shared" si="38"/>
        <v>0.3</v>
      </c>
      <c r="K366" t="str">
        <f t="shared" si="39"/>
        <v>Positive</v>
      </c>
      <c r="L366" s="10">
        <f t="shared" si="40"/>
        <v>3.9980665729289662E-3</v>
      </c>
      <c r="M366" t="str">
        <f t="shared" si="41"/>
        <v/>
      </c>
    </row>
    <row r="367" spans="1:13" x14ac:dyDescent="0.2">
      <c r="A367" s="21" t="s">
        <v>393</v>
      </c>
      <c r="B367" s="21" t="str">
        <f t="shared" si="35"/>
        <v>Tuesday</v>
      </c>
      <c r="C367" s="9">
        <f t="shared" si="36"/>
        <v>43879</v>
      </c>
      <c r="D367">
        <v>75.75</v>
      </c>
      <c r="E367">
        <v>76.581496999999999</v>
      </c>
      <c r="F367">
        <v>75.629501000000005</v>
      </c>
      <c r="G367">
        <v>75.983497999999997</v>
      </c>
      <c r="H367">
        <v>22414000</v>
      </c>
      <c r="I367">
        <f t="shared" si="37"/>
        <v>0</v>
      </c>
      <c r="J367">
        <f t="shared" si="38"/>
        <v>-0.05</v>
      </c>
      <c r="K367" t="str">
        <f t="shared" si="39"/>
        <v>Negative</v>
      </c>
      <c r="L367" s="10">
        <f t="shared" si="40"/>
        <v>-7.0416605458202585E-4</v>
      </c>
      <c r="M367" t="str">
        <f t="shared" si="41"/>
        <v/>
      </c>
    </row>
    <row r="368" spans="1:13" x14ac:dyDescent="0.2">
      <c r="A368" s="21" t="s">
        <v>394</v>
      </c>
      <c r="B368" s="21" t="str">
        <f t="shared" si="35"/>
        <v>Wednesday</v>
      </c>
      <c r="C368" s="9">
        <f t="shared" si="36"/>
        <v>43880</v>
      </c>
      <c r="D368">
        <v>76.253501999999997</v>
      </c>
      <c r="E368">
        <v>76.605300999999997</v>
      </c>
      <c r="F368">
        <v>76.069999999999993</v>
      </c>
      <c r="G368">
        <v>76.334502999999998</v>
      </c>
      <c r="H368">
        <v>18986000</v>
      </c>
      <c r="I368">
        <f t="shared" si="37"/>
        <v>0</v>
      </c>
      <c r="J368">
        <f t="shared" si="38"/>
        <v>0.35</v>
      </c>
      <c r="K368" t="str">
        <f t="shared" si="39"/>
        <v>Positive</v>
      </c>
      <c r="L368" s="10">
        <f t="shared" si="40"/>
        <v>4.5982483176709842E-3</v>
      </c>
      <c r="M368" t="str">
        <f t="shared" si="41"/>
        <v/>
      </c>
    </row>
    <row r="369" spans="1:13" x14ac:dyDescent="0.2">
      <c r="A369" s="21" t="s">
        <v>395</v>
      </c>
      <c r="B369" s="21" t="str">
        <f t="shared" si="35"/>
        <v>Thursday</v>
      </c>
      <c r="C369" s="9">
        <f t="shared" si="36"/>
        <v>43881</v>
      </c>
      <c r="D369">
        <v>76.099997999999999</v>
      </c>
      <c r="E369">
        <v>76.482001999999994</v>
      </c>
      <c r="F369">
        <v>75.341003000000001</v>
      </c>
      <c r="G369">
        <v>75.907500999999996</v>
      </c>
      <c r="H369">
        <v>21932000</v>
      </c>
      <c r="I369">
        <f t="shared" si="37"/>
        <v>0</v>
      </c>
      <c r="J369">
        <f t="shared" si="38"/>
        <v>-0.43</v>
      </c>
      <c r="K369" t="str">
        <f t="shared" si="39"/>
        <v>Negative</v>
      </c>
      <c r="L369" s="10">
        <f t="shared" si="40"/>
        <v>-5.6252938691790377E-3</v>
      </c>
      <c r="M369" t="str">
        <f t="shared" si="41"/>
        <v/>
      </c>
    </row>
    <row r="370" spans="1:13" x14ac:dyDescent="0.2">
      <c r="A370" s="21" t="s">
        <v>396</v>
      </c>
      <c r="B370" s="21" t="str">
        <f t="shared" si="35"/>
        <v>Friday</v>
      </c>
      <c r="C370" s="9">
        <f t="shared" si="36"/>
        <v>43882</v>
      </c>
      <c r="D370">
        <v>75.401497000000006</v>
      </c>
      <c r="E370">
        <v>75.610748000000001</v>
      </c>
      <c r="F370">
        <v>74.022002999999998</v>
      </c>
      <c r="G370">
        <v>74.255500999999995</v>
      </c>
      <c r="H370">
        <v>34634000</v>
      </c>
      <c r="I370">
        <f t="shared" si="37"/>
        <v>0</v>
      </c>
      <c r="J370">
        <f t="shared" si="38"/>
        <v>-1.65</v>
      </c>
      <c r="K370" t="str">
        <f t="shared" si="39"/>
        <v>Negative</v>
      </c>
      <c r="L370" s="10">
        <f t="shared" si="40"/>
        <v>-2.2247509985825847E-2</v>
      </c>
      <c r="M370" t="str">
        <f t="shared" si="41"/>
        <v/>
      </c>
    </row>
    <row r="371" spans="1:13" x14ac:dyDescent="0.2">
      <c r="A371" s="21" t="s">
        <v>397</v>
      </c>
      <c r="B371" s="21" t="str">
        <f t="shared" si="35"/>
        <v>Monday</v>
      </c>
      <c r="C371" s="9">
        <f t="shared" si="36"/>
        <v>43885</v>
      </c>
      <c r="D371">
        <v>71.305496000000005</v>
      </c>
      <c r="E371">
        <v>71.848502999999994</v>
      </c>
      <c r="F371">
        <v>70.569503999999995</v>
      </c>
      <c r="G371">
        <v>71.079498000000001</v>
      </c>
      <c r="H371">
        <v>57342000</v>
      </c>
      <c r="I371">
        <f t="shared" si="37"/>
        <v>0</v>
      </c>
      <c r="J371">
        <f t="shared" si="38"/>
        <v>-3.18</v>
      </c>
      <c r="K371" t="str">
        <f t="shared" si="39"/>
        <v>Negative</v>
      </c>
      <c r="L371" s="10">
        <f t="shared" si="40"/>
        <v>-4.4682406170060376E-2</v>
      </c>
      <c r="M371" t="str">
        <f t="shared" si="41"/>
        <v/>
      </c>
    </row>
    <row r="372" spans="1:13" x14ac:dyDescent="0.2">
      <c r="A372" s="21" t="s">
        <v>398</v>
      </c>
      <c r="B372" s="21" t="str">
        <f t="shared" si="35"/>
        <v>Tuesday</v>
      </c>
      <c r="C372" s="9">
        <f t="shared" si="36"/>
        <v>43886</v>
      </c>
      <c r="D372">
        <v>71.650002000000001</v>
      </c>
      <c r="E372">
        <v>71.906998000000002</v>
      </c>
      <c r="F372">
        <v>69.120002999999997</v>
      </c>
      <c r="G372">
        <v>69.422500999999997</v>
      </c>
      <c r="H372">
        <v>49566000</v>
      </c>
      <c r="I372">
        <f t="shared" si="37"/>
        <v>0</v>
      </c>
      <c r="J372">
        <f t="shared" si="38"/>
        <v>-1.66</v>
      </c>
      <c r="K372" t="str">
        <f t="shared" si="39"/>
        <v>Negative</v>
      </c>
      <c r="L372" s="10">
        <f t="shared" si="40"/>
        <v>-2.3868298838729596E-2</v>
      </c>
      <c r="M372" t="str">
        <f t="shared" si="41"/>
        <v/>
      </c>
    </row>
    <row r="373" spans="1:13" x14ac:dyDescent="0.2">
      <c r="A373" s="21" t="s">
        <v>399</v>
      </c>
      <c r="B373" s="21" t="str">
        <f t="shared" si="35"/>
        <v>Wednesday</v>
      </c>
      <c r="C373" s="9">
        <f t="shared" si="36"/>
        <v>43887</v>
      </c>
      <c r="D373">
        <v>69.806999000000005</v>
      </c>
      <c r="E373">
        <v>70.785004000000001</v>
      </c>
      <c r="F373">
        <v>68.949996999999996</v>
      </c>
      <c r="G373">
        <v>69.658996999999999</v>
      </c>
      <c r="H373">
        <v>44048000</v>
      </c>
      <c r="I373">
        <f t="shared" si="37"/>
        <v>0</v>
      </c>
      <c r="J373">
        <f t="shared" si="38"/>
        <v>0.24</v>
      </c>
      <c r="K373" t="str">
        <f t="shared" si="39"/>
        <v>Positive</v>
      </c>
      <c r="L373" s="10">
        <f t="shared" si="40"/>
        <v>3.3950531903294916E-3</v>
      </c>
      <c r="M373" t="str">
        <f t="shared" si="41"/>
        <v/>
      </c>
    </row>
    <row r="374" spans="1:13" x14ac:dyDescent="0.2">
      <c r="A374" s="21" t="s">
        <v>400</v>
      </c>
      <c r="B374" s="21" t="str">
        <f t="shared" si="35"/>
        <v>Thursday</v>
      </c>
      <c r="C374" s="9">
        <f t="shared" si="36"/>
        <v>43888</v>
      </c>
      <c r="D374">
        <v>68.102997000000002</v>
      </c>
      <c r="E374">
        <v>68.585196999999994</v>
      </c>
      <c r="F374">
        <v>65.858497999999997</v>
      </c>
      <c r="G374">
        <v>65.904503000000005</v>
      </c>
      <c r="H374">
        <v>59566000</v>
      </c>
      <c r="I374">
        <f t="shared" si="37"/>
        <v>0</v>
      </c>
      <c r="J374">
        <f t="shared" si="38"/>
        <v>-3.75</v>
      </c>
      <c r="K374" t="str">
        <f t="shared" si="39"/>
        <v>Negative</v>
      </c>
      <c r="L374" s="10">
        <f t="shared" si="40"/>
        <v>-5.6968702123434474E-2</v>
      </c>
      <c r="M374" t="str">
        <f t="shared" si="41"/>
        <v/>
      </c>
    </row>
    <row r="375" spans="1:13" x14ac:dyDescent="0.2">
      <c r="A375" s="21" t="s">
        <v>401</v>
      </c>
      <c r="B375" s="21" t="str">
        <f t="shared" si="35"/>
        <v>Friday</v>
      </c>
      <c r="C375" s="9">
        <f t="shared" si="36"/>
        <v>43889</v>
      </c>
      <c r="D375">
        <v>63.875</v>
      </c>
      <c r="E375">
        <v>67.056999000000005</v>
      </c>
      <c r="F375">
        <v>63.549999</v>
      </c>
      <c r="G375">
        <v>66.966498999999999</v>
      </c>
      <c r="H375">
        <v>75782000</v>
      </c>
      <c r="I375">
        <f t="shared" si="37"/>
        <v>0</v>
      </c>
      <c r="J375">
        <f t="shared" si="38"/>
        <v>1.06</v>
      </c>
      <c r="K375" t="str">
        <f t="shared" si="39"/>
        <v>Positive</v>
      </c>
      <c r="L375" s="10">
        <f t="shared" si="40"/>
        <v>1.5858616111915802E-2</v>
      </c>
      <c r="M375" t="str">
        <f t="shared" si="41"/>
        <v/>
      </c>
    </row>
    <row r="376" spans="1:13" x14ac:dyDescent="0.2">
      <c r="A376" s="21" t="s">
        <v>402</v>
      </c>
      <c r="B376" s="21" t="str">
        <f t="shared" si="35"/>
        <v>Monday</v>
      </c>
      <c r="C376" s="9">
        <f t="shared" si="36"/>
        <v>43892</v>
      </c>
      <c r="D376">
        <v>67.580498000000006</v>
      </c>
      <c r="E376">
        <v>69.543503000000001</v>
      </c>
      <c r="F376">
        <v>66.340751999999995</v>
      </c>
      <c r="G376">
        <v>69.455498000000006</v>
      </c>
      <c r="H376">
        <v>48630000</v>
      </c>
      <c r="I376">
        <f t="shared" si="37"/>
        <v>0</v>
      </c>
      <c r="J376">
        <f t="shared" si="38"/>
        <v>2.4900000000000002</v>
      </c>
      <c r="K376" t="str">
        <f t="shared" si="39"/>
        <v>Positive</v>
      </c>
      <c r="L376" s="10">
        <f t="shared" si="40"/>
        <v>3.5835881559729173E-2</v>
      </c>
      <c r="M376" t="str">
        <f t="shared" si="41"/>
        <v/>
      </c>
    </row>
    <row r="377" spans="1:13" x14ac:dyDescent="0.2">
      <c r="A377" s="21" t="s">
        <v>403</v>
      </c>
      <c r="B377" s="21" t="str">
        <f t="shared" si="35"/>
        <v>Tuesday</v>
      </c>
      <c r="C377" s="9">
        <f t="shared" si="36"/>
        <v>43893</v>
      </c>
      <c r="D377">
        <v>69.971001000000001</v>
      </c>
      <c r="E377">
        <v>70.507499999999993</v>
      </c>
      <c r="F377">
        <v>66.599997999999999</v>
      </c>
      <c r="G377">
        <v>67.069503999999995</v>
      </c>
      <c r="H377">
        <v>48046000</v>
      </c>
      <c r="I377">
        <f t="shared" si="37"/>
        <v>0</v>
      </c>
      <c r="J377">
        <f t="shared" si="38"/>
        <v>-2.39</v>
      </c>
      <c r="K377" t="str">
        <f t="shared" si="39"/>
        <v>Negative</v>
      </c>
      <c r="L377" s="10">
        <f t="shared" si="40"/>
        <v>-3.5574946252771023E-2</v>
      </c>
      <c r="M377" t="str">
        <f t="shared" si="41"/>
        <v/>
      </c>
    </row>
    <row r="378" spans="1:13" x14ac:dyDescent="0.2">
      <c r="A378" s="21" t="s">
        <v>404</v>
      </c>
      <c r="B378" s="21" t="str">
        <f t="shared" si="35"/>
        <v>Wednesday</v>
      </c>
      <c r="C378" s="9">
        <f t="shared" si="36"/>
        <v>43894</v>
      </c>
      <c r="D378">
        <v>67.961501999999996</v>
      </c>
      <c r="E378">
        <v>69.404503000000005</v>
      </c>
      <c r="F378">
        <v>67.155501999999998</v>
      </c>
      <c r="G378">
        <v>69.325996000000004</v>
      </c>
      <c r="H378">
        <v>38266000</v>
      </c>
      <c r="I378">
        <f t="shared" si="37"/>
        <v>0</v>
      </c>
      <c r="J378">
        <f t="shared" si="38"/>
        <v>2.2599999999999998</v>
      </c>
      <c r="K378" t="str">
        <f t="shared" si="39"/>
        <v>Positive</v>
      </c>
      <c r="L378" s="10">
        <f t="shared" si="40"/>
        <v>3.2549002253065479E-2</v>
      </c>
      <c r="M378" t="str">
        <f t="shared" si="41"/>
        <v/>
      </c>
    </row>
    <row r="379" spans="1:13" x14ac:dyDescent="0.2">
      <c r="A379" s="21" t="s">
        <v>405</v>
      </c>
      <c r="B379" s="21" t="str">
        <f t="shared" si="35"/>
        <v>Thursday</v>
      </c>
      <c r="C379" s="9">
        <f t="shared" si="36"/>
        <v>43895</v>
      </c>
      <c r="D379">
        <v>67.510002</v>
      </c>
      <c r="E379">
        <v>67.945503000000002</v>
      </c>
      <c r="F379">
        <v>65.254997000000003</v>
      </c>
      <c r="G379">
        <v>65.952003000000005</v>
      </c>
      <c r="H379">
        <v>51226000</v>
      </c>
      <c r="I379">
        <f t="shared" si="37"/>
        <v>0</v>
      </c>
      <c r="J379">
        <f t="shared" si="38"/>
        <v>-3.37</v>
      </c>
      <c r="K379" t="str">
        <f t="shared" si="39"/>
        <v>Negative</v>
      </c>
      <c r="L379" s="10">
        <f t="shared" si="40"/>
        <v>-5.1158309778703739E-2</v>
      </c>
      <c r="M379" t="str">
        <f t="shared" si="41"/>
        <v/>
      </c>
    </row>
    <row r="380" spans="1:13" x14ac:dyDescent="0.2">
      <c r="A380" s="21" t="s">
        <v>406</v>
      </c>
      <c r="B380" s="21" t="str">
        <f t="shared" si="35"/>
        <v>Friday</v>
      </c>
      <c r="C380" s="9">
        <f t="shared" si="36"/>
        <v>43896</v>
      </c>
      <c r="D380">
        <v>63.853000999999999</v>
      </c>
      <c r="E380">
        <v>65.310997</v>
      </c>
      <c r="F380">
        <v>63.052501999999997</v>
      </c>
      <c r="G380">
        <v>64.920501999999999</v>
      </c>
      <c r="H380">
        <v>53212000</v>
      </c>
      <c r="I380">
        <f t="shared" si="37"/>
        <v>0</v>
      </c>
      <c r="J380">
        <f t="shared" si="38"/>
        <v>-1.03</v>
      </c>
      <c r="K380" t="str">
        <f t="shared" si="39"/>
        <v>Negative</v>
      </c>
      <c r="L380" s="10">
        <f t="shared" si="40"/>
        <v>-1.5888678741270451E-2</v>
      </c>
      <c r="M380" t="str">
        <f t="shared" si="41"/>
        <v/>
      </c>
    </row>
    <row r="381" spans="1:13" x14ac:dyDescent="0.2">
      <c r="A381" s="21" t="s">
        <v>407</v>
      </c>
      <c r="B381" s="21" t="str">
        <f t="shared" si="35"/>
        <v>Monday</v>
      </c>
      <c r="C381" s="9">
        <f t="shared" si="36"/>
        <v>43899</v>
      </c>
      <c r="D381">
        <v>60.264999000000003</v>
      </c>
      <c r="E381">
        <v>62.737999000000002</v>
      </c>
      <c r="F381">
        <v>60</v>
      </c>
      <c r="G381">
        <v>60.777999999999999</v>
      </c>
      <c r="H381">
        <v>67308000</v>
      </c>
      <c r="I381">
        <f t="shared" si="37"/>
        <v>0</v>
      </c>
      <c r="J381">
        <f t="shared" si="38"/>
        <v>-4.1399999999999997</v>
      </c>
      <c r="K381" t="str">
        <f t="shared" si="39"/>
        <v>Negative</v>
      </c>
      <c r="L381" s="10">
        <f t="shared" si="40"/>
        <v>-6.8157918983842838E-2</v>
      </c>
      <c r="M381" t="str">
        <f t="shared" si="41"/>
        <v/>
      </c>
    </row>
    <row r="382" spans="1:13" x14ac:dyDescent="0.2">
      <c r="A382" s="21" t="s">
        <v>408</v>
      </c>
      <c r="B382" s="21" t="str">
        <f t="shared" si="35"/>
        <v>Tuesday</v>
      </c>
      <c r="C382" s="9">
        <f t="shared" si="36"/>
        <v>43900</v>
      </c>
      <c r="D382">
        <v>63</v>
      </c>
      <c r="E382">
        <v>64.057502999999997</v>
      </c>
      <c r="F382">
        <v>60.938499</v>
      </c>
      <c r="G382">
        <v>64.019501000000005</v>
      </c>
      <c r="H382">
        <v>52228000</v>
      </c>
      <c r="I382">
        <f t="shared" si="37"/>
        <v>0</v>
      </c>
      <c r="J382">
        <f t="shared" si="38"/>
        <v>3.24</v>
      </c>
      <c r="K382" t="str">
        <f t="shared" si="39"/>
        <v>Positive</v>
      </c>
      <c r="L382" s="10">
        <f t="shared" si="40"/>
        <v>5.0633025084028789E-2</v>
      </c>
      <c r="M382">
        <f t="shared" si="41"/>
        <v>5.0633025084028789E-2</v>
      </c>
    </row>
    <row r="383" spans="1:13" x14ac:dyDescent="0.2">
      <c r="A383" s="21" t="s">
        <v>409</v>
      </c>
      <c r="B383" s="21" t="str">
        <f t="shared" si="35"/>
        <v>Wednesday</v>
      </c>
      <c r="C383" s="9">
        <f t="shared" si="36"/>
        <v>43901</v>
      </c>
      <c r="D383">
        <v>62.485000999999997</v>
      </c>
      <c r="E383">
        <v>63.048000000000002</v>
      </c>
      <c r="F383">
        <v>59.803500999999997</v>
      </c>
      <c r="G383">
        <v>60.770499999999998</v>
      </c>
      <c r="H383">
        <v>52170000</v>
      </c>
      <c r="I383">
        <f t="shared" si="37"/>
        <v>0</v>
      </c>
      <c r="J383">
        <f t="shared" si="38"/>
        <v>-3.25</v>
      </c>
      <c r="K383" t="str">
        <f t="shared" si="39"/>
        <v>Negative</v>
      </c>
      <c r="L383" s="10">
        <f t="shared" si="40"/>
        <v>-5.3463456775902897E-2</v>
      </c>
      <c r="M383" t="str">
        <f t="shared" si="41"/>
        <v/>
      </c>
    </row>
    <row r="384" spans="1:13" x14ac:dyDescent="0.2">
      <c r="A384" s="21" t="s">
        <v>410</v>
      </c>
      <c r="B384" s="21" t="str">
        <f t="shared" si="35"/>
        <v>Thursday</v>
      </c>
      <c r="C384" s="9">
        <f t="shared" si="36"/>
        <v>43902</v>
      </c>
      <c r="D384">
        <v>56.299999</v>
      </c>
      <c r="E384">
        <v>59.693500999999998</v>
      </c>
      <c r="F384">
        <v>55.665000999999997</v>
      </c>
      <c r="G384">
        <v>55.745499000000002</v>
      </c>
      <c r="H384">
        <v>84534000</v>
      </c>
      <c r="I384">
        <f t="shared" si="37"/>
        <v>0</v>
      </c>
      <c r="J384">
        <f t="shared" si="38"/>
        <v>-5.03</v>
      </c>
      <c r="K384" t="str">
        <f t="shared" si="39"/>
        <v>Negative</v>
      </c>
      <c r="L384" s="10">
        <f t="shared" si="40"/>
        <v>-9.0141824723822025E-2</v>
      </c>
      <c r="M384" t="str">
        <f t="shared" si="41"/>
        <v/>
      </c>
    </row>
    <row r="385" spans="1:13" x14ac:dyDescent="0.2">
      <c r="A385" s="21" t="s">
        <v>411</v>
      </c>
      <c r="B385" s="21" t="str">
        <f t="shared" si="35"/>
        <v>Friday</v>
      </c>
      <c r="C385" s="9">
        <f t="shared" si="36"/>
        <v>43903</v>
      </c>
      <c r="D385">
        <v>58.950001</v>
      </c>
      <c r="E385">
        <v>60.987999000000002</v>
      </c>
      <c r="F385">
        <v>55.857151000000002</v>
      </c>
      <c r="G385">
        <v>60.986499999999999</v>
      </c>
      <c r="H385">
        <v>74002000</v>
      </c>
      <c r="I385">
        <f t="shared" si="37"/>
        <v>0</v>
      </c>
      <c r="J385">
        <f t="shared" si="38"/>
        <v>5.24</v>
      </c>
      <c r="K385" t="str">
        <f t="shared" si="39"/>
        <v>Positive</v>
      </c>
      <c r="L385" s="10">
        <f t="shared" si="40"/>
        <v>8.5937068039648068E-2</v>
      </c>
      <c r="M385">
        <f t="shared" si="41"/>
        <v>8.5937068039648068E-2</v>
      </c>
    </row>
    <row r="386" spans="1:13" x14ac:dyDescent="0.2">
      <c r="A386" s="21" t="s">
        <v>412</v>
      </c>
      <c r="B386" s="21" t="str">
        <f t="shared" si="35"/>
        <v>Monday</v>
      </c>
      <c r="C386" s="9">
        <f t="shared" si="36"/>
        <v>43906</v>
      </c>
      <c r="D386">
        <v>54.799999</v>
      </c>
      <c r="E386">
        <v>57.613349999999997</v>
      </c>
      <c r="F386">
        <v>53.722000000000001</v>
      </c>
      <c r="G386">
        <v>54.216498999999999</v>
      </c>
      <c r="H386">
        <v>85048000</v>
      </c>
      <c r="I386">
        <f t="shared" si="37"/>
        <v>0</v>
      </c>
      <c r="J386">
        <f t="shared" si="38"/>
        <v>-6.77</v>
      </c>
      <c r="K386" t="str">
        <f t="shared" si="39"/>
        <v>Negative</v>
      </c>
      <c r="L386" s="10">
        <f t="shared" si="40"/>
        <v>-0.1248697559759438</v>
      </c>
      <c r="M386" t="str">
        <f t="shared" si="41"/>
        <v/>
      </c>
    </row>
    <row r="387" spans="1:13" x14ac:dyDescent="0.2">
      <c r="A387" s="21" t="s">
        <v>413</v>
      </c>
      <c r="B387" s="21" t="str">
        <f t="shared" ref="B387:B450" si="42">LEFT(A387,SEARCH(",",A387)-1)</f>
        <v>Tuesday</v>
      </c>
      <c r="C387" s="9">
        <f t="shared" ref="C387:C450" si="43">DATEVALUE(RIGHT(A387,LEN(A387) - SEARCH(",",A387)))</f>
        <v>43907</v>
      </c>
      <c r="D387">
        <v>54.655498999999999</v>
      </c>
      <c r="E387">
        <v>56.542999000000002</v>
      </c>
      <c r="F387">
        <v>52.800499000000002</v>
      </c>
      <c r="G387">
        <v>55.990001999999997</v>
      </c>
      <c r="H387">
        <v>77230000</v>
      </c>
      <c r="I387">
        <f t="shared" ref="I387:I450" si="44">COUNTBLANK(A387:H387)</f>
        <v>0</v>
      </c>
      <c r="J387">
        <f t="shared" ref="J387:J450" si="45">ROUND(IF(ISNUMBER(G386),G387-G386,0),2)</f>
        <v>1.77</v>
      </c>
      <c r="K387" t="str">
        <f t="shared" ref="K387:K450" si="46">IF(J387=0,"Neutral",IF(J387&gt;0,"Positive","Negative"))</f>
        <v>Positive</v>
      </c>
      <c r="L387" s="10">
        <f t="shared" ref="L387:L450" si="47">IF(ISNUMBER(G386),((G387-G386)/G387),0)</f>
        <v>3.1675351610096353E-2</v>
      </c>
      <c r="M387" t="str">
        <f t="shared" ref="M387:M450" si="48">IF(L387&gt;0.05,L387,"")</f>
        <v/>
      </c>
    </row>
    <row r="388" spans="1:13" x14ac:dyDescent="0.2">
      <c r="A388" s="21" t="s">
        <v>414</v>
      </c>
      <c r="B388" s="21" t="str">
        <f t="shared" si="42"/>
        <v>Wednesday</v>
      </c>
      <c r="C388" s="9">
        <f t="shared" si="43"/>
        <v>43908</v>
      </c>
      <c r="D388">
        <v>52.825499999999998</v>
      </c>
      <c r="E388">
        <v>55.325001</v>
      </c>
      <c r="F388">
        <v>51.863998000000002</v>
      </c>
      <c r="G388">
        <v>54.84</v>
      </c>
      <c r="H388">
        <v>84668000</v>
      </c>
      <c r="I388">
        <f t="shared" si="44"/>
        <v>0</v>
      </c>
      <c r="J388">
        <f t="shared" si="45"/>
        <v>-1.1499999999999999</v>
      </c>
      <c r="K388" t="str">
        <f t="shared" si="46"/>
        <v>Negative</v>
      </c>
      <c r="L388" s="10">
        <f t="shared" si="47"/>
        <v>-2.0970131291028326E-2</v>
      </c>
      <c r="M388" t="str">
        <f t="shared" si="48"/>
        <v/>
      </c>
    </row>
    <row r="389" spans="1:13" x14ac:dyDescent="0.2">
      <c r="A389" s="21" t="s">
        <v>415</v>
      </c>
      <c r="B389" s="21" t="str">
        <f t="shared" si="42"/>
        <v>Thursday</v>
      </c>
      <c r="C389" s="9">
        <f t="shared" si="43"/>
        <v>43909</v>
      </c>
      <c r="D389">
        <v>54.652500000000003</v>
      </c>
      <c r="E389">
        <v>57.898499000000001</v>
      </c>
      <c r="F389">
        <v>53.005401999999997</v>
      </c>
      <c r="G389">
        <v>55.764499999999998</v>
      </c>
      <c r="H389">
        <v>73022000</v>
      </c>
      <c r="I389">
        <f t="shared" si="44"/>
        <v>0</v>
      </c>
      <c r="J389">
        <f t="shared" si="45"/>
        <v>0.92</v>
      </c>
      <c r="K389" t="str">
        <f t="shared" si="46"/>
        <v>Positive</v>
      </c>
      <c r="L389" s="10">
        <f t="shared" si="47"/>
        <v>1.6578647705977723E-2</v>
      </c>
      <c r="M389" t="str">
        <f t="shared" si="48"/>
        <v/>
      </c>
    </row>
    <row r="390" spans="1:13" x14ac:dyDescent="0.2">
      <c r="A390" s="21" t="s">
        <v>416</v>
      </c>
      <c r="B390" s="21" t="str">
        <f t="shared" si="42"/>
        <v>Friday</v>
      </c>
      <c r="C390" s="9">
        <f t="shared" si="43"/>
        <v>43910</v>
      </c>
      <c r="D390">
        <v>56.785998999999997</v>
      </c>
      <c r="E390">
        <v>57.199500999999998</v>
      </c>
      <c r="F390">
        <v>53.274501999999998</v>
      </c>
      <c r="G390">
        <v>53.616000999999997</v>
      </c>
      <c r="H390">
        <v>72036000</v>
      </c>
      <c r="I390">
        <f t="shared" si="44"/>
        <v>0</v>
      </c>
      <c r="J390">
        <f t="shared" si="45"/>
        <v>-2.15</v>
      </c>
      <c r="K390" t="str">
        <f t="shared" si="46"/>
        <v>Negative</v>
      </c>
      <c r="L390" s="10">
        <f t="shared" si="47"/>
        <v>-4.007197403625834E-2</v>
      </c>
      <c r="M390" t="str">
        <f t="shared" si="48"/>
        <v/>
      </c>
    </row>
    <row r="391" spans="1:13" x14ac:dyDescent="0.2">
      <c r="A391" s="21" t="s">
        <v>417</v>
      </c>
      <c r="B391" s="21" t="str">
        <f t="shared" si="42"/>
        <v>Monday</v>
      </c>
      <c r="C391" s="9">
        <f t="shared" si="43"/>
        <v>43913</v>
      </c>
      <c r="D391">
        <v>53.066001999999997</v>
      </c>
      <c r="E391">
        <v>53.566001999999997</v>
      </c>
      <c r="F391">
        <v>50.6768</v>
      </c>
      <c r="G391">
        <v>52.831001000000001</v>
      </c>
      <c r="H391">
        <v>80882000</v>
      </c>
      <c r="I391">
        <f t="shared" si="44"/>
        <v>0</v>
      </c>
      <c r="J391">
        <f t="shared" si="45"/>
        <v>-0.78</v>
      </c>
      <c r="K391" t="str">
        <f t="shared" si="46"/>
        <v>Negative</v>
      </c>
      <c r="L391" s="10">
        <f t="shared" si="47"/>
        <v>-1.4858700102994388E-2</v>
      </c>
      <c r="M391" t="str">
        <f t="shared" si="48"/>
        <v/>
      </c>
    </row>
    <row r="392" spans="1:13" x14ac:dyDescent="0.2">
      <c r="A392" s="21" t="s">
        <v>418</v>
      </c>
      <c r="B392" s="21" t="str">
        <f t="shared" si="42"/>
        <v>Tuesday</v>
      </c>
      <c r="C392" s="9">
        <f t="shared" si="43"/>
        <v>43914</v>
      </c>
      <c r="D392">
        <v>55.188499</v>
      </c>
      <c r="E392">
        <v>56.75</v>
      </c>
      <c r="F392">
        <v>54.530997999999997</v>
      </c>
      <c r="G392">
        <v>56.722999999999999</v>
      </c>
      <c r="H392">
        <v>66890000</v>
      </c>
      <c r="I392">
        <f t="shared" si="44"/>
        <v>0</v>
      </c>
      <c r="J392">
        <f t="shared" si="45"/>
        <v>3.89</v>
      </c>
      <c r="K392" t="str">
        <f t="shared" si="46"/>
        <v>Positive</v>
      </c>
      <c r="L392" s="10">
        <f t="shared" si="47"/>
        <v>6.8614124781834498E-2</v>
      </c>
      <c r="M392">
        <f t="shared" si="48"/>
        <v>6.8614124781834498E-2</v>
      </c>
    </row>
    <row r="393" spans="1:13" x14ac:dyDescent="0.2">
      <c r="A393" s="21" t="s">
        <v>419</v>
      </c>
      <c r="B393" s="21" t="str">
        <f t="shared" si="42"/>
        <v>Wednesday</v>
      </c>
      <c r="C393" s="9">
        <f t="shared" si="43"/>
        <v>43915</v>
      </c>
      <c r="D393">
        <v>56.323501999999998</v>
      </c>
      <c r="E393">
        <v>57.445</v>
      </c>
      <c r="F393">
        <v>54.300499000000002</v>
      </c>
      <c r="G393">
        <v>55.124499999999998</v>
      </c>
      <c r="H393">
        <v>81630000</v>
      </c>
      <c r="I393">
        <f t="shared" si="44"/>
        <v>0</v>
      </c>
      <c r="J393">
        <f t="shared" si="45"/>
        <v>-1.6</v>
      </c>
      <c r="K393" t="str">
        <f t="shared" si="46"/>
        <v>Negative</v>
      </c>
      <c r="L393" s="10">
        <f t="shared" si="47"/>
        <v>-2.8997995446670744E-2</v>
      </c>
      <c r="M393" t="str">
        <f t="shared" si="48"/>
        <v/>
      </c>
    </row>
    <row r="394" spans="1:13" x14ac:dyDescent="0.2">
      <c r="A394" s="21" t="s">
        <v>420</v>
      </c>
      <c r="B394" s="21" t="str">
        <f t="shared" si="42"/>
        <v>Thursday</v>
      </c>
      <c r="C394" s="9">
        <f t="shared" si="43"/>
        <v>43916</v>
      </c>
      <c r="D394">
        <v>55.59</v>
      </c>
      <c r="E394">
        <v>58.498500999999997</v>
      </c>
      <c r="F394">
        <v>54.676498000000002</v>
      </c>
      <c r="G394">
        <v>58.087502000000001</v>
      </c>
      <c r="H394">
        <v>71434000</v>
      </c>
      <c r="I394">
        <f t="shared" si="44"/>
        <v>0</v>
      </c>
      <c r="J394">
        <f t="shared" si="45"/>
        <v>2.96</v>
      </c>
      <c r="K394" t="str">
        <f t="shared" si="46"/>
        <v>Positive</v>
      </c>
      <c r="L394" s="10">
        <f t="shared" si="47"/>
        <v>5.1009285956211424E-2</v>
      </c>
      <c r="M394">
        <f t="shared" si="48"/>
        <v>5.1009285956211424E-2</v>
      </c>
    </row>
    <row r="395" spans="1:13" x14ac:dyDescent="0.2">
      <c r="A395" s="21" t="s">
        <v>421</v>
      </c>
      <c r="B395" s="21" t="str">
        <f t="shared" si="42"/>
        <v>Friday</v>
      </c>
      <c r="C395" s="9">
        <f t="shared" si="43"/>
        <v>43917</v>
      </c>
      <c r="D395">
        <v>56.283501000000001</v>
      </c>
      <c r="E395">
        <v>57.533501000000001</v>
      </c>
      <c r="F395">
        <v>55.295501999999999</v>
      </c>
      <c r="G395">
        <v>55.535499999999999</v>
      </c>
      <c r="H395">
        <v>64170000</v>
      </c>
      <c r="I395">
        <f t="shared" si="44"/>
        <v>0</v>
      </c>
      <c r="J395">
        <f t="shared" si="45"/>
        <v>-2.5499999999999998</v>
      </c>
      <c r="K395" t="str">
        <f t="shared" si="46"/>
        <v>Negative</v>
      </c>
      <c r="L395" s="10">
        <f t="shared" si="47"/>
        <v>-4.5952624897588057E-2</v>
      </c>
      <c r="M395" t="str">
        <f t="shared" si="48"/>
        <v/>
      </c>
    </row>
    <row r="396" spans="1:13" x14ac:dyDescent="0.2">
      <c r="A396" s="21" t="s">
        <v>422</v>
      </c>
      <c r="B396" s="21" t="str">
        <f t="shared" si="42"/>
        <v>Monday</v>
      </c>
      <c r="C396" s="9">
        <f t="shared" si="43"/>
        <v>43920</v>
      </c>
      <c r="D396">
        <v>56.251998999999998</v>
      </c>
      <c r="E396">
        <v>57.581501000000003</v>
      </c>
      <c r="F396">
        <v>54.824001000000003</v>
      </c>
      <c r="G396">
        <v>57.341000000000001</v>
      </c>
      <c r="H396">
        <v>51482000</v>
      </c>
      <c r="I396">
        <f t="shared" si="44"/>
        <v>0</v>
      </c>
      <c r="J396">
        <f t="shared" si="45"/>
        <v>1.81</v>
      </c>
      <c r="K396" t="str">
        <f t="shared" si="46"/>
        <v>Positive</v>
      </c>
      <c r="L396" s="10">
        <f t="shared" si="47"/>
        <v>3.1487068589665372E-2</v>
      </c>
      <c r="M396" t="str">
        <f t="shared" si="48"/>
        <v/>
      </c>
    </row>
    <row r="397" spans="1:13" x14ac:dyDescent="0.2">
      <c r="A397" s="21" t="s">
        <v>423</v>
      </c>
      <c r="B397" s="21" t="str">
        <f t="shared" si="42"/>
        <v>Tuesday</v>
      </c>
      <c r="C397" s="9">
        <f t="shared" si="43"/>
        <v>43921</v>
      </c>
      <c r="D397">
        <v>57.365001999999997</v>
      </c>
      <c r="E397">
        <v>58.765498999999998</v>
      </c>
      <c r="F397">
        <v>56.907001000000001</v>
      </c>
      <c r="G397">
        <v>58.140498999999998</v>
      </c>
      <c r="H397">
        <v>49728000</v>
      </c>
      <c r="I397">
        <f t="shared" si="44"/>
        <v>0</v>
      </c>
      <c r="J397">
        <f t="shared" si="45"/>
        <v>0.8</v>
      </c>
      <c r="K397" t="str">
        <f t="shared" si="46"/>
        <v>Positive</v>
      </c>
      <c r="L397" s="10">
        <f t="shared" si="47"/>
        <v>1.3751154767350678E-2</v>
      </c>
      <c r="M397" t="str">
        <f t="shared" si="48"/>
        <v/>
      </c>
    </row>
    <row r="398" spans="1:13" x14ac:dyDescent="0.2">
      <c r="A398" s="21" t="s">
        <v>424</v>
      </c>
      <c r="B398" s="21" t="str">
        <f t="shared" si="42"/>
        <v>Wednesday</v>
      </c>
      <c r="C398" s="9">
        <f t="shared" si="43"/>
        <v>43922</v>
      </c>
      <c r="D398">
        <v>56.099997999999999</v>
      </c>
      <c r="E398">
        <v>56.484501000000002</v>
      </c>
      <c r="F398">
        <v>54.872501</v>
      </c>
      <c r="G398">
        <v>55.280997999999997</v>
      </c>
      <c r="H398">
        <v>46884000</v>
      </c>
      <c r="I398">
        <f t="shared" si="44"/>
        <v>0</v>
      </c>
      <c r="J398">
        <f t="shared" si="45"/>
        <v>-2.86</v>
      </c>
      <c r="K398" t="str">
        <f t="shared" si="46"/>
        <v>Negative</v>
      </c>
      <c r="L398" s="10">
        <f t="shared" si="47"/>
        <v>-5.172665298119259E-2</v>
      </c>
      <c r="M398" t="str">
        <f t="shared" si="48"/>
        <v/>
      </c>
    </row>
    <row r="399" spans="1:13" x14ac:dyDescent="0.2">
      <c r="A399" s="21" t="s">
        <v>425</v>
      </c>
      <c r="B399" s="21" t="str">
        <f t="shared" si="42"/>
        <v>Thursday</v>
      </c>
      <c r="C399" s="9">
        <f t="shared" si="43"/>
        <v>43923</v>
      </c>
      <c r="D399">
        <v>54.912998000000002</v>
      </c>
      <c r="E399">
        <v>56.342998999999999</v>
      </c>
      <c r="F399">
        <v>54.82</v>
      </c>
      <c r="G399">
        <v>56.042000000000002</v>
      </c>
      <c r="H399">
        <v>39298000</v>
      </c>
      <c r="I399">
        <f t="shared" si="44"/>
        <v>0</v>
      </c>
      <c r="J399">
        <f t="shared" si="45"/>
        <v>0.76</v>
      </c>
      <c r="K399" t="str">
        <f t="shared" si="46"/>
        <v>Positive</v>
      </c>
      <c r="L399" s="10">
        <f t="shared" si="47"/>
        <v>1.3579137075764691E-2</v>
      </c>
      <c r="M399" t="str">
        <f t="shared" si="48"/>
        <v/>
      </c>
    </row>
    <row r="400" spans="1:13" x14ac:dyDescent="0.2">
      <c r="A400" s="21" t="s">
        <v>426</v>
      </c>
      <c r="B400" s="21" t="str">
        <f t="shared" si="42"/>
        <v>Friday</v>
      </c>
      <c r="C400" s="9">
        <f t="shared" si="43"/>
        <v>43924</v>
      </c>
      <c r="D400">
        <v>55.950747999999997</v>
      </c>
      <c r="E400">
        <v>56.176997999999998</v>
      </c>
      <c r="F400">
        <v>53.990501000000002</v>
      </c>
      <c r="G400">
        <v>54.894001000000003</v>
      </c>
      <c r="H400">
        <v>46268000</v>
      </c>
      <c r="I400">
        <f t="shared" si="44"/>
        <v>0</v>
      </c>
      <c r="J400">
        <f t="shared" si="45"/>
        <v>-1.1499999999999999</v>
      </c>
      <c r="K400" t="str">
        <f t="shared" si="46"/>
        <v>Negative</v>
      </c>
      <c r="L400" s="10">
        <f t="shared" si="47"/>
        <v>-2.0913013791798461E-2</v>
      </c>
      <c r="M400" t="str">
        <f t="shared" si="48"/>
        <v/>
      </c>
    </row>
    <row r="401" spans="1:13" x14ac:dyDescent="0.2">
      <c r="A401" s="21" t="s">
        <v>427</v>
      </c>
      <c r="B401" s="21" t="str">
        <f t="shared" si="42"/>
        <v>Monday</v>
      </c>
      <c r="C401" s="9">
        <f t="shared" si="43"/>
        <v>43927</v>
      </c>
      <c r="D401">
        <v>56.900002000000001</v>
      </c>
      <c r="E401">
        <v>59.733001999999999</v>
      </c>
      <c r="F401">
        <v>56.547001000000002</v>
      </c>
      <c r="G401">
        <v>59.346001000000001</v>
      </c>
      <c r="H401">
        <v>53294000</v>
      </c>
      <c r="I401">
        <f t="shared" si="44"/>
        <v>0</v>
      </c>
      <c r="J401">
        <f t="shared" si="45"/>
        <v>4.45</v>
      </c>
      <c r="K401" t="str">
        <f t="shared" si="46"/>
        <v>Positive</v>
      </c>
      <c r="L401" s="10">
        <f t="shared" si="47"/>
        <v>7.5017691588014468E-2</v>
      </c>
      <c r="M401">
        <f t="shared" si="48"/>
        <v>7.5017691588014468E-2</v>
      </c>
    </row>
    <row r="402" spans="1:13" x14ac:dyDescent="0.2">
      <c r="A402" s="21" t="s">
        <v>428</v>
      </c>
      <c r="B402" s="21" t="str">
        <f t="shared" si="42"/>
        <v>Tuesday</v>
      </c>
      <c r="C402" s="9">
        <f t="shared" si="43"/>
        <v>43928</v>
      </c>
      <c r="D402">
        <v>61.049999</v>
      </c>
      <c r="E402">
        <v>61.25</v>
      </c>
      <c r="F402">
        <v>59.111499999999999</v>
      </c>
      <c r="G402">
        <v>59.325499999999998</v>
      </c>
      <c r="H402">
        <v>47746000</v>
      </c>
      <c r="I402">
        <f t="shared" si="44"/>
        <v>0</v>
      </c>
      <c r="J402">
        <f t="shared" si="45"/>
        <v>-0.02</v>
      </c>
      <c r="K402" t="str">
        <f t="shared" si="46"/>
        <v>Negative</v>
      </c>
      <c r="L402" s="10">
        <f t="shared" si="47"/>
        <v>-3.4556809466423357E-4</v>
      </c>
      <c r="M402" t="str">
        <f t="shared" si="48"/>
        <v/>
      </c>
    </row>
    <row r="403" spans="1:13" x14ac:dyDescent="0.2">
      <c r="A403" s="21" t="s">
        <v>429</v>
      </c>
      <c r="B403" s="21" t="str">
        <f t="shared" si="42"/>
        <v>Wednesday</v>
      </c>
      <c r="C403" s="9">
        <f t="shared" si="43"/>
        <v>43929</v>
      </c>
      <c r="D403">
        <v>60.325001</v>
      </c>
      <c r="E403">
        <v>60.953499000000001</v>
      </c>
      <c r="F403">
        <v>59.408000999999999</v>
      </c>
      <c r="G403">
        <v>60.514000000000003</v>
      </c>
      <c r="H403">
        <v>39502000</v>
      </c>
      <c r="I403">
        <f t="shared" si="44"/>
        <v>0</v>
      </c>
      <c r="J403">
        <f t="shared" si="45"/>
        <v>1.19</v>
      </c>
      <c r="K403" t="str">
        <f t="shared" si="46"/>
        <v>Positive</v>
      </c>
      <c r="L403" s="10">
        <f t="shared" si="47"/>
        <v>1.9640083286512289E-2</v>
      </c>
      <c r="M403" t="str">
        <f t="shared" si="48"/>
        <v/>
      </c>
    </row>
    <row r="404" spans="1:13" x14ac:dyDescent="0.2">
      <c r="A404" s="21" t="s">
        <v>430</v>
      </c>
      <c r="B404" s="21" t="str">
        <f t="shared" si="42"/>
        <v>Thursday</v>
      </c>
      <c r="C404" s="9">
        <f t="shared" si="43"/>
        <v>43930</v>
      </c>
      <c r="D404">
        <v>61.203999000000003</v>
      </c>
      <c r="E404">
        <v>61.278500000000001</v>
      </c>
      <c r="F404">
        <v>59.836750000000002</v>
      </c>
      <c r="G404">
        <v>60.572498000000003</v>
      </c>
      <c r="H404">
        <v>43508000</v>
      </c>
      <c r="I404">
        <f t="shared" si="44"/>
        <v>0</v>
      </c>
      <c r="J404">
        <f t="shared" si="45"/>
        <v>0.06</v>
      </c>
      <c r="K404" t="str">
        <f t="shared" si="46"/>
        <v>Positive</v>
      </c>
      <c r="L404" s="10">
        <f t="shared" si="47"/>
        <v>9.6575181693844218E-4</v>
      </c>
      <c r="M404" t="str">
        <f t="shared" si="48"/>
        <v/>
      </c>
    </row>
    <row r="405" spans="1:13" x14ac:dyDescent="0.2">
      <c r="A405" s="21" t="s">
        <v>431</v>
      </c>
      <c r="B405" s="21" t="str">
        <f t="shared" si="42"/>
        <v>Monday</v>
      </c>
      <c r="C405" s="9">
        <f t="shared" si="43"/>
        <v>43934</v>
      </c>
      <c r="D405">
        <v>60.459000000000003</v>
      </c>
      <c r="E405">
        <v>61.025500999999998</v>
      </c>
      <c r="F405" t="s">
        <v>432</v>
      </c>
      <c r="G405">
        <v>60.877997999999998</v>
      </c>
      <c r="H405">
        <v>34796000</v>
      </c>
      <c r="I405">
        <f t="shared" si="44"/>
        <v>0</v>
      </c>
      <c r="J405">
        <f t="shared" si="45"/>
        <v>0.31</v>
      </c>
      <c r="K405" t="str">
        <f t="shared" si="46"/>
        <v>Positive</v>
      </c>
      <c r="L405" s="10">
        <f t="shared" si="47"/>
        <v>5.0182333525487319E-3</v>
      </c>
      <c r="M405" t="str">
        <f t="shared" si="48"/>
        <v/>
      </c>
    </row>
    <row r="406" spans="1:13" x14ac:dyDescent="0.2">
      <c r="A406" s="21" t="s">
        <v>433</v>
      </c>
      <c r="B406" s="21" t="str">
        <f t="shared" si="42"/>
        <v>Tuesday</v>
      </c>
      <c r="C406" s="9">
        <f t="shared" si="43"/>
        <v>43935</v>
      </c>
      <c r="D406">
        <v>62.254500999999998</v>
      </c>
      <c r="E406">
        <v>64.103499999999997</v>
      </c>
      <c r="F406">
        <v>61.846499999999999</v>
      </c>
      <c r="G406">
        <v>63.461497999999999</v>
      </c>
      <c r="H406">
        <v>49408000</v>
      </c>
      <c r="I406">
        <f t="shared" si="44"/>
        <v>0</v>
      </c>
      <c r="J406">
        <f t="shared" si="45"/>
        <v>2.58</v>
      </c>
      <c r="K406" t="str">
        <f t="shared" si="46"/>
        <v>Positive</v>
      </c>
      <c r="L406" s="10">
        <f t="shared" si="47"/>
        <v>4.0709722925229418E-2</v>
      </c>
      <c r="M406" t="str">
        <f t="shared" si="48"/>
        <v/>
      </c>
    </row>
    <row r="407" spans="1:13" x14ac:dyDescent="0.2">
      <c r="A407" s="21" t="s">
        <v>434</v>
      </c>
      <c r="B407" s="21" t="str">
        <f t="shared" si="42"/>
        <v>Wednesday</v>
      </c>
      <c r="C407" s="9">
        <f t="shared" si="43"/>
        <v>43936</v>
      </c>
      <c r="D407">
        <v>62.280498999999999</v>
      </c>
      <c r="E407">
        <v>64.023003000000003</v>
      </c>
      <c r="F407">
        <v>62.02</v>
      </c>
      <c r="G407">
        <v>63.123500999999997</v>
      </c>
      <c r="H407">
        <v>33434000</v>
      </c>
      <c r="I407">
        <f t="shared" si="44"/>
        <v>0</v>
      </c>
      <c r="J407">
        <f t="shared" si="45"/>
        <v>-0.34</v>
      </c>
      <c r="K407" t="str">
        <f t="shared" si="46"/>
        <v>Negative</v>
      </c>
      <c r="L407" s="10">
        <f t="shared" si="47"/>
        <v>-5.354535072444753E-3</v>
      </c>
      <c r="M407" t="str">
        <f t="shared" si="48"/>
        <v/>
      </c>
    </row>
    <row r="408" spans="1:13" x14ac:dyDescent="0.2">
      <c r="A408" s="21" t="s">
        <v>435</v>
      </c>
      <c r="B408" s="21" t="str">
        <f t="shared" si="42"/>
        <v>Thursday</v>
      </c>
      <c r="C408" s="9">
        <f t="shared" si="43"/>
        <v>43937</v>
      </c>
      <c r="D408">
        <v>63.705002</v>
      </c>
      <c r="E408">
        <v>63.950001</v>
      </c>
      <c r="F408">
        <v>62.131000999999998</v>
      </c>
      <c r="G408">
        <v>63.173499999999997</v>
      </c>
      <c r="H408">
        <v>50362000</v>
      </c>
      <c r="I408">
        <f t="shared" si="44"/>
        <v>0</v>
      </c>
      <c r="J408">
        <f t="shared" si="45"/>
        <v>0.05</v>
      </c>
      <c r="K408" t="str">
        <f t="shared" si="46"/>
        <v>Positive</v>
      </c>
      <c r="L408" s="10">
        <f t="shared" si="47"/>
        <v>7.9145527792507438E-4</v>
      </c>
      <c r="M408" t="str">
        <f t="shared" si="48"/>
        <v/>
      </c>
    </row>
    <row r="409" spans="1:13" x14ac:dyDescent="0.2">
      <c r="A409" s="21" t="s">
        <v>436</v>
      </c>
      <c r="B409" s="21" t="str">
        <f t="shared" si="42"/>
        <v>Friday</v>
      </c>
      <c r="C409" s="9">
        <f t="shared" si="43"/>
        <v>43938</v>
      </c>
      <c r="D409">
        <v>64.242500000000007</v>
      </c>
      <c r="E409">
        <v>64.721496999999999</v>
      </c>
      <c r="F409">
        <v>63.561501</v>
      </c>
      <c r="G409">
        <v>64.162497999999999</v>
      </c>
      <c r="H409">
        <v>38980000</v>
      </c>
      <c r="I409">
        <f t="shared" si="44"/>
        <v>0</v>
      </c>
      <c r="J409">
        <f t="shared" si="45"/>
        <v>0.99</v>
      </c>
      <c r="K409" t="str">
        <f t="shared" si="46"/>
        <v>Positive</v>
      </c>
      <c r="L409" s="10">
        <f t="shared" si="47"/>
        <v>1.5413957230904605E-2</v>
      </c>
      <c r="M409" t="str">
        <f t="shared" si="48"/>
        <v/>
      </c>
    </row>
    <row r="410" spans="1:13" x14ac:dyDescent="0.2">
      <c r="A410" s="21" t="s">
        <v>437</v>
      </c>
      <c r="B410" s="21" t="str">
        <f t="shared" si="42"/>
        <v>Monday</v>
      </c>
      <c r="C410" s="9">
        <f t="shared" si="43"/>
        <v>43941</v>
      </c>
      <c r="D410">
        <v>63.549999</v>
      </c>
      <c r="E410">
        <v>64.080001999999993</v>
      </c>
      <c r="F410">
        <v>63.068500999999998</v>
      </c>
      <c r="G410">
        <v>63.330502000000003</v>
      </c>
      <c r="H410">
        <v>33910000</v>
      </c>
      <c r="I410">
        <f t="shared" si="44"/>
        <v>0</v>
      </c>
      <c r="J410">
        <f t="shared" si="45"/>
        <v>-0.83</v>
      </c>
      <c r="K410" t="str">
        <f t="shared" si="46"/>
        <v>Negative</v>
      </c>
      <c r="L410" s="10">
        <f t="shared" si="47"/>
        <v>-1.3137366256784078E-2</v>
      </c>
      <c r="M410" t="str">
        <f t="shared" si="48"/>
        <v/>
      </c>
    </row>
    <row r="411" spans="1:13" x14ac:dyDescent="0.2">
      <c r="A411" s="21" t="s">
        <v>438</v>
      </c>
      <c r="B411" s="21" t="str">
        <f t="shared" si="42"/>
        <v>Tuesday</v>
      </c>
      <c r="C411" s="9">
        <f t="shared" si="43"/>
        <v>43942</v>
      </c>
      <c r="D411">
        <v>62.349997999999999</v>
      </c>
      <c r="E411">
        <v>62.713501000000001</v>
      </c>
      <c r="F411">
        <v>60.485500000000002</v>
      </c>
      <c r="G411">
        <v>60.817000999999998</v>
      </c>
      <c r="H411">
        <v>43060000</v>
      </c>
      <c r="I411">
        <f t="shared" si="44"/>
        <v>0</v>
      </c>
      <c r="J411">
        <f t="shared" si="45"/>
        <v>-2.5099999999999998</v>
      </c>
      <c r="K411" t="str">
        <f t="shared" si="46"/>
        <v>Negative</v>
      </c>
      <c r="L411" s="10">
        <f t="shared" si="47"/>
        <v>-4.1328920510237017E-2</v>
      </c>
      <c r="M411" t="str">
        <f t="shared" si="48"/>
        <v/>
      </c>
    </row>
    <row r="412" spans="1:13" x14ac:dyDescent="0.2">
      <c r="A412" s="21" t="s">
        <v>439</v>
      </c>
      <c r="B412" s="21" t="str">
        <f t="shared" si="42"/>
        <v>Wednesday</v>
      </c>
      <c r="C412" s="9">
        <f t="shared" si="43"/>
        <v>43943</v>
      </c>
      <c r="D412">
        <v>62.277000000000001</v>
      </c>
      <c r="E412">
        <v>64.280647000000002</v>
      </c>
      <c r="F412">
        <v>62.099997999999999</v>
      </c>
      <c r="G412">
        <v>63.160499999999999</v>
      </c>
      <c r="H412">
        <v>41848000</v>
      </c>
      <c r="I412">
        <f t="shared" si="44"/>
        <v>0</v>
      </c>
      <c r="J412">
        <f t="shared" si="45"/>
        <v>2.34</v>
      </c>
      <c r="K412" t="str">
        <f t="shared" si="46"/>
        <v>Positive</v>
      </c>
      <c r="L412" s="10">
        <f t="shared" si="47"/>
        <v>3.7103870298683533E-2</v>
      </c>
      <c r="M412" t="str">
        <f t="shared" si="48"/>
        <v/>
      </c>
    </row>
    <row r="413" spans="1:13" x14ac:dyDescent="0.2">
      <c r="A413" s="21" t="s">
        <v>440</v>
      </c>
      <c r="B413" s="21" t="str">
        <f t="shared" si="42"/>
        <v>Thursday</v>
      </c>
      <c r="C413" s="9">
        <f t="shared" si="43"/>
        <v>43944</v>
      </c>
      <c r="D413">
        <v>63.577499000000003</v>
      </c>
      <c r="E413">
        <v>64.665497000000002</v>
      </c>
      <c r="F413">
        <v>63.283501000000001</v>
      </c>
      <c r="G413">
        <v>63.815497999999998</v>
      </c>
      <c r="H413">
        <v>31324000</v>
      </c>
      <c r="I413">
        <f t="shared" si="44"/>
        <v>0</v>
      </c>
      <c r="J413">
        <f t="shared" si="45"/>
        <v>0.65</v>
      </c>
      <c r="K413" t="str">
        <f t="shared" si="46"/>
        <v>Positive</v>
      </c>
      <c r="L413" s="10">
        <f t="shared" si="47"/>
        <v>1.0263933065287669E-2</v>
      </c>
      <c r="M413" t="str">
        <f t="shared" si="48"/>
        <v/>
      </c>
    </row>
    <row r="414" spans="1:13" x14ac:dyDescent="0.2">
      <c r="A414" s="21" t="s">
        <v>441</v>
      </c>
      <c r="B414" s="21" t="str">
        <f t="shared" si="42"/>
        <v>Friday</v>
      </c>
      <c r="C414" s="9">
        <f t="shared" si="43"/>
        <v>43945</v>
      </c>
      <c r="D414">
        <v>63.058498</v>
      </c>
      <c r="E414">
        <v>64.019997000000004</v>
      </c>
      <c r="F414">
        <v>62.472499999999997</v>
      </c>
      <c r="G414">
        <v>63.965499999999999</v>
      </c>
      <c r="H414">
        <v>32792000</v>
      </c>
      <c r="I414">
        <f t="shared" si="44"/>
        <v>0</v>
      </c>
      <c r="J414">
        <f t="shared" si="45"/>
        <v>0.15</v>
      </c>
      <c r="K414" t="str">
        <f t="shared" si="46"/>
        <v>Positive</v>
      </c>
      <c r="L414" s="10">
        <f t="shared" si="47"/>
        <v>2.3450453760230222E-3</v>
      </c>
      <c r="M414" t="str">
        <f t="shared" si="48"/>
        <v/>
      </c>
    </row>
    <row r="415" spans="1:13" x14ac:dyDescent="0.2">
      <c r="A415" s="21" t="s">
        <v>442</v>
      </c>
      <c r="B415" s="21" t="str">
        <f t="shared" si="42"/>
        <v>Monday</v>
      </c>
      <c r="C415" s="9">
        <f t="shared" si="43"/>
        <v>43948</v>
      </c>
      <c r="D415">
        <v>64.800003000000004</v>
      </c>
      <c r="E415">
        <v>64.807502999999997</v>
      </c>
      <c r="F415">
        <v>63.450001</v>
      </c>
      <c r="G415">
        <v>63.793998999999999</v>
      </c>
      <c r="H415">
        <v>32012000</v>
      </c>
      <c r="I415">
        <f t="shared" si="44"/>
        <v>0</v>
      </c>
      <c r="J415">
        <f t="shared" si="45"/>
        <v>-0.17</v>
      </c>
      <c r="K415" t="str">
        <f t="shared" si="46"/>
        <v>Negative</v>
      </c>
      <c r="L415" s="10">
        <f t="shared" si="47"/>
        <v>-2.6883563138908918E-3</v>
      </c>
      <c r="M415" t="str">
        <f t="shared" si="48"/>
        <v/>
      </c>
    </row>
    <row r="416" spans="1:13" x14ac:dyDescent="0.2">
      <c r="A416" s="21" t="s">
        <v>443</v>
      </c>
      <c r="B416" s="21" t="str">
        <f t="shared" si="42"/>
        <v>Tuesday</v>
      </c>
      <c r="C416" s="9">
        <f t="shared" si="43"/>
        <v>43949</v>
      </c>
      <c r="D416">
        <v>64.396500000000003</v>
      </c>
      <c r="E416">
        <v>64.402495999999999</v>
      </c>
      <c r="F416">
        <v>61.610000999999997</v>
      </c>
      <c r="G416">
        <v>61.683498</v>
      </c>
      <c r="H416">
        <v>59026000</v>
      </c>
      <c r="I416">
        <f t="shared" si="44"/>
        <v>0</v>
      </c>
      <c r="J416">
        <f t="shared" si="45"/>
        <v>-2.11</v>
      </c>
      <c r="K416" t="str">
        <f t="shared" si="46"/>
        <v>Negative</v>
      </c>
      <c r="L416" s="10">
        <f t="shared" si="47"/>
        <v>-3.4215001879432959E-2</v>
      </c>
      <c r="M416" t="str">
        <f t="shared" si="48"/>
        <v/>
      </c>
    </row>
    <row r="417" spans="1:13" x14ac:dyDescent="0.2">
      <c r="A417" s="21" t="s">
        <v>444</v>
      </c>
      <c r="B417" s="21" t="str">
        <f t="shared" si="42"/>
        <v>Wednesday</v>
      </c>
      <c r="C417" s="9">
        <f t="shared" si="43"/>
        <v>43950</v>
      </c>
      <c r="D417">
        <v>67.072997999999998</v>
      </c>
      <c r="E417">
        <v>67.999495999999994</v>
      </c>
      <c r="F417">
        <v>66.266998000000001</v>
      </c>
      <c r="G417">
        <v>67.073997000000006</v>
      </c>
      <c r="H417">
        <v>75872000</v>
      </c>
      <c r="I417">
        <f t="shared" si="44"/>
        <v>0</v>
      </c>
      <c r="J417">
        <f t="shared" si="45"/>
        <v>5.39</v>
      </c>
      <c r="K417" t="str">
        <f t="shared" si="46"/>
        <v>Positive</v>
      </c>
      <c r="L417" s="10">
        <f t="shared" si="47"/>
        <v>8.0366449609377014E-2</v>
      </c>
      <c r="M417">
        <f t="shared" si="48"/>
        <v>8.0366449609377014E-2</v>
      </c>
    </row>
    <row r="418" spans="1:13" x14ac:dyDescent="0.2">
      <c r="A418" s="21" t="s">
        <v>445</v>
      </c>
      <c r="B418" s="21" t="str">
        <f t="shared" si="42"/>
        <v>Thursday</v>
      </c>
      <c r="C418" s="9">
        <f t="shared" si="43"/>
        <v>43951</v>
      </c>
      <c r="D418">
        <v>66.244003000000006</v>
      </c>
      <c r="E418">
        <v>67.640998999999994</v>
      </c>
      <c r="F418">
        <v>66.124495999999994</v>
      </c>
      <c r="G418">
        <v>67.432998999999995</v>
      </c>
      <c r="H418">
        <v>53378000</v>
      </c>
      <c r="I418">
        <f t="shared" si="44"/>
        <v>0</v>
      </c>
      <c r="J418">
        <f t="shared" si="45"/>
        <v>0.36</v>
      </c>
      <c r="K418" t="str">
        <f t="shared" si="46"/>
        <v>Positive</v>
      </c>
      <c r="L418" s="10">
        <f t="shared" si="47"/>
        <v>5.3238326238462218E-3</v>
      </c>
      <c r="M418" t="str">
        <f t="shared" si="48"/>
        <v/>
      </c>
    </row>
    <row r="419" spans="1:13" x14ac:dyDescent="0.2">
      <c r="A419" s="21" t="s">
        <v>446</v>
      </c>
      <c r="B419" s="21" t="str">
        <f t="shared" si="42"/>
        <v>Friday</v>
      </c>
      <c r="C419" s="9">
        <f t="shared" si="43"/>
        <v>43952</v>
      </c>
      <c r="D419">
        <v>66.425003000000004</v>
      </c>
      <c r="E419">
        <v>67.603499999999997</v>
      </c>
      <c r="F419">
        <v>65.550003000000004</v>
      </c>
      <c r="G419">
        <v>66.030501999999998</v>
      </c>
      <c r="H419">
        <v>41450000</v>
      </c>
      <c r="I419">
        <f t="shared" si="44"/>
        <v>0</v>
      </c>
      <c r="J419">
        <f t="shared" si="45"/>
        <v>-1.4</v>
      </c>
      <c r="K419" t="str">
        <f t="shared" si="46"/>
        <v>Negative</v>
      </c>
      <c r="L419" s="10">
        <f t="shared" si="47"/>
        <v>-2.1240138383318619E-2</v>
      </c>
      <c r="M419" t="str">
        <f t="shared" si="48"/>
        <v/>
      </c>
    </row>
    <row r="420" spans="1:13" x14ac:dyDescent="0.2">
      <c r="A420" s="21" t="s">
        <v>447</v>
      </c>
      <c r="B420" s="21" t="str">
        <f t="shared" si="42"/>
        <v>Monday</v>
      </c>
      <c r="C420" s="9">
        <f t="shared" si="43"/>
        <v>43955</v>
      </c>
      <c r="D420">
        <v>65.411499000000006</v>
      </c>
      <c r="E420">
        <v>66.383003000000002</v>
      </c>
      <c r="F420">
        <v>64.949996999999996</v>
      </c>
      <c r="G420">
        <v>66.339995999999999</v>
      </c>
      <c r="H420">
        <v>30080000</v>
      </c>
      <c r="I420">
        <f t="shared" si="44"/>
        <v>0</v>
      </c>
      <c r="J420">
        <f t="shared" si="45"/>
        <v>0.31</v>
      </c>
      <c r="K420" t="str">
        <f t="shared" si="46"/>
        <v>Positive</v>
      </c>
      <c r="L420" s="10">
        <f t="shared" si="47"/>
        <v>4.6652701034229915E-3</v>
      </c>
      <c r="M420" t="str">
        <f t="shared" si="48"/>
        <v/>
      </c>
    </row>
    <row r="421" spans="1:13" x14ac:dyDescent="0.2">
      <c r="A421" s="21" t="s">
        <v>448</v>
      </c>
      <c r="B421" s="21" t="str">
        <f t="shared" si="42"/>
        <v>Tuesday</v>
      </c>
      <c r="C421" s="9">
        <f t="shared" si="43"/>
        <v>43956</v>
      </c>
      <c r="D421">
        <v>66.896004000000005</v>
      </c>
      <c r="E421">
        <v>68.696999000000005</v>
      </c>
      <c r="F421">
        <v>66.873001000000002</v>
      </c>
      <c r="G421">
        <v>67.555496000000005</v>
      </c>
      <c r="H421">
        <v>33030000</v>
      </c>
      <c r="I421">
        <f t="shared" si="44"/>
        <v>0</v>
      </c>
      <c r="J421">
        <f t="shared" si="45"/>
        <v>1.22</v>
      </c>
      <c r="K421" t="str">
        <f t="shared" si="46"/>
        <v>Positive</v>
      </c>
      <c r="L421" s="10">
        <f t="shared" si="47"/>
        <v>1.7992614546120802E-2</v>
      </c>
      <c r="M421" t="str">
        <f t="shared" si="48"/>
        <v/>
      </c>
    </row>
    <row r="422" spans="1:13" x14ac:dyDescent="0.2">
      <c r="A422" s="21" t="s">
        <v>449</v>
      </c>
      <c r="B422" s="21" t="str">
        <f t="shared" si="42"/>
        <v>Wednesday</v>
      </c>
      <c r="C422" s="9">
        <f t="shared" si="43"/>
        <v>43957</v>
      </c>
      <c r="D422">
        <v>68.084502999999998</v>
      </c>
      <c r="E422">
        <v>68.555999999999997</v>
      </c>
      <c r="F422">
        <v>67.364502000000002</v>
      </c>
      <c r="G422">
        <v>67.364998</v>
      </c>
      <c r="H422">
        <v>24308000</v>
      </c>
      <c r="I422">
        <f t="shared" si="44"/>
        <v>0</v>
      </c>
      <c r="J422">
        <f t="shared" si="45"/>
        <v>-0.19</v>
      </c>
      <c r="K422" t="str">
        <f t="shared" si="46"/>
        <v>Negative</v>
      </c>
      <c r="L422" s="10">
        <f t="shared" si="47"/>
        <v>-2.8278483731270232E-3</v>
      </c>
      <c r="M422" t="str">
        <f t="shared" si="48"/>
        <v/>
      </c>
    </row>
    <row r="423" spans="1:13" x14ac:dyDescent="0.2">
      <c r="A423" s="21" t="s">
        <v>450</v>
      </c>
      <c r="B423" s="21" t="str">
        <f t="shared" si="42"/>
        <v>Thursday</v>
      </c>
      <c r="C423" s="9">
        <f t="shared" si="43"/>
        <v>43958</v>
      </c>
      <c r="D423">
        <v>68.296997000000005</v>
      </c>
      <c r="E423">
        <v>68.879997000000003</v>
      </c>
      <c r="F423">
        <v>67.763496000000004</v>
      </c>
      <c r="G423">
        <v>68.627998000000005</v>
      </c>
      <c r="H423">
        <v>27952000</v>
      </c>
      <c r="I423">
        <f t="shared" si="44"/>
        <v>0</v>
      </c>
      <c r="J423">
        <f t="shared" si="45"/>
        <v>1.26</v>
      </c>
      <c r="K423" t="str">
        <f t="shared" si="46"/>
        <v>Positive</v>
      </c>
      <c r="L423" s="10">
        <f t="shared" si="47"/>
        <v>1.8403567593506153E-2</v>
      </c>
      <c r="M423" t="str">
        <f t="shared" si="48"/>
        <v/>
      </c>
    </row>
    <row r="424" spans="1:13" x14ac:dyDescent="0.2">
      <c r="A424" s="21" t="s">
        <v>451</v>
      </c>
      <c r="B424" s="21" t="str">
        <f t="shared" si="42"/>
        <v>Friday</v>
      </c>
      <c r="C424" s="9">
        <f t="shared" si="43"/>
        <v>43959</v>
      </c>
      <c r="D424">
        <v>69.156502000000003</v>
      </c>
      <c r="E424">
        <v>69.938004000000006</v>
      </c>
      <c r="F424">
        <v>68.774001999999996</v>
      </c>
      <c r="G424">
        <v>69.418503000000001</v>
      </c>
      <c r="H424">
        <v>27738000</v>
      </c>
      <c r="I424">
        <f t="shared" si="44"/>
        <v>0</v>
      </c>
      <c r="J424">
        <f t="shared" si="45"/>
        <v>0.79</v>
      </c>
      <c r="K424" t="str">
        <f t="shared" si="46"/>
        <v>Positive</v>
      </c>
      <c r="L424" s="10">
        <f t="shared" si="47"/>
        <v>1.138752588773048E-2</v>
      </c>
      <c r="M424" t="str">
        <f t="shared" si="48"/>
        <v/>
      </c>
    </row>
    <row r="425" spans="1:13" x14ac:dyDescent="0.2">
      <c r="A425" s="21" t="s">
        <v>452</v>
      </c>
      <c r="B425" s="21" t="str">
        <f t="shared" si="42"/>
        <v>Monday</v>
      </c>
      <c r="C425" s="9">
        <f t="shared" si="43"/>
        <v>43962</v>
      </c>
      <c r="D425">
        <v>68.914000999999999</v>
      </c>
      <c r="E425">
        <v>70.826499999999996</v>
      </c>
      <c r="F425">
        <v>68.857596999999998</v>
      </c>
      <c r="G425">
        <v>70.163002000000006</v>
      </c>
      <c r="H425">
        <v>28242000</v>
      </c>
      <c r="I425">
        <f t="shared" si="44"/>
        <v>0</v>
      </c>
      <c r="J425">
        <f t="shared" si="45"/>
        <v>0.74</v>
      </c>
      <c r="K425" t="str">
        <f t="shared" si="46"/>
        <v>Positive</v>
      </c>
      <c r="L425" s="10">
        <f t="shared" si="47"/>
        <v>1.061099124578513E-2</v>
      </c>
      <c r="M425" t="str">
        <f t="shared" si="48"/>
        <v/>
      </c>
    </row>
    <row r="426" spans="1:13" x14ac:dyDescent="0.2">
      <c r="A426" s="21" t="s">
        <v>453</v>
      </c>
      <c r="B426" s="21" t="str">
        <f t="shared" si="42"/>
        <v>Tuesday</v>
      </c>
      <c r="C426" s="9">
        <f t="shared" si="43"/>
        <v>43963</v>
      </c>
      <c r="D426">
        <v>70.356003000000001</v>
      </c>
      <c r="E426">
        <v>70.75</v>
      </c>
      <c r="F426">
        <v>68.738502999999994</v>
      </c>
      <c r="G426">
        <v>68.787002999999999</v>
      </c>
      <c r="H426">
        <v>27812000</v>
      </c>
      <c r="I426">
        <f t="shared" si="44"/>
        <v>0</v>
      </c>
      <c r="J426">
        <f t="shared" si="45"/>
        <v>-1.38</v>
      </c>
      <c r="K426" t="str">
        <f t="shared" si="46"/>
        <v>Negative</v>
      </c>
      <c r="L426" s="10">
        <f t="shared" si="47"/>
        <v>-2.0003764373918244E-2</v>
      </c>
      <c r="M426" t="str">
        <f t="shared" si="48"/>
        <v/>
      </c>
    </row>
    <row r="427" spans="1:13" x14ac:dyDescent="0.2">
      <c r="A427" s="21" t="s">
        <v>454</v>
      </c>
      <c r="B427" s="21" t="str">
        <f t="shared" si="42"/>
        <v>Wednesday</v>
      </c>
      <c r="C427" s="9">
        <f t="shared" si="43"/>
        <v>43964</v>
      </c>
      <c r="D427">
        <v>68.852501000000004</v>
      </c>
      <c r="E427">
        <v>69.274101000000002</v>
      </c>
      <c r="F427">
        <v>66.419998000000007</v>
      </c>
      <c r="G427">
        <v>67.466498999999999</v>
      </c>
      <c r="H427">
        <v>36252000</v>
      </c>
      <c r="I427">
        <f t="shared" si="44"/>
        <v>0</v>
      </c>
      <c r="J427">
        <f t="shared" si="45"/>
        <v>-1.32</v>
      </c>
      <c r="K427" t="str">
        <f t="shared" si="46"/>
        <v>Negative</v>
      </c>
      <c r="L427" s="10">
        <f t="shared" si="47"/>
        <v>-1.9572736388766811E-2</v>
      </c>
      <c r="M427" t="str">
        <f t="shared" si="48"/>
        <v/>
      </c>
    </row>
    <row r="428" spans="1:13" x14ac:dyDescent="0.2">
      <c r="A428" s="21" t="s">
        <v>455</v>
      </c>
      <c r="B428" s="21" t="str">
        <f t="shared" si="42"/>
        <v>Thursday</v>
      </c>
      <c r="C428" s="9">
        <f t="shared" si="43"/>
        <v>43965</v>
      </c>
      <c r="D428">
        <v>66.750998999999993</v>
      </c>
      <c r="E428">
        <v>67.871002000000004</v>
      </c>
      <c r="F428">
        <v>66.195503000000002</v>
      </c>
      <c r="G428">
        <v>67.806503000000006</v>
      </c>
      <c r="H428">
        <v>32062000</v>
      </c>
      <c r="I428">
        <f t="shared" si="44"/>
        <v>0</v>
      </c>
      <c r="J428">
        <f t="shared" si="45"/>
        <v>0.34</v>
      </c>
      <c r="K428" t="str">
        <f t="shared" si="46"/>
        <v>Positive</v>
      </c>
      <c r="L428" s="10">
        <f t="shared" si="47"/>
        <v>5.0143273131193255E-3</v>
      </c>
      <c r="M428" t="str">
        <f t="shared" si="48"/>
        <v/>
      </c>
    </row>
    <row r="429" spans="1:13" x14ac:dyDescent="0.2">
      <c r="A429" s="21" t="s">
        <v>456</v>
      </c>
      <c r="B429" s="21" t="str">
        <f t="shared" si="42"/>
        <v>Friday</v>
      </c>
      <c r="C429" s="9">
        <f t="shared" si="43"/>
        <v>43966</v>
      </c>
      <c r="D429">
        <v>67.5</v>
      </c>
      <c r="E429">
        <v>68.723999000000006</v>
      </c>
      <c r="F429">
        <v>66.949996999999996</v>
      </c>
      <c r="G429">
        <v>68.659499999999994</v>
      </c>
      <c r="H429">
        <v>34154000</v>
      </c>
      <c r="I429">
        <f t="shared" si="44"/>
        <v>0</v>
      </c>
      <c r="J429">
        <f t="shared" si="45"/>
        <v>0.85</v>
      </c>
      <c r="K429" t="str">
        <f t="shared" si="46"/>
        <v>Positive</v>
      </c>
      <c r="L429" s="10">
        <f t="shared" si="47"/>
        <v>1.2423583043861198E-2</v>
      </c>
      <c r="M429" t="str">
        <f t="shared" si="48"/>
        <v/>
      </c>
    </row>
    <row r="430" spans="1:13" x14ac:dyDescent="0.2">
      <c r="A430" s="21" t="s">
        <v>457</v>
      </c>
      <c r="B430" s="21" t="str">
        <f t="shared" si="42"/>
        <v>Monday</v>
      </c>
      <c r="C430" s="9">
        <f t="shared" si="43"/>
        <v>43969</v>
      </c>
      <c r="D430">
        <v>68.087502000000001</v>
      </c>
      <c r="E430">
        <v>69.616248999999996</v>
      </c>
      <c r="F430">
        <v>67.712502000000001</v>
      </c>
      <c r="G430">
        <v>69.196999000000005</v>
      </c>
      <c r="H430">
        <v>36448000</v>
      </c>
      <c r="I430">
        <f t="shared" si="44"/>
        <v>0</v>
      </c>
      <c r="J430">
        <f t="shared" si="45"/>
        <v>0.54</v>
      </c>
      <c r="K430" t="str">
        <f t="shared" si="46"/>
        <v>Positive</v>
      </c>
      <c r="L430" s="10">
        <f t="shared" si="47"/>
        <v>7.7676634502604801E-3</v>
      </c>
      <c r="M430" t="str">
        <f t="shared" si="48"/>
        <v/>
      </c>
    </row>
    <row r="431" spans="1:13" x14ac:dyDescent="0.2">
      <c r="A431" s="21" t="s">
        <v>458</v>
      </c>
      <c r="B431" s="21" t="str">
        <f t="shared" si="42"/>
        <v>Tuesday</v>
      </c>
      <c r="C431" s="9">
        <f t="shared" si="43"/>
        <v>43970</v>
      </c>
      <c r="D431">
        <v>69.349853999999993</v>
      </c>
      <c r="E431">
        <v>69.599997999999999</v>
      </c>
      <c r="F431">
        <v>68.674248000000006</v>
      </c>
      <c r="G431">
        <v>68.674248000000006</v>
      </c>
      <c r="H431">
        <v>25612000</v>
      </c>
      <c r="I431">
        <f t="shared" si="44"/>
        <v>0</v>
      </c>
      <c r="J431">
        <f t="shared" si="45"/>
        <v>-0.52</v>
      </c>
      <c r="K431" t="str">
        <f t="shared" si="46"/>
        <v>Negative</v>
      </c>
      <c r="L431" s="10">
        <f t="shared" si="47"/>
        <v>-7.61203821263539E-3</v>
      </c>
      <c r="M431" t="str">
        <f t="shared" si="48"/>
        <v/>
      </c>
    </row>
    <row r="432" spans="1:13" x14ac:dyDescent="0.2">
      <c r="A432" s="21" t="s">
        <v>459</v>
      </c>
      <c r="B432" s="21" t="str">
        <f t="shared" si="42"/>
        <v>Wednesday</v>
      </c>
      <c r="C432" s="9">
        <f t="shared" si="43"/>
        <v>43971</v>
      </c>
      <c r="D432">
        <v>69.478995999999995</v>
      </c>
      <c r="E432">
        <v>70.521004000000005</v>
      </c>
      <c r="F432">
        <v>69.362503000000004</v>
      </c>
      <c r="G432">
        <v>70.335999000000001</v>
      </c>
      <c r="H432">
        <v>33108000</v>
      </c>
      <c r="I432">
        <f t="shared" si="44"/>
        <v>0</v>
      </c>
      <c r="J432">
        <f t="shared" si="45"/>
        <v>1.66</v>
      </c>
      <c r="K432" t="str">
        <f t="shared" si="46"/>
        <v>Positive</v>
      </c>
      <c r="L432" s="10">
        <f t="shared" si="47"/>
        <v>2.3625896036537353E-2</v>
      </c>
      <c r="M432" t="str">
        <f t="shared" si="48"/>
        <v/>
      </c>
    </row>
    <row r="433" spans="1:13" x14ac:dyDescent="0.2">
      <c r="A433" s="21" t="s">
        <v>460</v>
      </c>
      <c r="B433" s="21" t="str">
        <f t="shared" si="42"/>
        <v>Thursday</v>
      </c>
      <c r="C433" s="9">
        <f t="shared" si="43"/>
        <v>43972</v>
      </c>
      <c r="D433">
        <v>70.400002000000001</v>
      </c>
      <c r="E433">
        <v>70.774497999999994</v>
      </c>
      <c r="F433">
        <v>69.672500999999997</v>
      </c>
      <c r="G433">
        <v>70.139999000000003</v>
      </c>
      <c r="H433">
        <v>27700000</v>
      </c>
      <c r="I433">
        <f t="shared" si="44"/>
        <v>0</v>
      </c>
      <c r="J433">
        <f t="shared" si="45"/>
        <v>-0.2</v>
      </c>
      <c r="K433" t="str">
        <f t="shared" si="46"/>
        <v>Negative</v>
      </c>
      <c r="L433" s="10">
        <f t="shared" si="47"/>
        <v>-2.7944112174851606E-3</v>
      </c>
      <c r="M433" t="str">
        <f t="shared" si="48"/>
        <v/>
      </c>
    </row>
    <row r="434" spans="1:13" x14ac:dyDescent="0.2">
      <c r="A434" s="21" t="s">
        <v>461</v>
      </c>
      <c r="B434" s="21" t="str">
        <f t="shared" si="42"/>
        <v>Friday</v>
      </c>
      <c r="C434" s="9">
        <f t="shared" si="43"/>
        <v>43973</v>
      </c>
      <c r="D434">
        <v>69.835503000000003</v>
      </c>
      <c r="E434">
        <v>70.638000000000005</v>
      </c>
      <c r="F434">
        <v>69.591498999999999</v>
      </c>
      <c r="G434">
        <v>70.521004000000005</v>
      </c>
      <c r="H434">
        <v>26188000</v>
      </c>
      <c r="I434">
        <f t="shared" si="44"/>
        <v>0</v>
      </c>
      <c r="J434">
        <f t="shared" si="45"/>
        <v>0.38</v>
      </c>
      <c r="K434" t="str">
        <f t="shared" si="46"/>
        <v>Positive</v>
      </c>
      <c r="L434" s="10">
        <f t="shared" si="47"/>
        <v>5.402716614754971E-3</v>
      </c>
      <c r="M434" t="str">
        <f t="shared" si="48"/>
        <v/>
      </c>
    </row>
    <row r="435" spans="1:13" x14ac:dyDescent="0.2">
      <c r="A435" s="21" t="s">
        <v>462</v>
      </c>
      <c r="B435" s="21" t="str">
        <f t="shared" si="42"/>
        <v>Tuesday</v>
      </c>
      <c r="C435" s="9">
        <f t="shared" si="43"/>
        <v>43977</v>
      </c>
      <c r="D435">
        <v>71.863502999999994</v>
      </c>
      <c r="E435">
        <v>72.050003000000004</v>
      </c>
      <c r="F435">
        <v>70.606498999999999</v>
      </c>
      <c r="G435">
        <v>70.850998000000004</v>
      </c>
      <c r="H435">
        <v>41212000</v>
      </c>
      <c r="I435">
        <f t="shared" si="44"/>
        <v>0</v>
      </c>
      <c r="J435">
        <f t="shared" si="45"/>
        <v>0.33</v>
      </c>
      <c r="K435" t="str">
        <f t="shared" si="46"/>
        <v>Positive</v>
      </c>
      <c r="L435" s="10">
        <f t="shared" si="47"/>
        <v>4.6575773004637029E-3</v>
      </c>
      <c r="M435" t="str">
        <f t="shared" si="48"/>
        <v/>
      </c>
    </row>
    <row r="436" spans="1:13" x14ac:dyDescent="0.2">
      <c r="A436" s="21" t="s">
        <v>463</v>
      </c>
      <c r="B436" s="21" t="str">
        <f t="shared" si="42"/>
        <v>Wednesday</v>
      </c>
      <c r="C436" s="9">
        <f t="shared" si="43"/>
        <v>43978</v>
      </c>
      <c r="D436">
        <v>70.862503000000004</v>
      </c>
      <c r="E436">
        <v>71.086997999999994</v>
      </c>
      <c r="F436">
        <v>69.564498999999998</v>
      </c>
      <c r="G436">
        <v>70.891998000000001</v>
      </c>
      <c r="H436">
        <v>33716000</v>
      </c>
      <c r="I436">
        <f t="shared" si="44"/>
        <v>0</v>
      </c>
      <c r="J436">
        <f t="shared" si="45"/>
        <v>0.04</v>
      </c>
      <c r="K436" t="str">
        <f t="shared" si="46"/>
        <v>Positive</v>
      </c>
      <c r="L436" s="10">
        <f t="shared" si="47"/>
        <v>5.7834454038094426E-4</v>
      </c>
      <c r="M436" t="str">
        <f t="shared" si="48"/>
        <v/>
      </c>
    </row>
    <row r="437" spans="1:13" x14ac:dyDescent="0.2">
      <c r="A437" s="21" t="s">
        <v>464</v>
      </c>
      <c r="B437" s="21" t="str">
        <f t="shared" si="42"/>
        <v>Thursday</v>
      </c>
      <c r="C437" s="9">
        <f t="shared" si="43"/>
        <v>43979</v>
      </c>
      <c r="D437">
        <v>69.843001999999998</v>
      </c>
      <c r="E437">
        <v>72.042000000000002</v>
      </c>
      <c r="F437">
        <v>69.800003000000004</v>
      </c>
      <c r="G437">
        <v>70.836501999999996</v>
      </c>
      <c r="H437">
        <v>33844000</v>
      </c>
      <c r="I437">
        <f t="shared" si="44"/>
        <v>0</v>
      </c>
      <c r="J437">
        <f t="shared" si="45"/>
        <v>-0.06</v>
      </c>
      <c r="K437" t="str">
        <f t="shared" si="46"/>
        <v>Negative</v>
      </c>
      <c r="L437" s="10">
        <f t="shared" si="47"/>
        <v>-7.8343789477358866E-4</v>
      </c>
      <c r="M437" t="str">
        <f t="shared" si="48"/>
        <v/>
      </c>
    </row>
    <row r="438" spans="1:13" x14ac:dyDescent="0.2">
      <c r="A438" s="21" t="s">
        <v>465</v>
      </c>
      <c r="B438" s="21" t="str">
        <f t="shared" si="42"/>
        <v>Friday</v>
      </c>
      <c r="C438" s="9">
        <f t="shared" si="43"/>
        <v>43980</v>
      </c>
      <c r="D438">
        <v>70.846999999999994</v>
      </c>
      <c r="E438">
        <v>71.628501999999997</v>
      </c>
      <c r="F438">
        <v>70.667502999999996</v>
      </c>
      <c r="G438">
        <v>71.445999</v>
      </c>
      <c r="H438">
        <v>36418000</v>
      </c>
      <c r="I438">
        <f t="shared" si="44"/>
        <v>0</v>
      </c>
      <c r="J438">
        <f t="shared" si="45"/>
        <v>0.61</v>
      </c>
      <c r="K438" t="str">
        <f t="shared" si="46"/>
        <v>Positive</v>
      </c>
      <c r="L438" s="10">
        <f t="shared" si="47"/>
        <v>8.5308765855454643E-3</v>
      </c>
      <c r="M438" t="str">
        <f t="shared" si="48"/>
        <v/>
      </c>
    </row>
    <row r="439" spans="1:13" x14ac:dyDescent="0.2">
      <c r="A439" s="21" t="s">
        <v>466</v>
      </c>
      <c r="B439" s="21" t="str">
        <f t="shared" si="42"/>
        <v>Monday</v>
      </c>
      <c r="C439" s="9">
        <f t="shared" si="43"/>
        <v>43983</v>
      </c>
      <c r="D439">
        <v>70.919501999999994</v>
      </c>
      <c r="E439">
        <v>71.898003000000003</v>
      </c>
      <c r="F439">
        <v>70.900002000000001</v>
      </c>
      <c r="G439">
        <v>71.591003000000001</v>
      </c>
      <c r="H439">
        <v>24342000</v>
      </c>
      <c r="I439">
        <f t="shared" si="44"/>
        <v>0</v>
      </c>
      <c r="J439">
        <f t="shared" si="45"/>
        <v>0.15</v>
      </c>
      <c r="K439" t="str">
        <f t="shared" si="46"/>
        <v>Positive</v>
      </c>
      <c r="L439" s="10">
        <f t="shared" si="47"/>
        <v>2.0254500415366459E-3</v>
      </c>
      <c r="M439" t="str">
        <f t="shared" si="48"/>
        <v/>
      </c>
    </row>
    <row r="440" spans="1:13" x14ac:dyDescent="0.2">
      <c r="A440" s="21" t="s">
        <v>467</v>
      </c>
      <c r="B440" s="21" t="str">
        <f t="shared" si="42"/>
        <v>Tuesday</v>
      </c>
      <c r="C440" s="9">
        <f t="shared" si="43"/>
        <v>43984</v>
      </c>
      <c r="D440">
        <v>71.527495999999999</v>
      </c>
      <c r="E440">
        <v>71.980498999999995</v>
      </c>
      <c r="F440">
        <v>70.941497999999996</v>
      </c>
      <c r="G440">
        <v>71.960999000000001</v>
      </c>
      <c r="H440">
        <v>25562000</v>
      </c>
      <c r="I440">
        <f t="shared" si="44"/>
        <v>0</v>
      </c>
      <c r="J440">
        <f t="shared" si="45"/>
        <v>0.37</v>
      </c>
      <c r="K440" t="str">
        <f t="shared" si="46"/>
        <v>Positive</v>
      </c>
      <c r="L440" s="10">
        <f t="shared" si="47"/>
        <v>5.1416184480707451E-3</v>
      </c>
      <c r="M440" t="str">
        <f t="shared" si="48"/>
        <v/>
      </c>
    </row>
    <row r="441" spans="1:13" x14ac:dyDescent="0.2">
      <c r="A441" s="21" t="s">
        <v>468</v>
      </c>
      <c r="B441" s="21" t="str">
        <f t="shared" si="42"/>
        <v>Wednesday</v>
      </c>
      <c r="C441" s="9">
        <f t="shared" si="43"/>
        <v>43985</v>
      </c>
      <c r="D441">
        <v>71.915001000000004</v>
      </c>
      <c r="E441">
        <v>72.327599000000006</v>
      </c>
      <c r="F441">
        <v>71.488853000000006</v>
      </c>
      <c r="G441">
        <v>71.819000000000003</v>
      </c>
      <c r="H441">
        <v>25124000</v>
      </c>
      <c r="I441">
        <f t="shared" si="44"/>
        <v>0</v>
      </c>
      <c r="J441">
        <f t="shared" si="45"/>
        <v>-0.14000000000000001</v>
      </c>
      <c r="K441" t="str">
        <f t="shared" si="46"/>
        <v>Negative</v>
      </c>
      <c r="L441" s="10">
        <f t="shared" si="47"/>
        <v>-1.9771787410016628E-3</v>
      </c>
      <c r="M441" t="str">
        <f t="shared" si="48"/>
        <v/>
      </c>
    </row>
    <row r="442" spans="1:13" x14ac:dyDescent="0.2">
      <c r="A442" s="21" t="s">
        <v>469</v>
      </c>
      <c r="B442" s="21" t="str">
        <f t="shared" si="42"/>
        <v>Thursday</v>
      </c>
      <c r="C442" s="9">
        <f t="shared" si="43"/>
        <v>43986</v>
      </c>
      <c r="D442">
        <v>71.519997000000004</v>
      </c>
      <c r="E442">
        <v>71.947997999999998</v>
      </c>
      <c r="F442">
        <v>70.236503999999996</v>
      </c>
      <c r="G442">
        <v>70.609001000000006</v>
      </c>
      <c r="H442">
        <v>29686000</v>
      </c>
      <c r="I442">
        <f t="shared" si="44"/>
        <v>0</v>
      </c>
      <c r="J442">
        <f t="shared" si="45"/>
        <v>-1.21</v>
      </c>
      <c r="K442" t="str">
        <f t="shared" si="46"/>
        <v>Negative</v>
      </c>
      <c r="L442" s="10">
        <f t="shared" si="47"/>
        <v>-1.713661123742561E-2</v>
      </c>
      <c r="M442" t="str">
        <f t="shared" si="48"/>
        <v/>
      </c>
    </row>
    <row r="443" spans="1:13" x14ac:dyDescent="0.2">
      <c r="A443" s="21" t="s">
        <v>470</v>
      </c>
      <c r="B443" s="21" t="str">
        <f t="shared" si="42"/>
        <v>Friday</v>
      </c>
      <c r="C443" s="9">
        <f t="shared" si="43"/>
        <v>43987</v>
      </c>
      <c r="D443">
        <v>70.658501000000001</v>
      </c>
      <c r="E443">
        <v>72.252502000000007</v>
      </c>
      <c r="F443">
        <v>70.300003000000004</v>
      </c>
      <c r="G443">
        <v>71.919501999999994</v>
      </c>
      <c r="H443">
        <v>34698000</v>
      </c>
      <c r="I443">
        <f t="shared" si="44"/>
        <v>0</v>
      </c>
      <c r="J443">
        <f t="shared" si="45"/>
        <v>1.31</v>
      </c>
      <c r="K443" t="str">
        <f t="shared" si="46"/>
        <v>Positive</v>
      </c>
      <c r="L443" s="10">
        <f t="shared" si="47"/>
        <v>1.8221775228643659E-2</v>
      </c>
      <c r="M443" t="str">
        <f t="shared" si="48"/>
        <v/>
      </c>
    </row>
    <row r="444" spans="1:13" x14ac:dyDescent="0.2">
      <c r="A444" s="21" t="s">
        <v>471</v>
      </c>
      <c r="B444" s="21" t="str">
        <f t="shared" si="42"/>
        <v>Monday</v>
      </c>
      <c r="C444" s="9">
        <f t="shared" si="43"/>
        <v>43990</v>
      </c>
      <c r="D444">
        <v>71.116996999999998</v>
      </c>
      <c r="E444">
        <v>72.399497999999994</v>
      </c>
      <c r="F444">
        <v>71.116996999999998</v>
      </c>
      <c r="G444">
        <v>72.330498000000006</v>
      </c>
      <c r="H444">
        <v>28084000</v>
      </c>
      <c r="I444">
        <f t="shared" si="44"/>
        <v>0</v>
      </c>
      <c r="J444">
        <f t="shared" si="45"/>
        <v>0.41</v>
      </c>
      <c r="K444" t="str">
        <f t="shared" si="46"/>
        <v>Positive</v>
      </c>
      <c r="L444" s="10">
        <f t="shared" si="47"/>
        <v>5.6821950818036872E-3</v>
      </c>
      <c r="M444" t="str">
        <f t="shared" si="48"/>
        <v/>
      </c>
    </row>
    <row r="445" spans="1:13" x14ac:dyDescent="0.2">
      <c r="A445" s="21" t="s">
        <v>472</v>
      </c>
      <c r="B445" s="21" t="str">
        <f t="shared" si="42"/>
        <v>Tuesday</v>
      </c>
      <c r="C445" s="9">
        <f t="shared" si="43"/>
        <v>43991</v>
      </c>
      <c r="D445">
        <v>72.267998000000006</v>
      </c>
      <c r="E445">
        <v>73.400002000000001</v>
      </c>
      <c r="F445">
        <v>72.160499999999999</v>
      </c>
      <c r="G445">
        <v>72.807998999999995</v>
      </c>
      <c r="H445">
        <v>28184000</v>
      </c>
      <c r="I445">
        <f t="shared" si="44"/>
        <v>0</v>
      </c>
      <c r="J445">
        <f t="shared" si="45"/>
        <v>0.48</v>
      </c>
      <c r="K445" t="str">
        <f t="shared" si="46"/>
        <v>Positive</v>
      </c>
      <c r="L445" s="10">
        <f t="shared" si="47"/>
        <v>6.5583590616188963E-3</v>
      </c>
      <c r="M445" t="str">
        <f t="shared" si="48"/>
        <v/>
      </c>
    </row>
    <row r="446" spans="1:13" x14ac:dyDescent="0.2">
      <c r="A446" s="21" t="s">
        <v>473</v>
      </c>
      <c r="B446" s="21" t="str">
        <f t="shared" si="42"/>
        <v>Wednesday</v>
      </c>
      <c r="C446" s="9">
        <f t="shared" si="43"/>
        <v>43992</v>
      </c>
      <c r="D446">
        <v>72.976996999999997</v>
      </c>
      <c r="E446">
        <v>73.712952000000001</v>
      </c>
      <c r="F446">
        <v>72.813498999999993</v>
      </c>
      <c r="G446">
        <v>73.292502999999996</v>
      </c>
      <c r="H446">
        <v>30504000</v>
      </c>
      <c r="I446">
        <f t="shared" si="44"/>
        <v>0</v>
      </c>
      <c r="J446">
        <f t="shared" si="45"/>
        <v>0.48</v>
      </c>
      <c r="K446" t="str">
        <f t="shared" si="46"/>
        <v>Positive</v>
      </c>
      <c r="L446" s="10">
        <f t="shared" si="47"/>
        <v>6.6105533331287806E-3</v>
      </c>
      <c r="M446" t="str">
        <f t="shared" si="48"/>
        <v/>
      </c>
    </row>
    <row r="447" spans="1:13" x14ac:dyDescent="0.2">
      <c r="A447" s="21" t="s">
        <v>474</v>
      </c>
      <c r="B447" s="21" t="str">
        <f t="shared" si="42"/>
        <v>Thursday</v>
      </c>
      <c r="C447" s="9">
        <f t="shared" si="43"/>
        <v>43993</v>
      </c>
      <c r="D447">
        <v>72.124001000000007</v>
      </c>
      <c r="E447">
        <v>72.723747000000003</v>
      </c>
      <c r="F447">
        <v>70.099997999999999</v>
      </c>
      <c r="G447">
        <v>70.192001000000005</v>
      </c>
      <c r="H447">
        <v>39826000</v>
      </c>
      <c r="I447">
        <f t="shared" si="44"/>
        <v>0</v>
      </c>
      <c r="J447">
        <f t="shared" si="45"/>
        <v>-3.1</v>
      </c>
      <c r="K447" t="str">
        <f t="shared" si="46"/>
        <v>Negative</v>
      </c>
      <c r="L447" s="10">
        <f t="shared" si="47"/>
        <v>-4.4171728342663884E-2</v>
      </c>
      <c r="M447" t="str">
        <f t="shared" si="48"/>
        <v/>
      </c>
    </row>
    <row r="448" spans="1:13" x14ac:dyDescent="0.2">
      <c r="A448" s="21" t="s">
        <v>475</v>
      </c>
      <c r="B448" s="21" t="str">
        <f t="shared" si="42"/>
        <v>Friday</v>
      </c>
      <c r="C448" s="9">
        <f t="shared" si="43"/>
        <v>43994</v>
      </c>
      <c r="D448">
        <v>71.424499999999995</v>
      </c>
      <c r="E448">
        <v>71.849997999999999</v>
      </c>
      <c r="F448">
        <v>69.301002999999994</v>
      </c>
      <c r="G448">
        <v>70.658996999999999</v>
      </c>
      <c r="H448">
        <v>38928000</v>
      </c>
      <c r="I448">
        <f t="shared" si="44"/>
        <v>0</v>
      </c>
      <c r="J448">
        <f t="shared" si="45"/>
        <v>0.47</v>
      </c>
      <c r="K448" t="str">
        <f t="shared" si="46"/>
        <v>Positive</v>
      </c>
      <c r="L448" s="10">
        <f t="shared" si="47"/>
        <v>6.609151273403932E-3</v>
      </c>
      <c r="M448" t="str">
        <f t="shared" si="48"/>
        <v/>
      </c>
    </row>
    <row r="449" spans="1:13" x14ac:dyDescent="0.2">
      <c r="A449" s="21" t="s">
        <v>476</v>
      </c>
      <c r="B449" s="21" t="str">
        <f t="shared" si="42"/>
        <v>Monday</v>
      </c>
      <c r="C449" s="9">
        <f t="shared" si="43"/>
        <v>43997</v>
      </c>
      <c r="D449">
        <v>69.540001000000004</v>
      </c>
      <c r="E449">
        <v>71.239998</v>
      </c>
      <c r="F449">
        <v>69.396004000000005</v>
      </c>
      <c r="G449">
        <v>70.992500000000007</v>
      </c>
      <c r="H449">
        <v>30078000</v>
      </c>
      <c r="I449">
        <f t="shared" si="44"/>
        <v>0</v>
      </c>
      <c r="J449">
        <f t="shared" si="45"/>
        <v>0.33</v>
      </c>
      <c r="K449" t="str">
        <f t="shared" si="46"/>
        <v>Positive</v>
      </c>
      <c r="L449" s="10">
        <f t="shared" si="47"/>
        <v>4.6977215903089399E-3</v>
      </c>
      <c r="M449" t="str">
        <f t="shared" si="48"/>
        <v/>
      </c>
    </row>
    <row r="450" spans="1:13" x14ac:dyDescent="0.2">
      <c r="A450" s="21" t="s">
        <v>477</v>
      </c>
      <c r="B450" s="21" t="str">
        <f t="shared" si="42"/>
        <v>Tuesday</v>
      </c>
      <c r="C450" s="9">
        <f t="shared" si="43"/>
        <v>43998</v>
      </c>
      <c r="D450">
        <v>72.261002000000005</v>
      </c>
      <c r="E450">
        <v>72.750998999999993</v>
      </c>
      <c r="F450">
        <v>71.294998000000007</v>
      </c>
      <c r="G450">
        <v>72.136002000000005</v>
      </c>
      <c r="H450">
        <v>34184000</v>
      </c>
      <c r="I450">
        <f t="shared" si="44"/>
        <v>0</v>
      </c>
      <c r="J450">
        <f t="shared" si="45"/>
        <v>1.1399999999999999</v>
      </c>
      <c r="K450" t="str">
        <f t="shared" si="46"/>
        <v>Positive</v>
      </c>
      <c r="L450" s="10">
        <f t="shared" si="47"/>
        <v>1.5852029060329651E-2</v>
      </c>
      <c r="M450" t="str">
        <f t="shared" si="48"/>
        <v/>
      </c>
    </row>
    <row r="451" spans="1:13" x14ac:dyDescent="0.2">
      <c r="A451" s="21" t="s">
        <v>478</v>
      </c>
      <c r="B451" s="21" t="str">
        <f t="shared" ref="B451:B514" si="49">LEFT(A451,SEARCH(",",A451)-1)</f>
        <v>Wednesday</v>
      </c>
      <c r="C451" s="9">
        <f t="shared" ref="C451:C514" si="50">DATEVALUE(RIGHT(A451,LEN(A451) - SEARCH(",",A451)))</f>
        <v>43999</v>
      </c>
      <c r="D451">
        <v>72.358001999999999</v>
      </c>
      <c r="E451">
        <v>73</v>
      </c>
      <c r="F451">
        <v>71.569000000000003</v>
      </c>
      <c r="G451">
        <v>72.555999999999997</v>
      </c>
      <c r="H451">
        <v>30992000</v>
      </c>
      <c r="I451">
        <f t="shared" ref="I451:I514" si="51">COUNTBLANK(A451:H451)</f>
        <v>0</v>
      </c>
      <c r="J451">
        <f t="shared" ref="J451:J514" si="52">ROUND(IF(ISNUMBER(G450),G451-G450,0),2)</f>
        <v>0.42</v>
      </c>
      <c r="K451" t="str">
        <f t="shared" ref="K451:K514" si="53">IF(J451=0,"Neutral",IF(J451&gt;0,"Positive","Negative"))</f>
        <v>Positive</v>
      </c>
      <c r="L451" s="10">
        <f t="shared" ref="L451:L514" si="54">IF(ISNUMBER(G450),((G451-G450)/G451),0)</f>
        <v>5.7886046639835792E-3</v>
      </c>
      <c r="M451" t="str">
        <f t="shared" ref="M451:M514" si="55">IF(L451&gt;0.05,L451,"")</f>
        <v/>
      </c>
    </row>
    <row r="452" spans="1:13" x14ac:dyDescent="0.2">
      <c r="A452" s="21" t="s">
        <v>479</v>
      </c>
      <c r="B452" s="21" t="str">
        <f t="shared" si="49"/>
        <v>Thursday</v>
      </c>
      <c r="C452" s="9">
        <f t="shared" si="50"/>
        <v>44000</v>
      </c>
      <c r="D452">
        <v>72.457999999999998</v>
      </c>
      <c r="E452">
        <v>72.570503000000002</v>
      </c>
      <c r="F452">
        <v>71.350502000000006</v>
      </c>
      <c r="G452">
        <v>71.797996999999995</v>
      </c>
      <c r="H452">
        <v>31638000</v>
      </c>
      <c r="I452">
        <f t="shared" si="51"/>
        <v>0</v>
      </c>
      <c r="J452">
        <f t="shared" si="52"/>
        <v>-0.76</v>
      </c>
      <c r="K452" t="str">
        <f t="shared" si="53"/>
        <v>Negative</v>
      </c>
      <c r="L452" s="10">
        <f t="shared" si="54"/>
        <v>-1.0557439367006328E-2</v>
      </c>
      <c r="M452" t="str">
        <f t="shared" si="55"/>
        <v/>
      </c>
    </row>
    <row r="453" spans="1:13" x14ac:dyDescent="0.2">
      <c r="A453" s="21" t="s">
        <v>480</v>
      </c>
      <c r="B453" s="21" t="str">
        <f t="shared" si="49"/>
        <v>Friday</v>
      </c>
      <c r="C453" s="9">
        <f t="shared" si="50"/>
        <v>44001</v>
      </c>
      <c r="D453">
        <v>72.199996999999996</v>
      </c>
      <c r="E453">
        <v>72.389999000000003</v>
      </c>
      <c r="F453">
        <v>71.067497000000003</v>
      </c>
      <c r="G453">
        <v>71.585999000000001</v>
      </c>
      <c r="H453">
        <v>63158000</v>
      </c>
      <c r="I453">
        <f t="shared" si="51"/>
        <v>0</v>
      </c>
      <c r="J453">
        <f t="shared" si="52"/>
        <v>-0.21</v>
      </c>
      <c r="K453" t="str">
        <f t="shared" si="53"/>
        <v>Negative</v>
      </c>
      <c r="L453" s="10">
        <f t="shared" si="54"/>
        <v>-2.9614450166434657E-3</v>
      </c>
      <c r="M453" t="str">
        <f t="shared" si="55"/>
        <v/>
      </c>
    </row>
    <row r="454" spans="1:13" x14ac:dyDescent="0.2">
      <c r="A454" s="21" t="s">
        <v>481</v>
      </c>
      <c r="B454" s="21" t="str">
        <f t="shared" si="49"/>
        <v>Monday</v>
      </c>
      <c r="C454" s="9">
        <f t="shared" si="50"/>
        <v>44004</v>
      </c>
      <c r="D454">
        <v>71.449996999999996</v>
      </c>
      <c r="E454">
        <v>72.637496999999996</v>
      </c>
      <c r="F454">
        <v>71.160499999999999</v>
      </c>
      <c r="G454">
        <v>72.593001999999998</v>
      </c>
      <c r="H454">
        <v>30848000</v>
      </c>
      <c r="I454">
        <f t="shared" si="51"/>
        <v>0</v>
      </c>
      <c r="J454">
        <f t="shared" si="52"/>
        <v>1.01</v>
      </c>
      <c r="K454" t="str">
        <f t="shared" si="53"/>
        <v>Positive</v>
      </c>
      <c r="L454" s="10">
        <f t="shared" si="54"/>
        <v>1.387190186734525E-2</v>
      </c>
      <c r="M454" t="str">
        <f t="shared" si="55"/>
        <v/>
      </c>
    </row>
    <row r="455" spans="1:13" x14ac:dyDescent="0.2">
      <c r="A455" s="21" t="s">
        <v>482</v>
      </c>
      <c r="B455" s="21" t="str">
        <f t="shared" si="49"/>
        <v>Tuesday</v>
      </c>
      <c r="C455" s="9">
        <f t="shared" si="50"/>
        <v>44005</v>
      </c>
      <c r="D455">
        <v>72.781998000000002</v>
      </c>
      <c r="E455">
        <v>73.797049999999999</v>
      </c>
      <c r="F455">
        <v>72.262000999999998</v>
      </c>
      <c r="G455">
        <v>73.220496999999995</v>
      </c>
      <c r="H455">
        <v>28596000</v>
      </c>
      <c r="I455">
        <f t="shared" si="51"/>
        <v>0</v>
      </c>
      <c r="J455">
        <f t="shared" si="52"/>
        <v>0.63</v>
      </c>
      <c r="K455" t="str">
        <f t="shared" si="53"/>
        <v>Positive</v>
      </c>
      <c r="L455" s="10">
        <f t="shared" si="54"/>
        <v>8.5699363663155163E-3</v>
      </c>
      <c r="M455" t="str">
        <f t="shared" si="55"/>
        <v/>
      </c>
    </row>
    <row r="456" spans="1:13" x14ac:dyDescent="0.2">
      <c r="A456" s="21" t="s">
        <v>483</v>
      </c>
      <c r="B456" s="21" t="str">
        <f t="shared" si="49"/>
        <v>Wednesday</v>
      </c>
      <c r="C456" s="9">
        <f t="shared" si="50"/>
        <v>44006</v>
      </c>
      <c r="D456">
        <v>73.075500000000005</v>
      </c>
      <c r="E456">
        <v>73.771004000000005</v>
      </c>
      <c r="F456">
        <v>71.487503000000004</v>
      </c>
      <c r="G456">
        <v>71.598502999999994</v>
      </c>
      <c r="H456">
        <v>35120000</v>
      </c>
      <c r="I456">
        <f t="shared" si="51"/>
        <v>0</v>
      </c>
      <c r="J456">
        <f t="shared" si="52"/>
        <v>-1.62</v>
      </c>
      <c r="K456" t="str">
        <f t="shared" si="53"/>
        <v>Negative</v>
      </c>
      <c r="L456" s="10">
        <f t="shared" si="54"/>
        <v>-2.2654021132257486E-2</v>
      </c>
      <c r="M456" t="str">
        <f t="shared" si="55"/>
        <v/>
      </c>
    </row>
    <row r="457" spans="1:13" x14ac:dyDescent="0.2">
      <c r="A457" s="21" t="s">
        <v>484</v>
      </c>
      <c r="B457" s="21" t="str">
        <f t="shared" si="49"/>
        <v>Thursday</v>
      </c>
      <c r="C457" s="9">
        <f t="shared" si="50"/>
        <v>44007</v>
      </c>
      <c r="D457">
        <v>71.495002999999997</v>
      </c>
      <c r="E457">
        <v>72.144997000000004</v>
      </c>
      <c r="F457">
        <v>71</v>
      </c>
      <c r="G457">
        <v>72.066497999999996</v>
      </c>
      <c r="H457">
        <v>24610000</v>
      </c>
      <c r="I457">
        <f t="shared" si="51"/>
        <v>0</v>
      </c>
      <c r="J457">
        <f t="shared" si="52"/>
        <v>0.47</v>
      </c>
      <c r="K457" t="str">
        <f t="shared" si="53"/>
        <v>Positive</v>
      </c>
      <c r="L457" s="10">
        <f t="shared" si="54"/>
        <v>6.4939328673914746E-3</v>
      </c>
      <c r="M457" t="str">
        <f t="shared" si="55"/>
        <v/>
      </c>
    </row>
    <row r="458" spans="1:13" x14ac:dyDescent="0.2">
      <c r="A458" s="21" t="s">
        <v>485</v>
      </c>
      <c r="B458" s="21" t="str">
        <f t="shared" si="49"/>
        <v>Friday</v>
      </c>
      <c r="C458" s="9">
        <f t="shared" si="50"/>
        <v>44008</v>
      </c>
      <c r="D458">
        <v>71.569503999999995</v>
      </c>
      <c r="E458">
        <v>71.672500999999997</v>
      </c>
      <c r="F458">
        <v>67.599502999999999</v>
      </c>
      <c r="G458">
        <v>67.995002999999997</v>
      </c>
      <c r="H458">
        <v>85354000</v>
      </c>
      <c r="I458">
        <f t="shared" si="51"/>
        <v>0</v>
      </c>
      <c r="J458">
        <f t="shared" si="52"/>
        <v>-4.07</v>
      </c>
      <c r="K458" t="str">
        <f t="shared" si="53"/>
        <v>Negative</v>
      </c>
      <c r="L458" s="10">
        <f t="shared" si="54"/>
        <v>-5.9879326720523846E-2</v>
      </c>
      <c r="M458" t="str">
        <f t="shared" si="55"/>
        <v/>
      </c>
    </row>
    <row r="459" spans="1:13" x14ac:dyDescent="0.2">
      <c r="A459" s="21" t="s">
        <v>486</v>
      </c>
      <c r="B459" s="21" t="str">
        <f t="shared" si="49"/>
        <v>Monday</v>
      </c>
      <c r="C459" s="9">
        <f t="shared" si="50"/>
        <v>44011</v>
      </c>
      <c r="D459">
        <v>67.908996999999999</v>
      </c>
      <c r="E459">
        <v>69.779999000000004</v>
      </c>
      <c r="F459">
        <v>67.350502000000006</v>
      </c>
      <c r="G459">
        <v>69.748497</v>
      </c>
      <c r="H459">
        <v>36204000</v>
      </c>
      <c r="I459">
        <f t="shared" si="51"/>
        <v>0</v>
      </c>
      <c r="J459">
        <f t="shared" si="52"/>
        <v>1.75</v>
      </c>
      <c r="K459" t="str">
        <f t="shared" si="53"/>
        <v>Positive</v>
      </c>
      <c r="L459" s="10">
        <f t="shared" si="54"/>
        <v>2.5140240656368603E-2</v>
      </c>
      <c r="M459" t="str">
        <f t="shared" si="55"/>
        <v/>
      </c>
    </row>
    <row r="460" spans="1:13" x14ac:dyDescent="0.2">
      <c r="A460" s="21" t="s">
        <v>487</v>
      </c>
      <c r="B460" s="21" t="str">
        <f t="shared" si="49"/>
        <v>Tuesday</v>
      </c>
      <c r="C460" s="9">
        <f t="shared" si="50"/>
        <v>44012</v>
      </c>
      <c r="D460">
        <v>69.522002999999998</v>
      </c>
      <c r="E460">
        <v>70.932502999999997</v>
      </c>
      <c r="F460">
        <v>69.197997999999998</v>
      </c>
      <c r="G460">
        <v>70.680496000000005</v>
      </c>
      <c r="H460">
        <v>40848000</v>
      </c>
      <c r="I460">
        <f t="shared" si="51"/>
        <v>0</v>
      </c>
      <c r="J460">
        <f t="shared" si="52"/>
        <v>0.93</v>
      </c>
      <c r="K460" t="str">
        <f t="shared" si="53"/>
        <v>Positive</v>
      </c>
      <c r="L460" s="10">
        <f t="shared" si="54"/>
        <v>1.3186084602462391E-2</v>
      </c>
      <c r="M460" t="str">
        <f t="shared" si="55"/>
        <v/>
      </c>
    </row>
    <row r="461" spans="1:13" x14ac:dyDescent="0.2">
      <c r="A461" s="21" t="s">
        <v>488</v>
      </c>
      <c r="B461" s="21" t="str">
        <f t="shared" si="49"/>
        <v>Wednesday</v>
      </c>
      <c r="C461" s="9">
        <f t="shared" si="50"/>
        <v>44013</v>
      </c>
      <c r="D461">
        <v>70.555000000000007</v>
      </c>
      <c r="E461">
        <v>72.150002000000001</v>
      </c>
      <c r="F461">
        <v>70.490996999999993</v>
      </c>
      <c r="G461">
        <v>71.902000000000001</v>
      </c>
      <c r="H461">
        <v>35504000</v>
      </c>
      <c r="I461">
        <f t="shared" si="51"/>
        <v>0</v>
      </c>
      <c r="J461">
        <f t="shared" si="52"/>
        <v>1.22</v>
      </c>
      <c r="K461" t="str">
        <f t="shared" si="53"/>
        <v>Positive</v>
      </c>
      <c r="L461" s="10">
        <f t="shared" si="54"/>
        <v>1.6988456510250004E-2</v>
      </c>
      <c r="M461" t="str">
        <f t="shared" si="55"/>
        <v/>
      </c>
    </row>
    <row r="462" spans="1:13" x14ac:dyDescent="0.2">
      <c r="A462" s="21" t="s">
        <v>489</v>
      </c>
      <c r="B462" s="21" t="str">
        <f t="shared" si="49"/>
        <v>Thursday</v>
      </c>
      <c r="C462" s="9">
        <f t="shared" si="50"/>
        <v>44014</v>
      </c>
      <c r="D462">
        <v>72.346999999999994</v>
      </c>
      <c r="E462">
        <v>74.147498999999996</v>
      </c>
      <c r="F462">
        <v>72.320999</v>
      </c>
      <c r="G462">
        <v>73.235000999999997</v>
      </c>
      <c r="H462">
        <v>37182000</v>
      </c>
      <c r="I462">
        <f t="shared" si="51"/>
        <v>0</v>
      </c>
      <c r="J462">
        <f t="shared" si="52"/>
        <v>1.33</v>
      </c>
      <c r="K462" t="str">
        <f t="shared" si="53"/>
        <v>Positive</v>
      </c>
      <c r="L462" s="10">
        <f t="shared" si="54"/>
        <v>1.8201692930952456E-2</v>
      </c>
      <c r="M462" t="str">
        <f t="shared" si="55"/>
        <v/>
      </c>
    </row>
    <row r="463" spans="1:13" x14ac:dyDescent="0.2">
      <c r="A463" s="21" t="s">
        <v>490</v>
      </c>
      <c r="B463" s="21" t="str">
        <f t="shared" si="49"/>
        <v>Monday</v>
      </c>
      <c r="C463" s="9">
        <f t="shared" si="50"/>
        <v>44018</v>
      </c>
      <c r="D463">
        <v>74.002998000000005</v>
      </c>
      <c r="E463">
        <v>75.329498000000001</v>
      </c>
      <c r="F463">
        <v>73.642998000000006</v>
      </c>
      <c r="G463">
        <v>74.785004000000001</v>
      </c>
      <c r="H463">
        <v>31280000</v>
      </c>
      <c r="I463">
        <f t="shared" si="51"/>
        <v>0</v>
      </c>
      <c r="J463">
        <f t="shared" si="52"/>
        <v>1.55</v>
      </c>
      <c r="K463" t="str">
        <f t="shared" si="53"/>
        <v>Positive</v>
      </c>
      <c r="L463" s="10">
        <f t="shared" si="54"/>
        <v>2.0726120439867914E-2</v>
      </c>
      <c r="M463" t="str">
        <f t="shared" si="55"/>
        <v/>
      </c>
    </row>
    <row r="464" spans="1:13" x14ac:dyDescent="0.2">
      <c r="A464" s="21" t="s">
        <v>491</v>
      </c>
      <c r="B464" s="21" t="str">
        <f t="shared" si="49"/>
        <v>Tuesday</v>
      </c>
      <c r="C464" s="9">
        <f t="shared" si="50"/>
        <v>44019</v>
      </c>
      <c r="D464">
        <v>74.5</v>
      </c>
      <c r="E464">
        <v>75.839995999999999</v>
      </c>
      <c r="F464">
        <v>74.177498</v>
      </c>
      <c r="G464">
        <v>74.259003000000007</v>
      </c>
      <c r="H464">
        <v>29164000</v>
      </c>
      <c r="I464">
        <f t="shared" si="51"/>
        <v>0</v>
      </c>
      <c r="J464">
        <f t="shared" si="52"/>
        <v>-0.53</v>
      </c>
      <c r="K464" t="str">
        <f t="shared" si="53"/>
        <v>Negative</v>
      </c>
      <c r="L464" s="10">
        <f t="shared" si="54"/>
        <v>-7.0833296805775008E-3</v>
      </c>
      <c r="M464" t="str">
        <f t="shared" si="55"/>
        <v/>
      </c>
    </row>
    <row r="465" spans="1:13" x14ac:dyDescent="0.2">
      <c r="A465" s="21" t="s">
        <v>492</v>
      </c>
      <c r="B465" s="21" t="str">
        <f t="shared" si="49"/>
        <v>Wednesday</v>
      </c>
      <c r="C465" s="9">
        <f t="shared" si="50"/>
        <v>44020</v>
      </c>
      <c r="D465">
        <v>74.716003000000001</v>
      </c>
      <c r="E465">
        <v>75.293998999999999</v>
      </c>
      <c r="F465">
        <v>74.281502000000003</v>
      </c>
      <c r="G465">
        <v>74.800003000000004</v>
      </c>
      <c r="H465">
        <v>24994000</v>
      </c>
      <c r="I465">
        <f t="shared" si="51"/>
        <v>0</v>
      </c>
      <c r="J465">
        <f t="shared" si="52"/>
        <v>0.54</v>
      </c>
      <c r="K465" t="str">
        <f t="shared" si="53"/>
        <v>Positive</v>
      </c>
      <c r="L465" s="10">
        <f t="shared" si="54"/>
        <v>7.2326200307772284E-3</v>
      </c>
      <c r="M465" t="str">
        <f t="shared" si="55"/>
        <v/>
      </c>
    </row>
    <row r="466" spans="1:13" x14ac:dyDescent="0.2">
      <c r="A466" s="21" t="s">
        <v>493</v>
      </c>
      <c r="B466" s="21" t="str">
        <f t="shared" si="49"/>
        <v>Thursday</v>
      </c>
      <c r="C466" s="9">
        <f t="shared" si="50"/>
        <v>44021</v>
      </c>
      <c r="D466">
        <v>75.322502</v>
      </c>
      <c r="E466">
        <v>76.136002000000005</v>
      </c>
      <c r="F466">
        <v>74.404251000000002</v>
      </c>
      <c r="G466">
        <v>75.549499999999995</v>
      </c>
      <c r="H466">
        <v>28466000</v>
      </c>
      <c r="I466">
        <f t="shared" si="51"/>
        <v>0</v>
      </c>
      <c r="J466">
        <f t="shared" si="52"/>
        <v>0.75</v>
      </c>
      <c r="K466" t="str">
        <f t="shared" si="53"/>
        <v>Positive</v>
      </c>
      <c r="L466" s="10">
        <f t="shared" si="54"/>
        <v>9.9206083428744207E-3</v>
      </c>
      <c r="M466" t="str">
        <f t="shared" si="55"/>
        <v/>
      </c>
    </row>
    <row r="467" spans="1:13" x14ac:dyDescent="0.2">
      <c r="A467" s="21" t="s">
        <v>494</v>
      </c>
      <c r="B467" s="21" t="str">
        <f t="shared" si="49"/>
        <v>Friday</v>
      </c>
      <c r="C467" s="9">
        <f t="shared" si="50"/>
        <v>44022</v>
      </c>
      <c r="D467">
        <v>75.307502999999997</v>
      </c>
      <c r="E467">
        <v>77.191497999999996</v>
      </c>
      <c r="F467">
        <v>74.827003000000005</v>
      </c>
      <c r="G467">
        <v>77.086997999999994</v>
      </c>
      <c r="H467">
        <v>37126000</v>
      </c>
      <c r="I467">
        <f t="shared" si="51"/>
        <v>0</v>
      </c>
      <c r="J467">
        <f t="shared" si="52"/>
        <v>1.54</v>
      </c>
      <c r="K467" t="str">
        <f t="shared" si="53"/>
        <v>Positive</v>
      </c>
      <c r="L467" s="10">
        <f t="shared" si="54"/>
        <v>1.9944971783698199E-2</v>
      </c>
      <c r="M467" t="str">
        <f t="shared" si="55"/>
        <v/>
      </c>
    </row>
    <row r="468" spans="1:13" x14ac:dyDescent="0.2">
      <c r="A468" s="21" t="s">
        <v>495</v>
      </c>
      <c r="B468" s="21" t="str">
        <f t="shared" si="49"/>
        <v>Monday</v>
      </c>
      <c r="C468" s="9">
        <f t="shared" si="50"/>
        <v>44025</v>
      </c>
      <c r="D468">
        <v>77.5</v>
      </c>
      <c r="E468">
        <v>78.856598000000005</v>
      </c>
      <c r="F468">
        <v>75.262153999999995</v>
      </c>
      <c r="G468">
        <v>75.567001000000005</v>
      </c>
      <c r="H468">
        <v>36928000</v>
      </c>
      <c r="I468">
        <f t="shared" si="51"/>
        <v>0</v>
      </c>
      <c r="J468">
        <f t="shared" si="52"/>
        <v>-1.52</v>
      </c>
      <c r="K468" t="str">
        <f t="shared" si="53"/>
        <v>Negative</v>
      </c>
      <c r="L468" s="10">
        <f t="shared" si="54"/>
        <v>-2.011456032243478E-2</v>
      </c>
      <c r="M468" t="str">
        <f t="shared" si="55"/>
        <v/>
      </c>
    </row>
    <row r="469" spans="1:13" x14ac:dyDescent="0.2">
      <c r="A469" s="21" t="s">
        <v>496</v>
      </c>
      <c r="B469" s="21" t="str">
        <f t="shared" si="49"/>
        <v>Tuesday</v>
      </c>
      <c r="C469" s="9">
        <f t="shared" si="50"/>
        <v>44026</v>
      </c>
      <c r="D469">
        <v>74.515502999999995</v>
      </c>
      <c r="E469">
        <v>76.147498999999996</v>
      </c>
      <c r="F469">
        <v>74.175003000000004</v>
      </c>
      <c r="G469">
        <v>76.028998999999999</v>
      </c>
      <c r="H469">
        <v>31700000</v>
      </c>
      <c r="I469">
        <f t="shared" si="51"/>
        <v>0</v>
      </c>
      <c r="J469">
        <f t="shared" si="52"/>
        <v>0.46</v>
      </c>
      <c r="K469" t="str">
        <f t="shared" si="53"/>
        <v>Positive</v>
      </c>
      <c r="L469" s="10">
        <f t="shared" si="54"/>
        <v>6.0766024290283523E-3</v>
      </c>
      <c r="M469" t="str">
        <f t="shared" si="55"/>
        <v/>
      </c>
    </row>
    <row r="470" spans="1:13" x14ac:dyDescent="0.2">
      <c r="A470" s="21" t="s">
        <v>497</v>
      </c>
      <c r="B470" s="21" t="str">
        <f t="shared" si="49"/>
        <v>Wednesday</v>
      </c>
      <c r="C470" s="9">
        <f t="shared" si="50"/>
        <v>44027</v>
      </c>
      <c r="D470">
        <v>76.156502000000003</v>
      </c>
      <c r="E470">
        <v>76.766502000000003</v>
      </c>
      <c r="F470">
        <v>74.900002000000001</v>
      </c>
      <c r="G470">
        <v>75.681999000000005</v>
      </c>
      <c r="H470">
        <v>32214000</v>
      </c>
      <c r="I470">
        <f t="shared" si="51"/>
        <v>0</v>
      </c>
      <c r="J470">
        <f t="shared" si="52"/>
        <v>-0.35</v>
      </c>
      <c r="K470" t="str">
        <f t="shared" si="53"/>
        <v>Negative</v>
      </c>
      <c r="L470" s="10">
        <f t="shared" si="54"/>
        <v>-4.5849740306145217E-3</v>
      </c>
      <c r="M470" t="str">
        <f t="shared" si="55"/>
        <v/>
      </c>
    </row>
    <row r="471" spans="1:13" x14ac:dyDescent="0.2">
      <c r="A471" s="21" t="s">
        <v>498</v>
      </c>
      <c r="B471" s="21" t="str">
        <f t="shared" si="49"/>
        <v>Thursday</v>
      </c>
      <c r="C471" s="9">
        <f t="shared" si="50"/>
        <v>44028</v>
      </c>
      <c r="D471">
        <v>75</v>
      </c>
      <c r="E471">
        <v>75.934501999999995</v>
      </c>
      <c r="F471">
        <v>74.315498000000005</v>
      </c>
      <c r="G471">
        <v>75.900002000000001</v>
      </c>
      <c r="H471">
        <v>30386000</v>
      </c>
      <c r="I471">
        <f t="shared" si="51"/>
        <v>0</v>
      </c>
      <c r="J471">
        <f t="shared" si="52"/>
        <v>0.22</v>
      </c>
      <c r="K471" t="str">
        <f t="shared" si="53"/>
        <v>Positive</v>
      </c>
      <c r="L471" s="10">
        <f t="shared" si="54"/>
        <v>2.8722397135114166E-3</v>
      </c>
      <c r="M471" t="str">
        <f t="shared" si="55"/>
        <v/>
      </c>
    </row>
    <row r="472" spans="1:13" x14ac:dyDescent="0.2">
      <c r="A472" s="21" t="s">
        <v>499</v>
      </c>
      <c r="B472" s="21" t="str">
        <f t="shared" si="49"/>
        <v>Friday</v>
      </c>
      <c r="C472" s="9">
        <f t="shared" si="50"/>
        <v>44029</v>
      </c>
      <c r="D472">
        <v>76.081001000000001</v>
      </c>
      <c r="E472">
        <v>76.171997000000005</v>
      </c>
      <c r="F472">
        <v>74.920997999999997</v>
      </c>
      <c r="G472">
        <v>75.777495999999999</v>
      </c>
      <c r="H472">
        <v>29134000</v>
      </c>
      <c r="I472">
        <f t="shared" si="51"/>
        <v>0</v>
      </c>
      <c r="J472">
        <f t="shared" si="52"/>
        <v>-0.12</v>
      </c>
      <c r="K472" t="str">
        <f t="shared" si="53"/>
        <v>Negative</v>
      </c>
      <c r="L472" s="10">
        <f t="shared" si="54"/>
        <v>-1.6166541053296527E-3</v>
      </c>
      <c r="M472" t="str">
        <f t="shared" si="55"/>
        <v/>
      </c>
    </row>
    <row r="473" spans="1:13" x14ac:dyDescent="0.2">
      <c r="A473" s="21" t="s">
        <v>500</v>
      </c>
      <c r="B473" s="21" t="str">
        <f t="shared" si="49"/>
        <v>Monday</v>
      </c>
      <c r="C473" s="9">
        <f t="shared" si="50"/>
        <v>44032</v>
      </c>
      <c r="D473">
        <v>75.763000000000005</v>
      </c>
      <c r="E473">
        <v>78.514503000000005</v>
      </c>
      <c r="F473">
        <v>75.180000000000007</v>
      </c>
      <c r="G473">
        <v>78.286002999999994</v>
      </c>
      <c r="H473">
        <v>31146000</v>
      </c>
      <c r="I473">
        <f t="shared" si="51"/>
        <v>0</v>
      </c>
      <c r="J473">
        <f t="shared" si="52"/>
        <v>2.5099999999999998</v>
      </c>
      <c r="K473" t="str">
        <f t="shared" si="53"/>
        <v>Positive</v>
      </c>
      <c r="L473" s="10">
        <f t="shared" si="54"/>
        <v>3.2042854455093264E-2</v>
      </c>
      <c r="M473" t="str">
        <f t="shared" si="55"/>
        <v/>
      </c>
    </row>
    <row r="474" spans="1:13" x14ac:dyDescent="0.2">
      <c r="A474" s="21" t="s">
        <v>501</v>
      </c>
      <c r="B474" s="21" t="str">
        <f t="shared" si="49"/>
        <v>Tuesday</v>
      </c>
      <c r="C474" s="9">
        <f t="shared" si="50"/>
        <v>44033</v>
      </c>
      <c r="D474">
        <v>79.349502999999999</v>
      </c>
      <c r="E474">
        <v>79.349502999999999</v>
      </c>
      <c r="F474">
        <v>77.713997000000006</v>
      </c>
      <c r="G474">
        <v>77.920997999999997</v>
      </c>
      <c r="H474">
        <v>24324000</v>
      </c>
      <c r="I474">
        <f t="shared" si="51"/>
        <v>0</v>
      </c>
      <c r="J474">
        <f t="shared" si="52"/>
        <v>-0.37</v>
      </c>
      <c r="K474" t="str">
        <f t="shared" si="53"/>
        <v>Negative</v>
      </c>
      <c r="L474" s="10">
        <f t="shared" si="54"/>
        <v>-4.6842957529881291E-3</v>
      </c>
      <c r="M474" t="str">
        <f t="shared" si="55"/>
        <v/>
      </c>
    </row>
    <row r="475" spans="1:13" x14ac:dyDescent="0.2">
      <c r="A475" s="21" t="s">
        <v>502</v>
      </c>
      <c r="B475" s="21" t="str">
        <f t="shared" si="49"/>
        <v>Wednesday</v>
      </c>
      <c r="C475" s="9">
        <f t="shared" si="50"/>
        <v>44034</v>
      </c>
      <c r="D475">
        <v>78.025002000000001</v>
      </c>
      <c r="E475">
        <v>78.5</v>
      </c>
      <c r="F475">
        <v>77.305000000000007</v>
      </c>
      <c r="G475">
        <v>78.424499999999995</v>
      </c>
      <c r="H475">
        <v>18640000</v>
      </c>
      <c r="I475">
        <f t="shared" si="51"/>
        <v>0</v>
      </c>
      <c r="J475">
        <f t="shared" si="52"/>
        <v>0.5</v>
      </c>
      <c r="K475" t="str">
        <f t="shared" si="53"/>
        <v>Positive</v>
      </c>
      <c r="L475" s="10">
        <f t="shared" si="54"/>
        <v>6.4202130711703293E-3</v>
      </c>
      <c r="M475" t="str">
        <f t="shared" si="55"/>
        <v/>
      </c>
    </row>
    <row r="476" spans="1:13" x14ac:dyDescent="0.2">
      <c r="A476" s="21" t="s">
        <v>503</v>
      </c>
      <c r="B476" s="21" t="str">
        <f t="shared" si="49"/>
        <v>Thursday</v>
      </c>
      <c r="C476" s="9">
        <f t="shared" si="50"/>
        <v>44035</v>
      </c>
      <c r="D476">
        <v>78.348502999999994</v>
      </c>
      <c r="E476">
        <v>78.593497999999997</v>
      </c>
      <c r="F476">
        <v>75.369597999999996</v>
      </c>
      <c r="G476">
        <v>75.783996999999999</v>
      </c>
      <c r="H476">
        <v>32552000</v>
      </c>
      <c r="I476">
        <f t="shared" si="51"/>
        <v>0</v>
      </c>
      <c r="J476">
        <f t="shared" si="52"/>
        <v>-2.64</v>
      </c>
      <c r="K476" t="str">
        <f t="shared" si="53"/>
        <v>Negative</v>
      </c>
      <c r="L476" s="10">
        <f t="shared" si="54"/>
        <v>-3.4842487919975976E-2</v>
      </c>
      <c r="M476" t="str">
        <f t="shared" si="55"/>
        <v/>
      </c>
    </row>
    <row r="477" spans="1:13" x14ac:dyDescent="0.2">
      <c r="A477" s="21" t="s">
        <v>504</v>
      </c>
      <c r="B477" s="21" t="str">
        <f t="shared" si="49"/>
        <v>Friday</v>
      </c>
      <c r="C477" s="9">
        <f t="shared" si="50"/>
        <v>44036</v>
      </c>
      <c r="D477">
        <v>74.946503000000007</v>
      </c>
      <c r="E477">
        <v>75.881798000000003</v>
      </c>
      <c r="F477">
        <v>74.419998000000007</v>
      </c>
      <c r="G477">
        <v>75.593497999999997</v>
      </c>
      <c r="H477">
        <v>30880000</v>
      </c>
      <c r="I477">
        <f t="shared" si="51"/>
        <v>0</v>
      </c>
      <c r="J477">
        <f t="shared" si="52"/>
        <v>-0.19</v>
      </c>
      <c r="K477" t="str">
        <f t="shared" si="53"/>
        <v>Negative</v>
      </c>
      <c r="L477" s="10">
        <f t="shared" si="54"/>
        <v>-2.5200447795126857E-3</v>
      </c>
      <c r="M477" t="str">
        <f t="shared" si="55"/>
        <v/>
      </c>
    </row>
    <row r="478" spans="1:13" x14ac:dyDescent="0.2">
      <c r="A478" s="21" t="s">
        <v>505</v>
      </c>
      <c r="B478" s="21" t="str">
        <f t="shared" si="49"/>
        <v>Monday</v>
      </c>
      <c r="C478" s="9">
        <f t="shared" si="50"/>
        <v>44039</v>
      </c>
      <c r="D478">
        <v>75.779999000000004</v>
      </c>
      <c r="E478">
        <v>77.048500000000004</v>
      </c>
      <c r="F478">
        <v>75.760497999999998</v>
      </c>
      <c r="G478">
        <v>76.510002</v>
      </c>
      <c r="H478">
        <v>24920000</v>
      </c>
      <c r="I478">
        <f t="shared" si="51"/>
        <v>0</v>
      </c>
      <c r="J478">
        <f t="shared" si="52"/>
        <v>0.92</v>
      </c>
      <c r="K478" t="str">
        <f t="shared" si="53"/>
        <v>Positive</v>
      </c>
      <c r="L478" s="10">
        <f t="shared" si="54"/>
        <v>1.1978878264831353E-2</v>
      </c>
      <c r="M478" t="str">
        <f t="shared" si="55"/>
        <v/>
      </c>
    </row>
    <row r="479" spans="1:13" x14ac:dyDescent="0.2">
      <c r="A479" s="21" t="s">
        <v>506</v>
      </c>
      <c r="B479" s="21" t="str">
        <f t="shared" si="49"/>
        <v>Tuesday</v>
      </c>
      <c r="C479" s="9">
        <f t="shared" si="50"/>
        <v>44040</v>
      </c>
      <c r="D479">
        <v>76.259003000000007</v>
      </c>
      <c r="E479">
        <v>76.323997000000006</v>
      </c>
      <c r="F479">
        <v>74.883003000000002</v>
      </c>
      <c r="G479">
        <v>75.016998000000001</v>
      </c>
      <c r="H479">
        <v>34044000</v>
      </c>
      <c r="I479">
        <f t="shared" si="51"/>
        <v>0</v>
      </c>
      <c r="J479">
        <f t="shared" si="52"/>
        <v>-1.49</v>
      </c>
      <c r="K479" t="str">
        <f t="shared" si="53"/>
        <v>Negative</v>
      </c>
      <c r="L479" s="10">
        <f t="shared" si="54"/>
        <v>-1.9902209363269897E-2</v>
      </c>
      <c r="M479" t="str">
        <f t="shared" si="55"/>
        <v/>
      </c>
    </row>
    <row r="480" spans="1:13" x14ac:dyDescent="0.2">
      <c r="A480" s="21" t="s">
        <v>507</v>
      </c>
      <c r="B480" s="21" t="str">
        <f t="shared" si="49"/>
        <v>Wednesday</v>
      </c>
      <c r="C480" s="9">
        <f t="shared" si="50"/>
        <v>44041</v>
      </c>
      <c r="D480">
        <v>75.316001999999997</v>
      </c>
      <c r="E480">
        <v>76.562599000000006</v>
      </c>
      <c r="F480">
        <v>75.066497999999996</v>
      </c>
      <c r="G480">
        <v>76.100998000000004</v>
      </c>
      <c r="H480">
        <v>22130000</v>
      </c>
      <c r="I480">
        <f t="shared" si="51"/>
        <v>0</v>
      </c>
      <c r="J480">
        <f t="shared" si="52"/>
        <v>1.08</v>
      </c>
      <c r="K480" t="str">
        <f t="shared" si="53"/>
        <v>Positive</v>
      </c>
      <c r="L480" s="10">
        <f t="shared" si="54"/>
        <v>1.4244228439684892E-2</v>
      </c>
      <c r="M480" t="str">
        <f t="shared" si="55"/>
        <v/>
      </c>
    </row>
    <row r="481" spans="1:13" x14ac:dyDescent="0.2">
      <c r="A481" s="21" t="s">
        <v>508</v>
      </c>
      <c r="B481" s="21" t="str">
        <f t="shared" si="49"/>
        <v>Thursday</v>
      </c>
      <c r="C481" s="9">
        <f t="shared" si="50"/>
        <v>44042</v>
      </c>
      <c r="D481">
        <v>74.849997999999999</v>
      </c>
      <c r="E481">
        <v>76.893501000000001</v>
      </c>
      <c r="F481">
        <v>74.611000000000004</v>
      </c>
      <c r="G481">
        <v>76.572502</v>
      </c>
      <c r="H481">
        <v>33428000</v>
      </c>
      <c r="I481">
        <f t="shared" si="51"/>
        <v>0</v>
      </c>
      <c r="J481">
        <f t="shared" si="52"/>
        <v>0.47</v>
      </c>
      <c r="K481" t="str">
        <f t="shared" si="53"/>
        <v>Positive</v>
      </c>
      <c r="L481" s="10">
        <f t="shared" si="54"/>
        <v>6.1576151710439854E-3</v>
      </c>
      <c r="M481" t="str">
        <f t="shared" si="55"/>
        <v/>
      </c>
    </row>
    <row r="482" spans="1:13" x14ac:dyDescent="0.2">
      <c r="A482" s="21" t="s">
        <v>509</v>
      </c>
      <c r="B482" s="21" t="str">
        <f t="shared" si="49"/>
        <v>Friday</v>
      </c>
      <c r="C482" s="9">
        <f t="shared" si="50"/>
        <v>44043</v>
      </c>
      <c r="D482">
        <v>75.250504000000006</v>
      </c>
      <c r="E482">
        <v>75.447502</v>
      </c>
      <c r="F482">
        <v>72.701499999999996</v>
      </c>
      <c r="G482">
        <v>74.148003000000003</v>
      </c>
      <c r="H482">
        <v>68798000</v>
      </c>
      <c r="I482">
        <f t="shared" si="51"/>
        <v>0</v>
      </c>
      <c r="J482">
        <f t="shared" si="52"/>
        <v>-2.42</v>
      </c>
      <c r="K482" t="str">
        <f t="shared" si="53"/>
        <v>Negative</v>
      </c>
      <c r="L482" s="10">
        <f t="shared" si="54"/>
        <v>-3.2698102469462288E-2</v>
      </c>
      <c r="M482" t="str">
        <f t="shared" si="55"/>
        <v/>
      </c>
    </row>
    <row r="483" spans="1:13" x14ac:dyDescent="0.2">
      <c r="A483" s="21" t="s">
        <v>510</v>
      </c>
      <c r="B483" s="21" t="str">
        <f t="shared" si="49"/>
        <v>Monday</v>
      </c>
      <c r="C483" s="9">
        <f t="shared" si="50"/>
        <v>44046</v>
      </c>
      <c r="D483">
        <v>74.332001000000005</v>
      </c>
      <c r="E483">
        <v>74.523499000000001</v>
      </c>
      <c r="F483">
        <v>73.281998000000002</v>
      </c>
      <c r="G483">
        <v>73.722504000000001</v>
      </c>
      <c r="H483">
        <v>46604000</v>
      </c>
      <c r="I483">
        <f t="shared" si="51"/>
        <v>0</v>
      </c>
      <c r="J483">
        <f t="shared" si="52"/>
        <v>-0.43</v>
      </c>
      <c r="K483" t="str">
        <f t="shared" si="53"/>
        <v>Negative</v>
      </c>
      <c r="L483" s="10">
        <f t="shared" si="54"/>
        <v>-5.7716297862047943E-3</v>
      </c>
      <c r="M483" t="str">
        <f t="shared" si="55"/>
        <v/>
      </c>
    </row>
    <row r="484" spans="1:13" x14ac:dyDescent="0.2">
      <c r="A484" s="21" t="s">
        <v>511</v>
      </c>
      <c r="B484" s="21" t="str">
        <f t="shared" si="49"/>
        <v>Tuesday</v>
      </c>
      <c r="C484" s="9">
        <f t="shared" si="50"/>
        <v>44047</v>
      </c>
      <c r="D484">
        <v>73.828498999999994</v>
      </c>
      <c r="E484">
        <v>74.278000000000006</v>
      </c>
      <c r="F484">
        <v>72.932502999999997</v>
      </c>
      <c r="G484">
        <v>73.248497</v>
      </c>
      <c r="H484">
        <v>38070000</v>
      </c>
      <c r="I484">
        <f t="shared" si="51"/>
        <v>0</v>
      </c>
      <c r="J484">
        <f t="shared" si="52"/>
        <v>-0.47</v>
      </c>
      <c r="K484" t="str">
        <f t="shared" si="53"/>
        <v>Negative</v>
      </c>
      <c r="L484" s="10">
        <f t="shared" si="54"/>
        <v>-6.4712181056766297E-3</v>
      </c>
      <c r="M484" t="str">
        <f t="shared" si="55"/>
        <v/>
      </c>
    </row>
    <row r="485" spans="1:13" x14ac:dyDescent="0.2">
      <c r="A485" s="21" t="s">
        <v>512</v>
      </c>
      <c r="B485" s="21" t="str">
        <f t="shared" si="49"/>
        <v>Wednesday</v>
      </c>
      <c r="C485" s="9">
        <f t="shared" si="50"/>
        <v>44048</v>
      </c>
      <c r="D485">
        <v>73.464995999999999</v>
      </c>
      <c r="E485">
        <v>74.120498999999995</v>
      </c>
      <c r="F485">
        <v>73.172996999999995</v>
      </c>
      <c r="G485">
        <v>73.680496000000005</v>
      </c>
      <c r="H485">
        <v>39590000</v>
      </c>
      <c r="I485">
        <f t="shared" si="51"/>
        <v>0</v>
      </c>
      <c r="J485">
        <f t="shared" si="52"/>
        <v>0.43</v>
      </c>
      <c r="K485" t="str">
        <f t="shared" si="53"/>
        <v>Positive</v>
      </c>
      <c r="L485" s="10">
        <f t="shared" si="54"/>
        <v>5.863139140648628E-3</v>
      </c>
      <c r="M485" t="str">
        <f t="shared" si="55"/>
        <v/>
      </c>
    </row>
    <row r="486" spans="1:13" x14ac:dyDescent="0.2">
      <c r="A486" s="21" t="s">
        <v>513</v>
      </c>
      <c r="B486" s="21" t="str">
        <f t="shared" si="49"/>
        <v>Thursday</v>
      </c>
      <c r="C486" s="9">
        <f t="shared" si="50"/>
        <v>44049</v>
      </c>
      <c r="D486">
        <v>73.587502000000001</v>
      </c>
      <c r="E486">
        <v>75.119499000000005</v>
      </c>
      <c r="F486">
        <v>73.300003000000004</v>
      </c>
      <c r="G486">
        <v>75.004997000000003</v>
      </c>
      <c r="H486">
        <v>39908000</v>
      </c>
      <c r="I486">
        <f t="shared" si="51"/>
        <v>0</v>
      </c>
      <c r="J486">
        <f t="shared" si="52"/>
        <v>1.32</v>
      </c>
      <c r="K486" t="str">
        <f t="shared" si="53"/>
        <v>Positive</v>
      </c>
      <c r="L486" s="10">
        <f t="shared" si="54"/>
        <v>1.7658836783901184E-2</v>
      </c>
      <c r="M486" t="str">
        <f t="shared" si="55"/>
        <v/>
      </c>
    </row>
    <row r="487" spans="1:13" x14ac:dyDescent="0.2">
      <c r="A487" s="21" t="s">
        <v>514</v>
      </c>
      <c r="B487" s="21" t="str">
        <f t="shared" si="49"/>
        <v>Friday</v>
      </c>
      <c r="C487" s="9">
        <f t="shared" si="50"/>
        <v>44050</v>
      </c>
      <c r="D487">
        <v>75</v>
      </c>
      <c r="E487">
        <v>75.842247</v>
      </c>
      <c r="F487">
        <v>74.082001000000005</v>
      </c>
      <c r="G487">
        <v>74.724502999999999</v>
      </c>
      <c r="H487">
        <v>31556000</v>
      </c>
      <c r="I487">
        <f t="shared" si="51"/>
        <v>0</v>
      </c>
      <c r="J487">
        <f t="shared" si="52"/>
        <v>-0.28000000000000003</v>
      </c>
      <c r="K487" t="str">
        <f t="shared" si="53"/>
        <v>Negative</v>
      </c>
      <c r="L487" s="10">
        <f t="shared" si="54"/>
        <v>-3.7537084723066605E-3</v>
      </c>
      <c r="M487" t="str">
        <f t="shared" si="55"/>
        <v/>
      </c>
    </row>
    <row r="488" spans="1:13" x14ac:dyDescent="0.2">
      <c r="A488" s="21" t="s">
        <v>515</v>
      </c>
      <c r="B488" s="21" t="str">
        <f t="shared" si="49"/>
        <v>Monday</v>
      </c>
      <c r="C488" s="9">
        <f t="shared" si="50"/>
        <v>44053</v>
      </c>
      <c r="D488">
        <v>74.359001000000006</v>
      </c>
      <c r="E488">
        <v>75.203750999999997</v>
      </c>
      <c r="F488">
        <v>73.653998999999999</v>
      </c>
      <c r="G488">
        <v>74.805000000000007</v>
      </c>
      <c r="H488">
        <v>25786000</v>
      </c>
      <c r="I488">
        <f t="shared" si="51"/>
        <v>0</v>
      </c>
      <c r="J488">
        <f t="shared" si="52"/>
        <v>0.08</v>
      </c>
      <c r="K488" t="str">
        <f t="shared" si="53"/>
        <v>Positive</v>
      </c>
      <c r="L488" s="10">
        <f t="shared" si="54"/>
        <v>1.0760911703764221E-3</v>
      </c>
      <c r="M488" t="str">
        <f t="shared" si="55"/>
        <v/>
      </c>
    </row>
    <row r="489" spans="1:13" x14ac:dyDescent="0.2">
      <c r="A489" s="21" t="s">
        <v>516</v>
      </c>
      <c r="B489" s="21" t="str">
        <f t="shared" si="49"/>
        <v>Tuesday</v>
      </c>
      <c r="C489" s="9">
        <f t="shared" si="50"/>
        <v>44054</v>
      </c>
      <c r="D489">
        <v>74.622001999999995</v>
      </c>
      <c r="E489">
        <v>75.5</v>
      </c>
      <c r="F489">
        <v>73.900002000000001</v>
      </c>
      <c r="G489">
        <v>74.015998999999994</v>
      </c>
      <c r="H489">
        <v>29088000</v>
      </c>
      <c r="I489">
        <f t="shared" si="51"/>
        <v>0</v>
      </c>
      <c r="J489">
        <f t="shared" si="52"/>
        <v>-0.79</v>
      </c>
      <c r="K489" t="str">
        <f t="shared" si="53"/>
        <v>Negative</v>
      </c>
      <c r="L489" s="10">
        <f t="shared" si="54"/>
        <v>-1.0659870982758919E-2</v>
      </c>
      <c r="M489" t="str">
        <f t="shared" si="55"/>
        <v/>
      </c>
    </row>
    <row r="490" spans="1:13" x14ac:dyDescent="0.2">
      <c r="A490" s="21" t="s">
        <v>517</v>
      </c>
      <c r="B490" s="21" t="str">
        <f t="shared" si="49"/>
        <v>Wednesday</v>
      </c>
      <c r="C490" s="9">
        <f t="shared" si="50"/>
        <v>44055</v>
      </c>
      <c r="D490">
        <v>74.278998999999999</v>
      </c>
      <c r="E490">
        <v>75.619300999999993</v>
      </c>
      <c r="F490">
        <v>74.262496999999996</v>
      </c>
      <c r="G490">
        <v>75.331001000000001</v>
      </c>
      <c r="H490">
        <v>28740000</v>
      </c>
      <c r="I490">
        <f t="shared" si="51"/>
        <v>0</v>
      </c>
      <c r="J490">
        <f t="shared" si="52"/>
        <v>1.32</v>
      </c>
      <c r="K490" t="str">
        <f t="shared" si="53"/>
        <v>Positive</v>
      </c>
      <c r="L490" s="10">
        <f t="shared" si="54"/>
        <v>1.7456319211794448E-2</v>
      </c>
      <c r="M490" t="str">
        <f t="shared" si="55"/>
        <v/>
      </c>
    </row>
    <row r="491" spans="1:13" x14ac:dyDescent="0.2">
      <c r="A491" s="21" t="s">
        <v>518</v>
      </c>
      <c r="B491" s="21" t="str">
        <f t="shared" si="49"/>
        <v>Thursday</v>
      </c>
      <c r="C491" s="9">
        <f t="shared" si="50"/>
        <v>44056</v>
      </c>
      <c r="D491">
        <v>75.516998000000001</v>
      </c>
      <c r="E491">
        <v>76.862503000000004</v>
      </c>
      <c r="F491">
        <v>75.400253000000006</v>
      </c>
      <c r="G491">
        <v>75.922500999999997</v>
      </c>
      <c r="H491">
        <v>29104000</v>
      </c>
      <c r="I491">
        <f t="shared" si="51"/>
        <v>0</v>
      </c>
      <c r="J491">
        <f t="shared" si="52"/>
        <v>0.59</v>
      </c>
      <c r="K491" t="str">
        <f t="shared" si="53"/>
        <v>Positive</v>
      </c>
      <c r="L491" s="10">
        <f t="shared" si="54"/>
        <v>7.7908392401351001E-3</v>
      </c>
      <c r="M491" t="str">
        <f t="shared" si="55"/>
        <v/>
      </c>
    </row>
    <row r="492" spans="1:13" x14ac:dyDescent="0.2">
      <c r="A492" s="21" t="s">
        <v>519</v>
      </c>
      <c r="B492" s="21" t="str">
        <f t="shared" si="49"/>
        <v>Friday</v>
      </c>
      <c r="C492" s="9">
        <f t="shared" si="50"/>
        <v>44057</v>
      </c>
      <c r="D492">
        <v>75.782996999999995</v>
      </c>
      <c r="E492">
        <v>76.095000999999996</v>
      </c>
      <c r="F492">
        <v>75.143996999999999</v>
      </c>
      <c r="G492">
        <v>75.386497000000006</v>
      </c>
      <c r="H492">
        <v>27096000</v>
      </c>
      <c r="I492">
        <f t="shared" si="51"/>
        <v>0</v>
      </c>
      <c r="J492">
        <f t="shared" si="52"/>
        <v>-0.54</v>
      </c>
      <c r="K492" t="str">
        <f t="shared" si="53"/>
        <v>Negative</v>
      </c>
      <c r="L492" s="10">
        <f t="shared" si="54"/>
        <v>-7.110079673817331E-3</v>
      </c>
      <c r="M492" t="str">
        <f t="shared" si="55"/>
        <v/>
      </c>
    </row>
    <row r="493" spans="1:13" x14ac:dyDescent="0.2">
      <c r="A493" s="21" t="s">
        <v>520</v>
      </c>
      <c r="B493" s="21" t="str">
        <f t="shared" si="49"/>
        <v>Monday</v>
      </c>
      <c r="C493" s="9">
        <f t="shared" si="50"/>
        <v>44060</v>
      </c>
      <c r="D493">
        <v>75.733497999999997</v>
      </c>
      <c r="E493">
        <v>76.280501999999998</v>
      </c>
      <c r="F493">
        <v>75.398499000000001</v>
      </c>
      <c r="G493">
        <v>75.899001999999996</v>
      </c>
      <c r="H493">
        <v>27566000</v>
      </c>
      <c r="I493">
        <f t="shared" si="51"/>
        <v>0</v>
      </c>
      <c r="J493">
        <f t="shared" si="52"/>
        <v>0.51</v>
      </c>
      <c r="K493" t="str">
        <f t="shared" si="53"/>
        <v>Positive</v>
      </c>
      <c r="L493" s="10">
        <f t="shared" si="54"/>
        <v>6.7524603287931273E-3</v>
      </c>
      <c r="M493" t="str">
        <f t="shared" si="55"/>
        <v/>
      </c>
    </row>
    <row r="494" spans="1:13" x14ac:dyDescent="0.2">
      <c r="A494" s="21" t="s">
        <v>521</v>
      </c>
      <c r="B494" s="21" t="str">
        <f t="shared" si="49"/>
        <v>Tuesday</v>
      </c>
      <c r="C494" s="9">
        <f t="shared" si="50"/>
        <v>44061</v>
      </c>
      <c r="D494">
        <v>76.308998000000003</v>
      </c>
      <c r="E494">
        <v>78.123497</v>
      </c>
      <c r="F494">
        <v>76.185501000000002</v>
      </c>
      <c r="G494">
        <v>77.930000000000007</v>
      </c>
      <c r="H494">
        <v>40542000</v>
      </c>
      <c r="I494">
        <f t="shared" si="51"/>
        <v>0</v>
      </c>
      <c r="J494">
        <f t="shared" si="52"/>
        <v>2.0299999999999998</v>
      </c>
      <c r="K494" t="str">
        <f t="shared" si="53"/>
        <v>Positive</v>
      </c>
      <c r="L494" s="10">
        <f t="shared" si="54"/>
        <v>2.6061824714487498E-2</v>
      </c>
      <c r="M494" t="str">
        <f t="shared" si="55"/>
        <v/>
      </c>
    </row>
    <row r="495" spans="1:13" x14ac:dyDescent="0.2">
      <c r="A495" s="21" t="s">
        <v>522</v>
      </c>
      <c r="B495" s="21" t="str">
        <f t="shared" si="49"/>
        <v>Wednesday</v>
      </c>
      <c r="C495" s="9">
        <f t="shared" si="50"/>
        <v>44062</v>
      </c>
      <c r="D495">
        <v>77.665497000000002</v>
      </c>
      <c r="E495">
        <v>78.683998000000003</v>
      </c>
      <c r="F495">
        <v>77.197502</v>
      </c>
      <c r="G495">
        <v>77.376503</v>
      </c>
      <c r="H495">
        <v>33212000</v>
      </c>
      <c r="I495">
        <f t="shared" si="51"/>
        <v>0</v>
      </c>
      <c r="J495">
        <f t="shared" si="52"/>
        <v>-0.55000000000000004</v>
      </c>
      <c r="K495" t="str">
        <f t="shared" si="53"/>
        <v>Negative</v>
      </c>
      <c r="L495" s="10">
        <f t="shared" si="54"/>
        <v>-7.1532956199895368E-3</v>
      </c>
      <c r="M495" t="str">
        <f t="shared" si="55"/>
        <v/>
      </c>
    </row>
    <row r="496" spans="1:13" x14ac:dyDescent="0.2">
      <c r="A496" s="21" t="s">
        <v>523</v>
      </c>
      <c r="B496" s="21" t="str">
        <f t="shared" si="49"/>
        <v>Thursday</v>
      </c>
      <c r="C496" s="9">
        <f t="shared" si="50"/>
        <v>44063</v>
      </c>
      <c r="D496">
        <v>77.172500999999997</v>
      </c>
      <c r="E496">
        <v>79.293503000000001</v>
      </c>
      <c r="F496">
        <v>76.910004000000001</v>
      </c>
      <c r="G496">
        <v>79.087502000000001</v>
      </c>
      <c r="H496">
        <v>34138000</v>
      </c>
      <c r="I496">
        <f t="shared" si="51"/>
        <v>0</v>
      </c>
      <c r="J496">
        <f t="shared" si="52"/>
        <v>1.71</v>
      </c>
      <c r="K496" t="str">
        <f t="shared" si="53"/>
        <v>Positive</v>
      </c>
      <c r="L496" s="10">
        <f t="shared" si="54"/>
        <v>2.1634252653472366E-2</v>
      </c>
      <c r="M496" t="str">
        <f t="shared" si="55"/>
        <v/>
      </c>
    </row>
    <row r="497" spans="1:13" x14ac:dyDescent="0.2">
      <c r="A497" s="21" t="s">
        <v>524</v>
      </c>
      <c r="B497" s="21" t="str">
        <f t="shared" si="49"/>
        <v>Friday</v>
      </c>
      <c r="C497" s="9">
        <f t="shared" si="50"/>
        <v>44064</v>
      </c>
      <c r="D497">
        <v>78.851500999999999</v>
      </c>
      <c r="E497">
        <v>79.886002000000005</v>
      </c>
      <c r="F497">
        <v>78.400253000000006</v>
      </c>
      <c r="G497">
        <v>79.021004000000005</v>
      </c>
      <c r="H497">
        <v>28930000</v>
      </c>
      <c r="I497">
        <f t="shared" si="51"/>
        <v>0</v>
      </c>
      <c r="J497">
        <f t="shared" si="52"/>
        <v>-7.0000000000000007E-2</v>
      </c>
      <c r="K497" t="str">
        <f t="shared" si="53"/>
        <v>Negative</v>
      </c>
      <c r="L497" s="10">
        <f t="shared" si="54"/>
        <v>-8.4152309682114035E-4</v>
      </c>
      <c r="M497" t="str">
        <f t="shared" si="55"/>
        <v/>
      </c>
    </row>
    <row r="498" spans="1:13" x14ac:dyDescent="0.2">
      <c r="A498" s="21" t="s">
        <v>525</v>
      </c>
      <c r="B498" s="21" t="str">
        <f t="shared" si="49"/>
        <v>Monday</v>
      </c>
      <c r="C498" s="9">
        <f t="shared" si="50"/>
        <v>44067</v>
      </c>
      <c r="D498">
        <v>79.698997000000006</v>
      </c>
      <c r="E498">
        <v>80.708504000000005</v>
      </c>
      <c r="F498">
        <v>79.028503000000001</v>
      </c>
      <c r="G498">
        <v>79.410004000000001</v>
      </c>
      <c r="H498">
        <v>28198000</v>
      </c>
      <c r="I498">
        <f t="shared" si="51"/>
        <v>0</v>
      </c>
      <c r="J498">
        <f t="shared" si="52"/>
        <v>0.39</v>
      </c>
      <c r="K498" t="str">
        <f t="shared" si="53"/>
        <v>Positive</v>
      </c>
      <c r="L498" s="10">
        <f t="shared" si="54"/>
        <v>4.8986271301534731E-3</v>
      </c>
      <c r="M498" t="str">
        <f t="shared" si="55"/>
        <v/>
      </c>
    </row>
    <row r="499" spans="1:13" x14ac:dyDescent="0.2">
      <c r="A499" s="21" t="s">
        <v>526</v>
      </c>
      <c r="B499" s="21" t="str">
        <f t="shared" si="49"/>
        <v>Tuesday</v>
      </c>
      <c r="C499" s="9">
        <f t="shared" si="50"/>
        <v>44068</v>
      </c>
      <c r="D499">
        <v>79.103499999999997</v>
      </c>
      <c r="E499">
        <v>80.581001000000001</v>
      </c>
      <c r="F499">
        <v>79.103499999999997</v>
      </c>
      <c r="G499">
        <v>80.411002999999994</v>
      </c>
      <c r="H499">
        <v>44942000</v>
      </c>
      <c r="I499">
        <f t="shared" si="51"/>
        <v>0</v>
      </c>
      <c r="J499">
        <f t="shared" si="52"/>
        <v>1</v>
      </c>
      <c r="K499" t="str">
        <f t="shared" si="53"/>
        <v>Positive</v>
      </c>
      <c r="L499" s="10">
        <f t="shared" si="54"/>
        <v>1.2448532696451917E-2</v>
      </c>
      <c r="M499" t="str">
        <f t="shared" si="55"/>
        <v/>
      </c>
    </row>
    <row r="500" spans="1:13" x14ac:dyDescent="0.2">
      <c r="A500" s="21" t="s">
        <v>527</v>
      </c>
      <c r="B500" s="21" t="str">
        <f t="shared" si="49"/>
        <v>Wednesday</v>
      </c>
      <c r="C500" s="9">
        <f t="shared" si="50"/>
        <v>44069</v>
      </c>
      <c r="D500">
        <v>80.400002000000001</v>
      </c>
      <c r="E500">
        <v>82.960999000000001</v>
      </c>
      <c r="F500">
        <v>80.180000000000007</v>
      </c>
      <c r="G500">
        <v>82.619003000000006</v>
      </c>
      <c r="H500">
        <v>79868000</v>
      </c>
      <c r="I500">
        <f t="shared" si="51"/>
        <v>0</v>
      </c>
      <c r="J500">
        <f t="shared" si="52"/>
        <v>2.21</v>
      </c>
      <c r="K500" t="str">
        <f t="shared" si="53"/>
        <v>Positive</v>
      </c>
      <c r="L500" s="10">
        <f t="shared" si="54"/>
        <v>2.6725086479196709E-2</v>
      </c>
      <c r="M500" t="str">
        <f t="shared" si="55"/>
        <v/>
      </c>
    </row>
    <row r="501" spans="1:13" x14ac:dyDescent="0.2">
      <c r="A501" s="21" t="s">
        <v>528</v>
      </c>
      <c r="B501" s="21" t="str">
        <f t="shared" si="49"/>
        <v>Thursday</v>
      </c>
      <c r="C501" s="9">
        <f t="shared" si="50"/>
        <v>44070</v>
      </c>
      <c r="D501">
        <v>82.683998000000003</v>
      </c>
      <c r="E501">
        <v>82.75</v>
      </c>
      <c r="F501">
        <v>81.287497999999999</v>
      </c>
      <c r="G501">
        <v>81.716498999999999</v>
      </c>
      <c r="H501">
        <v>37232000</v>
      </c>
      <c r="I501">
        <f t="shared" si="51"/>
        <v>0</v>
      </c>
      <c r="J501">
        <f t="shared" si="52"/>
        <v>-0.9</v>
      </c>
      <c r="K501" t="str">
        <f t="shared" si="53"/>
        <v>Negative</v>
      </c>
      <c r="L501" s="10">
        <f t="shared" si="54"/>
        <v>-1.1044330227608106E-2</v>
      </c>
      <c r="M501" t="str">
        <f t="shared" si="55"/>
        <v/>
      </c>
    </row>
    <row r="502" spans="1:13" x14ac:dyDescent="0.2">
      <c r="A502" s="21" t="s">
        <v>529</v>
      </c>
      <c r="B502" s="21" t="str">
        <f t="shared" si="49"/>
        <v>Friday</v>
      </c>
      <c r="C502" s="9">
        <f t="shared" si="50"/>
        <v>44071</v>
      </c>
      <c r="D502">
        <v>81.674499999999995</v>
      </c>
      <c r="E502">
        <v>82.358497999999997</v>
      </c>
      <c r="F502">
        <v>81.537497999999999</v>
      </c>
      <c r="G502">
        <v>82.220496999999995</v>
      </c>
      <c r="H502">
        <v>29980000</v>
      </c>
      <c r="I502">
        <f t="shared" si="51"/>
        <v>0</v>
      </c>
      <c r="J502">
        <f t="shared" si="52"/>
        <v>0.5</v>
      </c>
      <c r="K502" t="str">
        <f t="shared" si="53"/>
        <v>Positive</v>
      </c>
      <c r="L502" s="10">
        <f t="shared" si="54"/>
        <v>6.1298340242335898E-3</v>
      </c>
      <c r="M502" t="str">
        <f t="shared" si="55"/>
        <v/>
      </c>
    </row>
    <row r="503" spans="1:13" x14ac:dyDescent="0.2">
      <c r="A503" s="21" t="s">
        <v>530</v>
      </c>
      <c r="B503" s="21" t="str">
        <f t="shared" si="49"/>
        <v>Monday</v>
      </c>
      <c r="C503" s="9">
        <f t="shared" si="50"/>
        <v>44074</v>
      </c>
      <c r="D503">
        <v>82.394501000000005</v>
      </c>
      <c r="E503">
        <v>82.398246999999998</v>
      </c>
      <c r="F503">
        <v>81.515502999999995</v>
      </c>
      <c r="G503">
        <v>81.709000000000003</v>
      </c>
      <c r="H503">
        <v>36468000</v>
      </c>
      <c r="I503">
        <f t="shared" si="51"/>
        <v>0</v>
      </c>
      <c r="J503">
        <f t="shared" si="52"/>
        <v>-0.51</v>
      </c>
      <c r="K503" t="str">
        <f t="shared" si="53"/>
        <v>Negative</v>
      </c>
      <c r="L503" s="10">
        <f t="shared" si="54"/>
        <v>-6.2599836003376791E-3</v>
      </c>
      <c r="M503" t="str">
        <f t="shared" si="55"/>
        <v/>
      </c>
    </row>
    <row r="504" spans="1:13" x14ac:dyDescent="0.2">
      <c r="A504" s="21" t="s">
        <v>531</v>
      </c>
      <c r="B504" s="21" t="str">
        <f t="shared" si="49"/>
        <v>Tuesday</v>
      </c>
      <c r="C504" s="9">
        <f t="shared" si="50"/>
        <v>44075</v>
      </c>
      <c r="D504">
        <v>81.831496999999999</v>
      </c>
      <c r="E504">
        <v>83.286499000000006</v>
      </c>
      <c r="F504">
        <v>81.611000000000004</v>
      </c>
      <c r="G504">
        <v>83.035499999999999</v>
      </c>
      <c r="H504">
        <v>36506000</v>
      </c>
      <c r="I504">
        <f t="shared" si="51"/>
        <v>0</v>
      </c>
      <c r="J504">
        <f t="shared" si="52"/>
        <v>1.33</v>
      </c>
      <c r="K504" t="str">
        <f t="shared" si="53"/>
        <v>Positive</v>
      </c>
      <c r="L504" s="10">
        <f t="shared" si="54"/>
        <v>1.5975094989492396E-2</v>
      </c>
      <c r="M504" t="str">
        <f t="shared" si="55"/>
        <v/>
      </c>
    </row>
    <row r="505" spans="1:13" x14ac:dyDescent="0.2">
      <c r="A505" s="21" t="s">
        <v>532</v>
      </c>
      <c r="B505" s="21" t="str">
        <f t="shared" si="49"/>
        <v>Wednesday</v>
      </c>
      <c r="C505" s="9">
        <f t="shared" si="50"/>
        <v>44076</v>
      </c>
      <c r="D505">
        <v>83.688750999999996</v>
      </c>
      <c r="E505">
        <v>86.658996999999999</v>
      </c>
      <c r="F505">
        <v>83.316497999999996</v>
      </c>
      <c r="G505">
        <v>86.414000999999999</v>
      </c>
      <c r="H505">
        <v>50224000</v>
      </c>
      <c r="I505">
        <f t="shared" si="51"/>
        <v>0</v>
      </c>
      <c r="J505">
        <f t="shared" si="52"/>
        <v>3.38</v>
      </c>
      <c r="K505" t="str">
        <f t="shared" si="53"/>
        <v>Positive</v>
      </c>
      <c r="L505" s="10">
        <f t="shared" si="54"/>
        <v>3.9096685269786317E-2</v>
      </c>
      <c r="M505" t="str">
        <f t="shared" si="55"/>
        <v/>
      </c>
    </row>
    <row r="506" spans="1:13" x14ac:dyDescent="0.2">
      <c r="A506" s="21" t="s">
        <v>533</v>
      </c>
      <c r="B506" s="21" t="str">
        <f t="shared" si="49"/>
        <v>Thursday</v>
      </c>
      <c r="C506" s="9">
        <f t="shared" si="50"/>
        <v>44077</v>
      </c>
      <c r="D506">
        <v>85.485703000000001</v>
      </c>
      <c r="E506">
        <v>85.485703000000001</v>
      </c>
      <c r="F506">
        <v>80.752998000000005</v>
      </c>
      <c r="G506">
        <v>82.092003000000005</v>
      </c>
      <c r="H506">
        <v>62156000</v>
      </c>
      <c r="I506">
        <f t="shared" si="51"/>
        <v>0</v>
      </c>
      <c r="J506">
        <f t="shared" si="52"/>
        <v>-4.32</v>
      </c>
      <c r="K506" t="str">
        <f t="shared" si="53"/>
        <v>Negative</v>
      </c>
      <c r="L506" s="10">
        <f t="shared" si="54"/>
        <v>-5.2648222019871939E-2</v>
      </c>
      <c r="M506" t="str">
        <f t="shared" si="55"/>
        <v/>
      </c>
    </row>
    <row r="507" spans="1:13" x14ac:dyDescent="0.2">
      <c r="A507" s="21" t="s">
        <v>534</v>
      </c>
      <c r="B507" s="21" t="str">
        <f t="shared" si="49"/>
        <v>Friday</v>
      </c>
      <c r="C507" s="9">
        <f t="shared" si="50"/>
        <v>44078</v>
      </c>
      <c r="D507">
        <v>81.212997000000001</v>
      </c>
      <c r="E507">
        <v>82.255500999999995</v>
      </c>
      <c r="F507">
        <v>77.380652999999995</v>
      </c>
      <c r="G507">
        <v>79.552002000000002</v>
      </c>
      <c r="H507">
        <v>52172000</v>
      </c>
      <c r="I507">
        <f t="shared" si="51"/>
        <v>0</v>
      </c>
      <c r="J507">
        <f t="shared" si="52"/>
        <v>-2.54</v>
      </c>
      <c r="K507" t="str">
        <f t="shared" si="53"/>
        <v>Negative</v>
      </c>
      <c r="L507" s="10">
        <f t="shared" si="54"/>
        <v>-3.1928813054887088E-2</v>
      </c>
      <c r="M507" t="str">
        <f t="shared" si="55"/>
        <v/>
      </c>
    </row>
    <row r="508" spans="1:13" x14ac:dyDescent="0.2">
      <c r="A508" s="21" t="s">
        <v>535</v>
      </c>
      <c r="B508" s="21" t="str">
        <f t="shared" si="49"/>
        <v>Tuesday</v>
      </c>
      <c r="C508" s="9">
        <f t="shared" si="50"/>
        <v>44082</v>
      </c>
      <c r="D508">
        <v>76.675499000000002</v>
      </c>
      <c r="E508">
        <v>78.193252999999999</v>
      </c>
      <c r="F508">
        <v>76.400497000000001</v>
      </c>
      <c r="G508">
        <v>76.619499000000005</v>
      </c>
      <c r="H508">
        <v>52218000</v>
      </c>
      <c r="I508">
        <f t="shared" si="51"/>
        <v>0</v>
      </c>
      <c r="J508">
        <f t="shared" si="52"/>
        <v>-2.93</v>
      </c>
      <c r="K508" t="str">
        <f t="shared" si="53"/>
        <v>Negative</v>
      </c>
      <c r="L508" s="10">
        <f t="shared" si="54"/>
        <v>-3.8273586205516651E-2</v>
      </c>
      <c r="M508" t="str">
        <f t="shared" si="55"/>
        <v/>
      </c>
    </row>
    <row r="509" spans="1:13" x14ac:dyDescent="0.2">
      <c r="A509" s="21" t="s">
        <v>536</v>
      </c>
      <c r="B509" s="21" t="str">
        <f t="shared" si="49"/>
        <v>Wednesday</v>
      </c>
      <c r="C509" s="9">
        <f t="shared" si="50"/>
        <v>44083</v>
      </c>
      <c r="D509">
        <v>77.876503</v>
      </c>
      <c r="E509">
        <v>78.449996999999996</v>
      </c>
      <c r="F509">
        <v>76.802550999999994</v>
      </c>
      <c r="G509">
        <v>77.847999999999999</v>
      </c>
      <c r="H509">
        <v>35494000</v>
      </c>
      <c r="I509">
        <f t="shared" si="51"/>
        <v>0</v>
      </c>
      <c r="J509">
        <f t="shared" si="52"/>
        <v>1.23</v>
      </c>
      <c r="K509" t="str">
        <f t="shared" si="53"/>
        <v>Positive</v>
      </c>
      <c r="L509" s="10">
        <f t="shared" si="54"/>
        <v>1.5780765080669952E-2</v>
      </c>
      <c r="M509" t="str">
        <f t="shared" si="55"/>
        <v/>
      </c>
    </row>
    <row r="510" spans="1:13" x14ac:dyDescent="0.2">
      <c r="A510" s="21" t="s">
        <v>537</v>
      </c>
      <c r="B510" s="21" t="str">
        <f t="shared" si="49"/>
        <v>Thursday</v>
      </c>
      <c r="C510" s="9">
        <f t="shared" si="50"/>
        <v>44084</v>
      </c>
      <c r="D510">
        <v>78.031998000000002</v>
      </c>
      <c r="E510">
        <v>79.204048</v>
      </c>
      <c r="F510">
        <v>76.290253000000007</v>
      </c>
      <c r="G510">
        <v>76.600998000000004</v>
      </c>
      <c r="H510">
        <v>32372000</v>
      </c>
      <c r="I510">
        <f t="shared" si="51"/>
        <v>0</v>
      </c>
      <c r="J510">
        <f t="shared" si="52"/>
        <v>-1.25</v>
      </c>
      <c r="K510" t="str">
        <f t="shared" si="53"/>
        <v>Negative</v>
      </c>
      <c r="L510" s="10">
        <f t="shared" si="54"/>
        <v>-1.6279187380822308E-2</v>
      </c>
      <c r="M510" t="str">
        <f t="shared" si="55"/>
        <v/>
      </c>
    </row>
    <row r="511" spans="1:13" x14ac:dyDescent="0.2">
      <c r="A511" s="21" t="s">
        <v>538</v>
      </c>
      <c r="B511" s="21" t="str">
        <f t="shared" si="49"/>
        <v>Friday</v>
      </c>
      <c r="C511" s="9">
        <f t="shared" si="50"/>
        <v>44085</v>
      </c>
      <c r="D511">
        <v>76.800003000000004</v>
      </c>
      <c r="E511">
        <v>78.760002</v>
      </c>
      <c r="F511">
        <v>74.867996000000005</v>
      </c>
      <c r="G511">
        <v>76.036002999999994</v>
      </c>
      <c r="H511">
        <v>31942000</v>
      </c>
      <c r="I511">
        <f t="shared" si="51"/>
        <v>0</v>
      </c>
      <c r="J511">
        <f t="shared" si="52"/>
        <v>-0.56000000000000005</v>
      </c>
      <c r="K511" t="str">
        <f t="shared" si="53"/>
        <v>Negative</v>
      </c>
      <c r="L511" s="10">
        <f t="shared" si="54"/>
        <v>-7.4306246739457146E-3</v>
      </c>
      <c r="M511" t="str">
        <f t="shared" si="55"/>
        <v/>
      </c>
    </row>
    <row r="512" spans="1:13" x14ac:dyDescent="0.2">
      <c r="A512" s="21" t="s">
        <v>539</v>
      </c>
      <c r="B512" s="21" t="str">
        <f t="shared" si="49"/>
        <v>Monday</v>
      </c>
      <c r="C512" s="9">
        <f t="shared" si="50"/>
        <v>44088</v>
      </c>
      <c r="D512">
        <v>76.950248999999999</v>
      </c>
      <c r="E512">
        <v>78.199996999999996</v>
      </c>
      <c r="F512">
        <v>75.787002999999999</v>
      </c>
      <c r="G512">
        <v>75.963997000000006</v>
      </c>
      <c r="H512">
        <v>33932000</v>
      </c>
      <c r="I512">
        <f t="shared" si="51"/>
        <v>0</v>
      </c>
      <c r="J512">
        <f t="shared" si="52"/>
        <v>-7.0000000000000007E-2</v>
      </c>
      <c r="K512" t="str">
        <f t="shared" si="53"/>
        <v>Negative</v>
      </c>
      <c r="L512" s="10">
        <f t="shared" si="54"/>
        <v>-9.4789640940020009E-4</v>
      </c>
      <c r="M512" t="str">
        <f t="shared" si="55"/>
        <v/>
      </c>
    </row>
    <row r="513" spans="1:13" x14ac:dyDescent="0.2">
      <c r="A513" s="21" t="s">
        <v>540</v>
      </c>
      <c r="B513" s="21" t="str">
        <f t="shared" si="49"/>
        <v>Tuesday</v>
      </c>
      <c r="C513" s="9">
        <f t="shared" si="50"/>
        <v>44089</v>
      </c>
      <c r="D513">
        <v>76.800003000000004</v>
      </c>
      <c r="E513">
        <v>77.978499999999997</v>
      </c>
      <c r="F513">
        <v>76.591751000000002</v>
      </c>
      <c r="G513">
        <v>77.071999000000005</v>
      </c>
      <c r="H513">
        <v>26622000</v>
      </c>
      <c r="I513">
        <f t="shared" si="51"/>
        <v>0</v>
      </c>
      <c r="J513">
        <f t="shared" si="52"/>
        <v>1.1100000000000001</v>
      </c>
      <c r="K513" t="str">
        <f t="shared" si="53"/>
        <v>Positive</v>
      </c>
      <c r="L513" s="10">
        <f t="shared" si="54"/>
        <v>1.4376193875547448E-2</v>
      </c>
      <c r="M513" t="str">
        <f t="shared" si="55"/>
        <v/>
      </c>
    </row>
    <row r="514" spans="1:13" x14ac:dyDescent="0.2">
      <c r="A514" s="21" t="s">
        <v>541</v>
      </c>
      <c r="B514" s="21" t="str">
        <f t="shared" si="49"/>
        <v>Wednesday</v>
      </c>
      <c r="C514" s="9">
        <f t="shared" si="50"/>
        <v>44090</v>
      </c>
      <c r="D514">
        <v>77.777000000000001</v>
      </c>
      <c r="E514">
        <v>78.099997999999999</v>
      </c>
      <c r="F514">
        <v>75.990996999999993</v>
      </c>
      <c r="G514">
        <v>76.044998000000007</v>
      </c>
      <c r="H514">
        <v>26234000</v>
      </c>
      <c r="I514">
        <f t="shared" si="51"/>
        <v>0</v>
      </c>
      <c r="J514">
        <f t="shared" si="52"/>
        <v>-1.03</v>
      </c>
      <c r="K514" t="str">
        <f t="shared" si="53"/>
        <v>Negative</v>
      </c>
      <c r="L514" s="10">
        <f t="shared" si="54"/>
        <v>-1.3505174922879193E-2</v>
      </c>
      <c r="M514" t="str">
        <f t="shared" si="55"/>
        <v/>
      </c>
    </row>
    <row r="515" spans="1:13" x14ac:dyDescent="0.2">
      <c r="A515" s="21" t="s">
        <v>542</v>
      </c>
      <c r="B515" s="21" t="str">
        <f t="shared" ref="B515:B578" si="56">LEFT(A515,SEARCH(",",A515)-1)</f>
        <v>Thursday</v>
      </c>
      <c r="C515" s="9">
        <f t="shared" ref="C515:C578" si="57">DATEVALUE(RIGHT(A515,LEN(A515) - SEARCH(",",A515)))</f>
        <v>44091</v>
      </c>
      <c r="D515">
        <v>74.800003000000004</v>
      </c>
      <c r="E515">
        <v>75.414901999999998</v>
      </c>
      <c r="F515">
        <v>73.5</v>
      </c>
      <c r="G515">
        <v>74.776497000000006</v>
      </c>
      <c r="H515">
        <v>37596000</v>
      </c>
      <c r="I515">
        <f t="shared" ref="I515:I578" si="58">COUNTBLANK(A515:H515)</f>
        <v>0</v>
      </c>
      <c r="J515">
        <f t="shared" ref="J515:J578" si="59">ROUND(IF(ISNUMBER(G514),G515-G514,0),2)</f>
        <v>-1.27</v>
      </c>
      <c r="K515" t="str">
        <f t="shared" ref="K515:K578" si="60">IF(J515=0,"Neutral",IF(J515&gt;0,"Positive","Negative"))</f>
        <v>Negative</v>
      </c>
      <c r="L515" s="10">
        <f t="shared" ref="L515:L578" si="61">IF(ISNUMBER(G514),((G515-G514)/G515),0)</f>
        <v>-1.6963899766526912E-2</v>
      </c>
      <c r="M515" t="str">
        <f t="shared" ref="M515:M578" si="62">IF(L515&gt;0.05,L515,"")</f>
        <v/>
      </c>
    </row>
    <row r="516" spans="1:13" x14ac:dyDescent="0.2">
      <c r="A516" s="21" t="s">
        <v>543</v>
      </c>
      <c r="B516" s="21" t="str">
        <f t="shared" si="56"/>
        <v>Friday</v>
      </c>
      <c r="C516" s="9">
        <f t="shared" si="57"/>
        <v>44092</v>
      </c>
      <c r="D516">
        <v>74.900497000000001</v>
      </c>
      <c r="E516">
        <v>75.150146000000007</v>
      </c>
      <c r="F516">
        <v>71.856498999999999</v>
      </c>
      <c r="G516">
        <v>72.999495999999994</v>
      </c>
      <c r="H516">
        <v>62078000</v>
      </c>
      <c r="I516">
        <f t="shared" si="58"/>
        <v>0</v>
      </c>
      <c r="J516">
        <f t="shared" si="59"/>
        <v>-1.78</v>
      </c>
      <c r="K516" t="str">
        <f t="shared" si="60"/>
        <v>Negative</v>
      </c>
      <c r="L516" s="10">
        <f t="shared" si="61"/>
        <v>-2.4342647516361112E-2</v>
      </c>
      <c r="M516" t="str">
        <f t="shared" si="62"/>
        <v/>
      </c>
    </row>
    <row r="517" spans="1:13" x14ac:dyDescent="0.2">
      <c r="A517" s="21" t="s">
        <v>544</v>
      </c>
      <c r="B517" s="21" t="str">
        <f t="shared" si="56"/>
        <v>Monday</v>
      </c>
      <c r="C517" s="9">
        <f t="shared" si="57"/>
        <v>44095</v>
      </c>
      <c r="D517">
        <v>72.002998000000005</v>
      </c>
      <c r="E517">
        <v>72.417998999999995</v>
      </c>
      <c r="F517">
        <v>70.327499000000003</v>
      </c>
      <c r="G517">
        <v>71.557998999999995</v>
      </c>
      <c r="H517">
        <v>57776000</v>
      </c>
      <c r="I517">
        <f t="shared" si="58"/>
        <v>0</v>
      </c>
      <c r="J517">
        <f t="shared" si="59"/>
        <v>-1.44</v>
      </c>
      <c r="K517" t="str">
        <f t="shared" si="60"/>
        <v>Negative</v>
      </c>
      <c r="L517" s="10">
        <f t="shared" si="61"/>
        <v>-2.0144456526795813E-2</v>
      </c>
      <c r="M517" t="str">
        <f t="shared" si="62"/>
        <v/>
      </c>
    </row>
    <row r="518" spans="1:13" x14ac:dyDescent="0.2">
      <c r="A518" s="21" t="s">
        <v>545</v>
      </c>
      <c r="B518" s="21" t="str">
        <f t="shared" si="56"/>
        <v>Tuesday</v>
      </c>
      <c r="C518" s="9">
        <f t="shared" si="57"/>
        <v>44096</v>
      </c>
      <c r="D518">
        <v>72.504501000000005</v>
      </c>
      <c r="E518">
        <v>73.475998000000004</v>
      </c>
      <c r="F518">
        <v>71.726500999999999</v>
      </c>
      <c r="G518">
        <v>73.273003000000003</v>
      </c>
      <c r="H518">
        <v>31664000</v>
      </c>
      <c r="I518">
        <f t="shared" si="58"/>
        <v>0</v>
      </c>
      <c r="J518">
        <f t="shared" si="59"/>
        <v>1.72</v>
      </c>
      <c r="K518" t="str">
        <f t="shared" si="60"/>
        <v>Positive</v>
      </c>
      <c r="L518" s="10">
        <f t="shared" si="61"/>
        <v>2.3405673710411561E-2</v>
      </c>
      <c r="M518" t="str">
        <f t="shared" si="62"/>
        <v/>
      </c>
    </row>
    <row r="519" spans="1:13" x14ac:dyDescent="0.2">
      <c r="A519" s="21" t="s">
        <v>546</v>
      </c>
      <c r="B519" s="21" t="str">
        <f t="shared" si="56"/>
        <v>Wednesday</v>
      </c>
      <c r="C519" s="9">
        <f t="shared" si="57"/>
        <v>44097</v>
      </c>
      <c r="D519">
        <v>72.939003</v>
      </c>
      <c r="E519">
        <v>73.047996999999995</v>
      </c>
      <c r="F519">
        <v>70.385002</v>
      </c>
      <c r="G519">
        <v>70.760497999999998</v>
      </c>
      <c r="H519">
        <v>33148000</v>
      </c>
      <c r="I519">
        <f t="shared" si="58"/>
        <v>0</v>
      </c>
      <c r="J519">
        <f t="shared" si="59"/>
        <v>-2.5099999999999998</v>
      </c>
      <c r="K519" t="str">
        <f t="shared" si="60"/>
        <v>Negative</v>
      </c>
      <c r="L519" s="10">
        <f t="shared" si="61"/>
        <v>-3.5507169551011422E-2</v>
      </c>
      <c r="M519" t="str">
        <f t="shared" si="62"/>
        <v/>
      </c>
    </row>
    <row r="520" spans="1:13" x14ac:dyDescent="0.2">
      <c r="A520" s="21" t="s">
        <v>547</v>
      </c>
      <c r="B520" s="21" t="str">
        <f t="shared" si="56"/>
        <v>Thursday</v>
      </c>
      <c r="C520" s="9">
        <f t="shared" si="57"/>
        <v>44098</v>
      </c>
      <c r="D520">
        <v>70.551497999999995</v>
      </c>
      <c r="E520">
        <v>72.185447999999994</v>
      </c>
      <c r="F520">
        <v>70.492500000000007</v>
      </c>
      <c r="G520">
        <v>71.414496999999997</v>
      </c>
      <c r="H520">
        <v>29004000</v>
      </c>
      <c r="I520">
        <f t="shared" si="58"/>
        <v>0</v>
      </c>
      <c r="J520">
        <f t="shared" si="59"/>
        <v>0.65</v>
      </c>
      <c r="K520" t="str">
        <f t="shared" si="60"/>
        <v>Positive</v>
      </c>
      <c r="L520" s="10">
        <f t="shared" si="61"/>
        <v>9.1577904693496467E-3</v>
      </c>
      <c r="M520" t="str">
        <f t="shared" si="62"/>
        <v/>
      </c>
    </row>
    <row r="521" spans="1:13" x14ac:dyDescent="0.2">
      <c r="A521" s="21" t="s">
        <v>548</v>
      </c>
      <c r="B521" s="21" t="str">
        <f t="shared" si="56"/>
        <v>Friday</v>
      </c>
      <c r="C521" s="9">
        <f t="shared" si="57"/>
        <v>44099</v>
      </c>
      <c r="D521">
        <v>71.631500000000003</v>
      </c>
      <c r="E521">
        <v>72.5</v>
      </c>
      <c r="F521">
        <v>70.667000000000002</v>
      </c>
      <c r="G521">
        <v>72.248001000000002</v>
      </c>
      <c r="H521">
        <v>26460000</v>
      </c>
      <c r="I521">
        <f t="shared" si="58"/>
        <v>0</v>
      </c>
      <c r="J521">
        <f t="shared" si="59"/>
        <v>0.83</v>
      </c>
      <c r="K521" t="str">
        <f t="shared" si="60"/>
        <v>Positive</v>
      </c>
      <c r="L521" s="10">
        <f t="shared" si="61"/>
        <v>1.1536706738778902E-2</v>
      </c>
      <c r="M521" t="str">
        <f t="shared" si="62"/>
        <v/>
      </c>
    </row>
    <row r="522" spans="1:13" x14ac:dyDescent="0.2">
      <c r="A522" s="21" t="s">
        <v>549</v>
      </c>
      <c r="B522" s="21" t="str">
        <f t="shared" si="56"/>
        <v>Monday</v>
      </c>
      <c r="C522" s="9">
        <f t="shared" si="57"/>
        <v>44102</v>
      </c>
      <c r="D522">
        <v>73.710503000000003</v>
      </c>
      <c r="E522">
        <v>73.839995999999999</v>
      </c>
      <c r="F522">
        <v>72.465050000000005</v>
      </c>
      <c r="G522">
        <v>73.225998000000004</v>
      </c>
      <c r="H522">
        <v>40158000</v>
      </c>
      <c r="I522">
        <f t="shared" si="58"/>
        <v>0</v>
      </c>
      <c r="J522">
        <f t="shared" si="59"/>
        <v>0.98</v>
      </c>
      <c r="K522" t="str">
        <f t="shared" si="60"/>
        <v>Positive</v>
      </c>
      <c r="L522" s="10">
        <f t="shared" si="61"/>
        <v>1.3355871230324536E-2</v>
      </c>
      <c r="M522" t="str">
        <f t="shared" si="62"/>
        <v/>
      </c>
    </row>
    <row r="523" spans="1:13" x14ac:dyDescent="0.2">
      <c r="A523" s="21" t="s">
        <v>550</v>
      </c>
      <c r="B523" s="21" t="str">
        <f t="shared" si="56"/>
        <v>Tuesday</v>
      </c>
      <c r="C523" s="9">
        <f t="shared" si="57"/>
        <v>44103</v>
      </c>
      <c r="D523">
        <v>73.519501000000005</v>
      </c>
      <c r="E523">
        <v>73.833152999999996</v>
      </c>
      <c r="F523">
        <v>72.940246999999999</v>
      </c>
      <c r="G523">
        <v>73.466498999999999</v>
      </c>
      <c r="H523">
        <v>19564000</v>
      </c>
      <c r="I523">
        <f t="shared" si="58"/>
        <v>0</v>
      </c>
      <c r="J523">
        <f t="shared" si="59"/>
        <v>0.24</v>
      </c>
      <c r="K523" t="str">
        <f t="shared" si="60"/>
        <v>Positive</v>
      </c>
      <c r="L523" s="10">
        <f t="shared" si="61"/>
        <v>3.2736145491293217E-3</v>
      </c>
      <c r="M523" t="str">
        <f t="shared" si="62"/>
        <v/>
      </c>
    </row>
    <row r="524" spans="1:13" x14ac:dyDescent="0.2">
      <c r="A524" s="21" t="s">
        <v>551</v>
      </c>
      <c r="B524" s="21" t="str">
        <f t="shared" si="56"/>
        <v>Wednesday</v>
      </c>
      <c r="C524" s="9">
        <f t="shared" si="57"/>
        <v>44104</v>
      </c>
      <c r="D524">
        <v>73.339995999999999</v>
      </c>
      <c r="E524">
        <v>74.487503000000004</v>
      </c>
      <c r="F524">
        <v>72.994003000000006</v>
      </c>
      <c r="G524">
        <v>73.480002999999996</v>
      </c>
      <c r="H524">
        <v>34032000</v>
      </c>
      <c r="I524">
        <f t="shared" si="58"/>
        <v>0</v>
      </c>
      <c r="J524">
        <f t="shared" si="59"/>
        <v>0.01</v>
      </c>
      <c r="K524" t="str">
        <f t="shared" si="60"/>
        <v>Positive</v>
      </c>
      <c r="L524" s="10">
        <f t="shared" si="61"/>
        <v>1.8377789124474477E-4</v>
      </c>
      <c r="M524" t="str">
        <f t="shared" si="62"/>
        <v/>
      </c>
    </row>
    <row r="525" spans="1:13" x14ac:dyDescent="0.2">
      <c r="A525" s="21" t="s">
        <v>552</v>
      </c>
      <c r="B525" s="21" t="str">
        <f t="shared" si="56"/>
        <v>Thursday</v>
      </c>
      <c r="C525" s="9">
        <f t="shared" si="57"/>
        <v>44105</v>
      </c>
      <c r="D525">
        <v>74.213500999999994</v>
      </c>
      <c r="E525">
        <v>74.952003000000005</v>
      </c>
      <c r="F525">
        <v>73.960503000000003</v>
      </c>
      <c r="G525">
        <v>74.504501000000005</v>
      </c>
      <c r="H525">
        <v>35590000</v>
      </c>
      <c r="I525">
        <f t="shared" si="58"/>
        <v>0</v>
      </c>
      <c r="J525">
        <f t="shared" si="59"/>
        <v>1.02</v>
      </c>
      <c r="K525" t="str">
        <f t="shared" si="60"/>
        <v>Positive</v>
      </c>
      <c r="L525" s="10">
        <f t="shared" si="61"/>
        <v>1.3750820235679563E-2</v>
      </c>
      <c r="M525" t="str">
        <f t="shared" si="62"/>
        <v/>
      </c>
    </row>
    <row r="526" spans="1:13" x14ac:dyDescent="0.2">
      <c r="A526" s="21" t="s">
        <v>553</v>
      </c>
      <c r="B526" s="21" t="str">
        <f t="shared" si="56"/>
        <v>Friday</v>
      </c>
      <c r="C526" s="9">
        <f t="shared" si="57"/>
        <v>44106</v>
      </c>
      <c r="D526">
        <v>73.101500999999999</v>
      </c>
      <c r="E526">
        <v>74.160004000000001</v>
      </c>
      <c r="F526">
        <v>72.545997999999997</v>
      </c>
      <c r="G526">
        <v>72.920997999999997</v>
      </c>
      <c r="H526">
        <v>25682000</v>
      </c>
      <c r="I526">
        <f t="shared" si="58"/>
        <v>0</v>
      </c>
      <c r="J526">
        <f t="shared" si="59"/>
        <v>-1.58</v>
      </c>
      <c r="K526" t="str">
        <f t="shared" si="60"/>
        <v>Negative</v>
      </c>
      <c r="L526" s="10">
        <f t="shared" si="61"/>
        <v>-2.1715322656445369E-2</v>
      </c>
      <c r="M526" t="str">
        <f t="shared" si="62"/>
        <v/>
      </c>
    </row>
    <row r="527" spans="1:13" x14ac:dyDescent="0.2">
      <c r="A527" s="21" t="s">
        <v>554</v>
      </c>
      <c r="B527" s="21" t="str">
        <f t="shared" si="56"/>
        <v>Monday</v>
      </c>
      <c r="C527" s="9">
        <f t="shared" si="57"/>
        <v>44109</v>
      </c>
      <c r="D527">
        <v>73.310501000000002</v>
      </c>
      <c r="E527">
        <v>74.410499999999999</v>
      </c>
      <c r="F527">
        <v>73.213500999999994</v>
      </c>
      <c r="G527">
        <v>74.301002999999994</v>
      </c>
      <c r="H527">
        <v>22266000</v>
      </c>
      <c r="I527">
        <f t="shared" si="58"/>
        <v>0</v>
      </c>
      <c r="J527">
        <f t="shared" si="59"/>
        <v>1.38</v>
      </c>
      <c r="K527" t="str">
        <f t="shared" si="60"/>
        <v>Positive</v>
      </c>
      <c r="L527" s="10">
        <f t="shared" si="61"/>
        <v>1.8573167848084059E-2</v>
      </c>
      <c r="M527" t="str">
        <f t="shared" si="62"/>
        <v/>
      </c>
    </row>
    <row r="528" spans="1:13" x14ac:dyDescent="0.2">
      <c r="A528" s="21" t="s">
        <v>555</v>
      </c>
      <c r="B528" s="21" t="str">
        <f t="shared" si="56"/>
        <v>Tuesday</v>
      </c>
      <c r="C528" s="9">
        <f t="shared" si="57"/>
        <v>44110</v>
      </c>
      <c r="D528">
        <v>73.778998999999999</v>
      </c>
      <c r="E528">
        <v>74.337997000000001</v>
      </c>
      <c r="F528">
        <v>72.429496999999998</v>
      </c>
      <c r="G528">
        <v>72.671997000000005</v>
      </c>
      <c r="H528">
        <v>24908000</v>
      </c>
      <c r="I528">
        <f t="shared" si="58"/>
        <v>0</v>
      </c>
      <c r="J528">
        <f t="shared" si="59"/>
        <v>-1.63</v>
      </c>
      <c r="K528" t="str">
        <f t="shared" si="60"/>
        <v>Negative</v>
      </c>
      <c r="L528" s="10">
        <f t="shared" si="61"/>
        <v>-2.2415869485463424E-2</v>
      </c>
      <c r="M528" t="str">
        <f t="shared" si="62"/>
        <v/>
      </c>
    </row>
    <row r="529" spans="1:13" x14ac:dyDescent="0.2">
      <c r="A529" s="21" t="s">
        <v>556</v>
      </c>
      <c r="B529" s="21" t="str">
        <f t="shared" si="56"/>
        <v>Wednesday</v>
      </c>
      <c r="C529" s="9">
        <f t="shared" si="57"/>
        <v>44111</v>
      </c>
      <c r="D529">
        <v>73.214500000000001</v>
      </c>
      <c r="E529">
        <v>73.447997999999998</v>
      </c>
      <c r="F529">
        <v>71.800003000000004</v>
      </c>
      <c r="G529">
        <v>73.014503000000005</v>
      </c>
      <c r="H529">
        <v>34924000</v>
      </c>
      <c r="I529">
        <f t="shared" si="58"/>
        <v>0</v>
      </c>
      <c r="J529">
        <f t="shared" si="59"/>
        <v>0.34</v>
      </c>
      <c r="K529" t="str">
        <f t="shared" si="60"/>
        <v>Positive</v>
      </c>
      <c r="L529" s="10">
        <f t="shared" si="61"/>
        <v>4.6909310606414751E-3</v>
      </c>
      <c r="M529" t="str">
        <f t="shared" si="62"/>
        <v/>
      </c>
    </row>
    <row r="530" spans="1:13" x14ac:dyDescent="0.2">
      <c r="A530" s="21" t="s">
        <v>557</v>
      </c>
      <c r="B530" s="21" t="str">
        <f t="shared" si="56"/>
        <v>Thursday</v>
      </c>
      <c r="C530" s="9">
        <f t="shared" si="57"/>
        <v>44112</v>
      </c>
      <c r="D530">
        <v>73.254501000000005</v>
      </c>
      <c r="E530">
        <v>74.5</v>
      </c>
      <c r="F530">
        <v>73.254501000000005</v>
      </c>
      <c r="G530">
        <v>74.296501000000006</v>
      </c>
      <c r="H530">
        <v>23756000</v>
      </c>
      <c r="I530">
        <f t="shared" si="58"/>
        <v>0</v>
      </c>
      <c r="J530">
        <f t="shared" si="59"/>
        <v>1.28</v>
      </c>
      <c r="K530" t="str">
        <f t="shared" si="60"/>
        <v>Positive</v>
      </c>
      <c r="L530" s="10">
        <f t="shared" si="61"/>
        <v>1.7255159835858239E-2</v>
      </c>
      <c r="M530" t="str">
        <f t="shared" si="62"/>
        <v/>
      </c>
    </row>
    <row r="531" spans="1:13" x14ac:dyDescent="0.2">
      <c r="A531" s="21" t="s">
        <v>558</v>
      </c>
      <c r="B531" s="21" t="str">
        <f t="shared" si="56"/>
        <v>Friday</v>
      </c>
      <c r="C531" s="9">
        <f t="shared" si="57"/>
        <v>44113</v>
      </c>
      <c r="D531">
        <v>74.735000999999997</v>
      </c>
      <c r="E531">
        <v>75.825996000000004</v>
      </c>
      <c r="F531">
        <v>74.472504000000001</v>
      </c>
      <c r="G531">
        <v>75.761002000000005</v>
      </c>
      <c r="H531">
        <v>28706000</v>
      </c>
      <c r="I531">
        <f t="shared" si="58"/>
        <v>0</v>
      </c>
      <c r="J531">
        <f t="shared" si="59"/>
        <v>1.46</v>
      </c>
      <c r="K531" t="str">
        <f t="shared" si="60"/>
        <v>Positive</v>
      </c>
      <c r="L531" s="10">
        <f t="shared" si="61"/>
        <v>1.933053894931324E-2</v>
      </c>
      <c r="M531" t="str">
        <f t="shared" si="62"/>
        <v/>
      </c>
    </row>
    <row r="532" spans="1:13" x14ac:dyDescent="0.2">
      <c r="A532" s="21" t="s">
        <v>559</v>
      </c>
      <c r="B532" s="21" t="str">
        <f t="shared" si="56"/>
        <v>Monday</v>
      </c>
      <c r="C532" s="9">
        <f t="shared" si="57"/>
        <v>44116</v>
      </c>
      <c r="D532">
        <v>77.150002000000001</v>
      </c>
      <c r="E532">
        <v>79.693000999999995</v>
      </c>
      <c r="F532">
        <v>76.628501999999997</v>
      </c>
      <c r="G532">
        <v>78.457497000000004</v>
      </c>
      <c r="H532">
        <v>49652000</v>
      </c>
      <c r="I532">
        <f t="shared" si="58"/>
        <v>0</v>
      </c>
      <c r="J532">
        <f t="shared" si="59"/>
        <v>2.7</v>
      </c>
      <c r="K532" t="str">
        <f t="shared" si="60"/>
        <v>Positive</v>
      </c>
      <c r="L532" s="10">
        <f t="shared" si="61"/>
        <v>3.4368863436976566E-2</v>
      </c>
      <c r="M532" t="str">
        <f t="shared" si="62"/>
        <v/>
      </c>
    </row>
    <row r="533" spans="1:13" x14ac:dyDescent="0.2">
      <c r="A533" s="21" t="s">
        <v>560</v>
      </c>
      <c r="B533" s="21" t="str">
        <f t="shared" si="56"/>
        <v>Tuesday</v>
      </c>
      <c r="C533" s="9">
        <f t="shared" si="57"/>
        <v>44117</v>
      </c>
      <c r="D533">
        <v>79.186501000000007</v>
      </c>
      <c r="E533">
        <v>79.5</v>
      </c>
      <c r="F533">
        <v>78.160004000000001</v>
      </c>
      <c r="G533">
        <v>78.584000000000003</v>
      </c>
      <c r="H533">
        <v>32020000</v>
      </c>
      <c r="I533">
        <f t="shared" si="58"/>
        <v>0</v>
      </c>
      <c r="J533">
        <f t="shared" si="59"/>
        <v>0.13</v>
      </c>
      <c r="K533" t="str">
        <f t="shared" si="60"/>
        <v>Positive</v>
      </c>
      <c r="L533" s="10">
        <f t="shared" si="61"/>
        <v>1.6097806169194694E-3</v>
      </c>
      <c r="M533" t="str">
        <f t="shared" si="62"/>
        <v/>
      </c>
    </row>
    <row r="534" spans="1:13" x14ac:dyDescent="0.2">
      <c r="A534" s="21" t="s">
        <v>561</v>
      </c>
      <c r="B534" s="21" t="str">
        <f t="shared" si="56"/>
        <v>Wednesday</v>
      </c>
      <c r="C534" s="9">
        <f t="shared" si="57"/>
        <v>44118</v>
      </c>
      <c r="D534">
        <v>78.929496999999998</v>
      </c>
      <c r="E534">
        <v>79.384201000000004</v>
      </c>
      <c r="F534">
        <v>77.526497000000006</v>
      </c>
      <c r="G534">
        <v>78.403998999999999</v>
      </c>
      <c r="H534">
        <v>38586000</v>
      </c>
      <c r="I534">
        <f t="shared" si="58"/>
        <v>0</v>
      </c>
      <c r="J534">
        <f t="shared" si="59"/>
        <v>-0.18</v>
      </c>
      <c r="K534" t="str">
        <f t="shared" si="60"/>
        <v>Negative</v>
      </c>
      <c r="L534" s="10">
        <f t="shared" si="61"/>
        <v>-2.2958140183640926E-3</v>
      </c>
      <c r="M534" t="str">
        <f t="shared" si="62"/>
        <v/>
      </c>
    </row>
    <row r="535" spans="1:13" x14ac:dyDescent="0.2">
      <c r="A535" s="21" t="s">
        <v>562</v>
      </c>
      <c r="B535" s="21" t="str">
        <f t="shared" si="56"/>
        <v>Thursday</v>
      </c>
      <c r="C535" s="9">
        <f t="shared" si="57"/>
        <v>44119</v>
      </c>
      <c r="D535">
        <v>77.357498000000007</v>
      </c>
      <c r="E535">
        <v>78.755249000000006</v>
      </c>
      <c r="F535">
        <v>77.251503</v>
      </c>
      <c r="G535">
        <v>77.956496999999999</v>
      </c>
      <c r="H535">
        <v>30800000</v>
      </c>
      <c r="I535">
        <f t="shared" si="58"/>
        <v>0</v>
      </c>
      <c r="J535">
        <f t="shared" si="59"/>
        <v>-0.45</v>
      </c>
      <c r="K535" t="str">
        <f t="shared" si="60"/>
        <v>Negative</v>
      </c>
      <c r="L535" s="10">
        <f t="shared" si="61"/>
        <v>-5.7404067296661634E-3</v>
      </c>
      <c r="M535" t="str">
        <f t="shared" si="62"/>
        <v/>
      </c>
    </row>
    <row r="536" spans="1:13" x14ac:dyDescent="0.2">
      <c r="A536" s="21" t="s">
        <v>563</v>
      </c>
      <c r="B536" s="21" t="str">
        <f t="shared" si="56"/>
        <v>Friday</v>
      </c>
      <c r="C536" s="9">
        <f t="shared" si="57"/>
        <v>44120</v>
      </c>
      <c r="D536">
        <v>78.292502999999996</v>
      </c>
      <c r="E536">
        <v>79.056503000000006</v>
      </c>
      <c r="F536">
        <v>78.150002000000001</v>
      </c>
      <c r="G536">
        <v>78.650497000000001</v>
      </c>
      <c r="H536">
        <v>28694000</v>
      </c>
      <c r="I536">
        <f t="shared" si="58"/>
        <v>0</v>
      </c>
      <c r="J536">
        <f t="shared" si="59"/>
        <v>0.69</v>
      </c>
      <c r="K536" t="str">
        <f t="shared" si="60"/>
        <v>Positive</v>
      </c>
      <c r="L536" s="10">
        <f t="shared" si="61"/>
        <v>8.8238476102700612E-3</v>
      </c>
      <c r="M536" t="str">
        <f t="shared" si="62"/>
        <v/>
      </c>
    </row>
    <row r="537" spans="1:13" x14ac:dyDescent="0.2">
      <c r="A537" s="21" t="s">
        <v>564</v>
      </c>
      <c r="B537" s="21" t="str">
        <f t="shared" si="56"/>
        <v>Monday</v>
      </c>
      <c r="C537" s="9">
        <f t="shared" si="57"/>
        <v>44123</v>
      </c>
      <c r="D537">
        <v>79.023003000000003</v>
      </c>
      <c r="E537">
        <v>79.407500999999996</v>
      </c>
      <c r="F537">
        <v>76.400002000000001</v>
      </c>
      <c r="G537">
        <v>76.730498999999995</v>
      </c>
      <c r="H537">
        <v>32142000</v>
      </c>
      <c r="I537">
        <f t="shared" si="58"/>
        <v>0</v>
      </c>
      <c r="J537">
        <f t="shared" si="59"/>
        <v>-1.92</v>
      </c>
      <c r="K537" t="str">
        <f t="shared" si="60"/>
        <v>Negative</v>
      </c>
      <c r="L537" s="10">
        <f t="shared" si="61"/>
        <v>-2.502261845058517E-2</v>
      </c>
      <c r="M537" t="str">
        <f t="shared" si="62"/>
        <v/>
      </c>
    </row>
    <row r="538" spans="1:13" x14ac:dyDescent="0.2">
      <c r="A538" s="21" t="s">
        <v>565</v>
      </c>
      <c r="B538" s="21" t="str">
        <f t="shared" si="56"/>
        <v>Tuesday</v>
      </c>
      <c r="C538" s="9">
        <f t="shared" si="57"/>
        <v>44124</v>
      </c>
      <c r="D538">
        <v>76.352501000000004</v>
      </c>
      <c r="E538">
        <v>78.875</v>
      </c>
      <c r="F538">
        <v>76.283501000000001</v>
      </c>
      <c r="G538">
        <v>77.796501000000006</v>
      </c>
      <c r="H538">
        <v>44834000</v>
      </c>
      <c r="I538">
        <f t="shared" si="58"/>
        <v>0</v>
      </c>
      <c r="J538">
        <f t="shared" si="59"/>
        <v>1.07</v>
      </c>
      <c r="K538" t="str">
        <f t="shared" si="60"/>
        <v>Positive</v>
      </c>
      <c r="L538" s="10">
        <f t="shared" si="61"/>
        <v>1.3702441450419623E-2</v>
      </c>
      <c r="M538" t="str">
        <f t="shared" si="62"/>
        <v/>
      </c>
    </row>
    <row r="539" spans="1:13" x14ac:dyDescent="0.2">
      <c r="A539" s="21" t="s">
        <v>566</v>
      </c>
      <c r="B539" s="21" t="str">
        <f t="shared" si="56"/>
        <v>Wednesday</v>
      </c>
      <c r="C539" s="9">
        <f t="shared" si="57"/>
        <v>44125</v>
      </c>
      <c r="D539">
        <v>78.666495999999995</v>
      </c>
      <c r="E539">
        <v>80.936501000000007</v>
      </c>
      <c r="F539">
        <v>78.581496999999999</v>
      </c>
      <c r="G539">
        <v>79.665497000000002</v>
      </c>
      <c r="H539">
        <v>51366000</v>
      </c>
      <c r="I539">
        <f t="shared" si="58"/>
        <v>0</v>
      </c>
      <c r="J539">
        <f t="shared" si="59"/>
        <v>1.87</v>
      </c>
      <c r="K539" t="str">
        <f t="shared" si="60"/>
        <v>Positive</v>
      </c>
      <c r="L539" s="10">
        <f t="shared" si="61"/>
        <v>2.3460545284742222E-2</v>
      </c>
      <c r="M539" t="str">
        <f t="shared" si="62"/>
        <v/>
      </c>
    </row>
    <row r="540" spans="1:13" x14ac:dyDescent="0.2">
      <c r="A540" s="21" t="s">
        <v>567</v>
      </c>
      <c r="B540" s="21" t="str">
        <f t="shared" si="56"/>
        <v>Thursday</v>
      </c>
      <c r="C540" s="9">
        <f t="shared" si="57"/>
        <v>44126</v>
      </c>
      <c r="D540">
        <v>79.652495999999999</v>
      </c>
      <c r="E540">
        <v>81.099502999999999</v>
      </c>
      <c r="F540">
        <v>79.25</v>
      </c>
      <c r="G540">
        <v>80.766502000000003</v>
      </c>
      <c r="H540">
        <v>28672000</v>
      </c>
      <c r="I540">
        <f t="shared" si="58"/>
        <v>0</v>
      </c>
      <c r="J540">
        <f t="shared" si="59"/>
        <v>1.1000000000000001</v>
      </c>
      <c r="K540" t="str">
        <f t="shared" si="60"/>
        <v>Positive</v>
      </c>
      <c r="L540" s="10">
        <f t="shared" si="61"/>
        <v>1.3631951028410276E-2</v>
      </c>
      <c r="M540" t="str">
        <f t="shared" si="62"/>
        <v/>
      </c>
    </row>
    <row r="541" spans="1:13" x14ac:dyDescent="0.2">
      <c r="A541" s="21" t="s">
        <v>568</v>
      </c>
      <c r="B541" s="21" t="str">
        <f t="shared" si="56"/>
        <v>Friday</v>
      </c>
      <c r="C541" s="9">
        <f t="shared" si="57"/>
        <v>44127</v>
      </c>
      <c r="D541">
        <v>81.303496999999993</v>
      </c>
      <c r="E541">
        <v>82.117996000000005</v>
      </c>
      <c r="F541">
        <v>81.025497000000001</v>
      </c>
      <c r="G541">
        <v>82.050003000000004</v>
      </c>
      <c r="H541">
        <v>27516000</v>
      </c>
      <c r="I541">
        <f t="shared" si="58"/>
        <v>0</v>
      </c>
      <c r="J541">
        <f t="shared" si="59"/>
        <v>1.28</v>
      </c>
      <c r="K541" t="str">
        <f t="shared" si="60"/>
        <v>Positive</v>
      </c>
      <c r="L541" s="10">
        <f t="shared" si="61"/>
        <v>1.5642912286060504E-2</v>
      </c>
      <c r="M541" t="str">
        <f t="shared" si="62"/>
        <v/>
      </c>
    </row>
    <row r="542" spans="1:13" x14ac:dyDescent="0.2">
      <c r="A542" s="21" t="s">
        <v>569</v>
      </c>
      <c r="B542" s="21" t="str">
        <f t="shared" si="56"/>
        <v>Monday</v>
      </c>
      <c r="C542" s="9">
        <f t="shared" si="57"/>
        <v>44130</v>
      </c>
      <c r="D542">
        <v>81.250504000000006</v>
      </c>
      <c r="E542">
        <v>81.912002999999999</v>
      </c>
      <c r="F542">
        <v>78.824996999999996</v>
      </c>
      <c r="G542">
        <v>79.522498999999996</v>
      </c>
      <c r="H542">
        <v>37066000</v>
      </c>
      <c r="I542">
        <f t="shared" si="58"/>
        <v>0</v>
      </c>
      <c r="J542">
        <f t="shared" si="59"/>
        <v>-2.5299999999999998</v>
      </c>
      <c r="K542" t="str">
        <f t="shared" si="60"/>
        <v>Negative</v>
      </c>
      <c r="L542" s="10">
        <f t="shared" si="61"/>
        <v>-3.1783508211933931E-2</v>
      </c>
      <c r="M542" t="str">
        <f t="shared" si="62"/>
        <v/>
      </c>
    </row>
    <row r="543" spans="1:13" x14ac:dyDescent="0.2">
      <c r="A543" s="21" t="s">
        <v>570</v>
      </c>
      <c r="B543" s="21" t="str">
        <f t="shared" si="56"/>
        <v>Tuesday</v>
      </c>
      <c r="C543" s="9">
        <f t="shared" si="57"/>
        <v>44131</v>
      </c>
      <c r="D543">
        <v>79.783501000000001</v>
      </c>
      <c r="E543">
        <v>80.342247</v>
      </c>
      <c r="F543">
        <v>79.138999999999996</v>
      </c>
      <c r="G543">
        <v>80.212997000000001</v>
      </c>
      <c r="H543">
        <v>24580000</v>
      </c>
      <c r="I543">
        <f t="shared" si="58"/>
        <v>0</v>
      </c>
      <c r="J543">
        <f t="shared" si="59"/>
        <v>0.69</v>
      </c>
      <c r="K543" t="str">
        <f t="shared" si="60"/>
        <v>Positive</v>
      </c>
      <c r="L543" s="10">
        <f t="shared" si="61"/>
        <v>8.6083057088616848E-3</v>
      </c>
      <c r="M543" t="str">
        <f t="shared" si="62"/>
        <v/>
      </c>
    </row>
    <row r="544" spans="1:13" x14ac:dyDescent="0.2">
      <c r="A544" s="21" t="s">
        <v>571</v>
      </c>
      <c r="B544" s="21" t="str">
        <f t="shared" si="56"/>
        <v>Wednesday</v>
      </c>
      <c r="C544" s="9">
        <f t="shared" si="57"/>
        <v>44132</v>
      </c>
      <c r="D544">
        <v>77.986999999999995</v>
      </c>
      <c r="E544">
        <v>78.067497000000003</v>
      </c>
      <c r="F544">
        <v>75.731003000000001</v>
      </c>
      <c r="G544">
        <v>75.831001000000001</v>
      </c>
      <c r="H544">
        <v>36680000</v>
      </c>
      <c r="I544">
        <f t="shared" si="58"/>
        <v>0</v>
      </c>
      <c r="J544">
        <f t="shared" si="59"/>
        <v>-4.38</v>
      </c>
      <c r="K544" t="str">
        <f t="shared" si="60"/>
        <v>Negative</v>
      </c>
      <c r="L544" s="10">
        <f t="shared" si="61"/>
        <v>-5.7786339916573184E-2</v>
      </c>
      <c r="M544" t="str">
        <f t="shared" si="62"/>
        <v/>
      </c>
    </row>
    <row r="545" spans="1:13" x14ac:dyDescent="0.2">
      <c r="A545" s="21" t="s">
        <v>572</v>
      </c>
      <c r="B545" s="21" t="str">
        <f t="shared" si="56"/>
        <v>Thursday</v>
      </c>
      <c r="C545" s="9">
        <f t="shared" si="57"/>
        <v>44133</v>
      </c>
      <c r="D545">
        <v>76.117996000000005</v>
      </c>
      <c r="E545">
        <v>79.685501000000002</v>
      </c>
      <c r="F545">
        <v>76.111999999999995</v>
      </c>
      <c r="G545">
        <v>78.361999999999995</v>
      </c>
      <c r="H545">
        <v>40062000</v>
      </c>
      <c r="I545">
        <f t="shared" si="58"/>
        <v>0</v>
      </c>
      <c r="J545">
        <f t="shared" si="59"/>
        <v>2.5299999999999998</v>
      </c>
      <c r="K545" t="str">
        <f t="shared" si="60"/>
        <v>Positive</v>
      </c>
      <c r="L545" s="10">
        <f t="shared" si="61"/>
        <v>3.2298805543503159E-2</v>
      </c>
      <c r="M545" t="str">
        <f t="shared" si="62"/>
        <v/>
      </c>
    </row>
    <row r="546" spans="1:13" x14ac:dyDescent="0.2">
      <c r="A546" s="21" t="s">
        <v>573</v>
      </c>
      <c r="B546" s="21" t="str">
        <f t="shared" si="56"/>
        <v>Friday</v>
      </c>
      <c r="C546" s="9">
        <f t="shared" si="57"/>
        <v>44134</v>
      </c>
      <c r="D546">
        <v>83.605498999999995</v>
      </c>
      <c r="E546">
        <v>84.349997999999999</v>
      </c>
      <c r="F546">
        <v>80.222999999999999</v>
      </c>
      <c r="G546">
        <v>81.050499000000002</v>
      </c>
      <c r="H546">
        <v>86582000</v>
      </c>
      <c r="I546">
        <f t="shared" si="58"/>
        <v>0</v>
      </c>
      <c r="J546">
        <f t="shared" si="59"/>
        <v>2.69</v>
      </c>
      <c r="K546" t="str">
        <f t="shared" si="60"/>
        <v>Positive</v>
      </c>
      <c r="L546" s="10">
        <f t="shared" si="61"/>
        <v>3.3170665611818223E-2</v>
      </c>
      <c r="M546" t="str">
        <f t="shared" si="62"/>
        <v/>
      </c>
    </row>
    <row r="547" spans="1:13" x14ac:dyDescent="0.2">
      <c r="A547" s="21" t="s">
        <v>574</v>
      </c>
      <c r="B547" s="21" t="str">
        <f t="shared" si="56"/>
        <v>Monday</v>
      </c>
      <c r="C547" s="9">
        <f t="shared" si="57"/>
        <v>44137</v>
      </c>
      <c r="D547">
        <v>81.407996999999995</v>
      </c>
      <c r="E547">
        <v>83.038498000000004</v>
      </c>
      <c r="F547">
        <v>80.801497999999995</v>
      </c>
      <c r="G547">
        <v>81.301497999999995</v>
      </c>
      <c r="H547">
        <v>50708000</v>
      </c>
      <c r="I547">
        <f t="shared" si="58"/>
        <v>0</v>
      </c>
      <c r="J547">
        <f t="shared" si="59"/>
        <v>0.25</v>
      </c>
      <c r="K547" t="str">
        <f t="shared" si="60"/>
        <v>Positive</v>
      </c>
      <c r="L547" s="10">
        <f t="shared" si="61"/>
        <v>3.0872616885852843E-3</v>
      </c>
      <c r="M547" t="str">
        <f t="shared" si="62"/>
        <v/>
      </c>
    </row>
    <row r="548" spans="1:13" x14ac:dyDescent="0.2">
      <c r="A548" s="21" t="s">
        <v>575</v>
      </c>
      <c r="B548" s="21" t="str">
        <f t="shared" si="56"/>
        <v>Tuesday</v>
      </c>
      <c r="C548" s="9">
        <f t="shared" si="57"/>
        <v>44138</v>
      </c>
      <c r="D548">
        <v>81.588997000000006</v>
      </c>
      <c r="E548">
        <v>83.084998999999996</v>
      </c>
      <c r="F548">
        <v>80.831001000000001</v>
      </c>
      <c r="G548">
        <v>82.510497999999998</v>
      </c>
      <c r="H548">
        <v>33234000</v>
      </c>
      <c r="I548">
        <f t="shared" si="58"/>
        <v>0</v>
      </c>
      <c r="J548">
        <f t="shared" si="59"/>
        <v>1.21</v>
      </c>
      <c r="K548" t="str">
        <f t="shared" si="60"/>
        <v>Positive</v>
      </c>
      <c r="L548" s="10">
        <f t="shared" si="61"/>
        <v>1.465268092309906E-2</v>
      </c>
      <c r="M548" t="str">
        <f t="shared" si="62"/>
        <v/>
      </c>
    </row>
    <row r="549" spans="1:13" x14ac:dyDescent="0.2">
      <c r="A549" s="21" t="s">
        <v>576</v>
      </c>
      <c r="B549" s="21" t="str">
        <f t="shared" si="56"/>
        <v>Wednesday</v>
      </c>
      <c r="C549" s="9">
        <f t="shared" si="57"/>
        <v>44139</v>
      </c>
      <c r="D549">
        <v>85.513999999999996</v>
      </c>
      <c r="E549">
        <v>88.568252999999999</v>
      </c>
      <c r="F549">
        <v>85.301497999999995</v>
      </c>
      <c r="G549">
        <v>87.456496999999999</v>
      </c>
      <c r="H549">
        <v>71418000</v>
      </c>
      <c r="I549">
        <f t="shared" si="58"/>
        <v>0</v>
      </c>
      <c r="J549">
        <f t="shared" si="59"/>
        <v>4.95</v>
      </c>
      <c r="K549" t="str">
        <f t="shared" si="60"/>
        <v>Positive</v>
      </c>
      <c r="L549" s="10">
        <f t="shared" si="61"/>
        <v>5.6553820123849699E-2</v>
      </c>
      <c r="M549">
        <f t="shared" si="62"/>
        <v>5.6553820123849699E-2</v>
      </c>
    </row>
    <row r="550" spans="1:13" x14ac:dyDescent="0.2">
      <c r="A550" s="21" t="s">
        <v>577</v>
      </c>
      <c r="B550" s="21" t="str">
        <f t="shared" si="56"/>
        <v>Thursday</v>
      </c>
      <c r="C550" s="9">
        <f t="shared" si="57"/>
        <v>44140</v>
      </c>
      <c r="D550">
        <v>89.050003000000004</v>
      </c>
      <c r="E550">
        <v>89.681999000000005</v>
      </c>
      <c r="F550">
        <v>87.525497000000001</v>
      </c>
      <c r="G550">
        <v>88.168503000000001</v>
      </c>
      <c r="H550">
        <v>41316000</v>
      </c>
      <c r="I550">
        <f t="shared" si="58"/>
        <v>0</v>
      </c>
      <c r="J550">
        <f t="shared" si="59"/>
        <v>0.71</v>
      </c>
      <c r="K550" t="str">
        <f t="shared" si="60"/>
        <v>Positive</v>
      </c>
      <c r="L550" s="10">
        <f t="shared" si="61"/>
        <v>8.0755142230327127E-3</v>
      </c>
      <c r="M550" t="str">
        <f t="shared" si="62"/>
        <v/>
      </c>
    </row>
    <row r="551" spans="1:13" x14ac:dyDescent="0.2">
      <c r="A551" s="21" t="s">
        <v>578</v>
      </c>
      <c r="B551" s="21" t="str">
        <f t="shared" si="56"/>
        <v>Friday</v>
      </c>
      <c r="C551" s="9">
        <f t="shared" si="57"/>
        <v>44141</v>
      </c>
      <c r="D551">
        <v>87.697502</v>
      </c>
      <c r="E551">
        <v>88.621498000000003</v>
      </c>
      <c r="F551">
        <v>87.017501999999993</v>
      </c>
      <c r="G551">
        <v>88.087502000000001</v>
      </c>
      <c r="H551">
        <v>33218000</v>
      </c>
      <c r="I551">
        <f t="shared" si="58"/>
        <v>0</v>
      </c>
      <c r="J551">
        <f t="shared" si="59"/>
        <v>-0.08</v>
      </c>
      <c r="K551" t="str">
        <f t="shared" si="60"/>
        <v>Negative</v>
      </c>
      <c r="L551" s="10">
        <f t="shared" si="61"/>
        <v>-9.1955156135544119E-4</v>
      </c>
      <c r="M551" t="str">
        <f t="shared" si="62"/>
        <v/>
      </c>
    </row>
    <row r="552" spans="1:13" x14ac:dyDescent="0.2">
      <c r="A552" s="21" t="s">
        <v>579</v>
      </c>
      <c r="B552" s="21" t="str">
        <f t="shared" si="56"/>
        <v>Monday</v>
      </c>
      <c r="C552" s="9">
        <f t="shared" si="57"/>
        <v>44144</v>
      </c>
      <c r="D552">
        <v>89.544998000000007</v>
      </c>
      <c r="E552">
        <v>90.903000000000006</v>
      </c>
      <c r="F552">
        <v>88.000998999999993</v>
      </c>
      <c r="G552">
        <v>88.150002000000001</v>
      </c>
      <c r="H552">
        <v>45366000</v>
      </c>
      <c r="I552">
        <f t="shared" si="58"/>
        <v>0</v>
      </c>
      <c r="J552">
        <f t="shared" si="59"/>
        <v>0.06</v>
      </c>
      <c r="K552" t="str">
        <f t="shared" si="60"/>
        <v>Positive</v>
      </c>
      <c r="L552" s="10">
        <f t="shared" si="61"/>
        <v>7.0901870200751663E-4</v>
      </c>
      <c r="M552" t="str">
        <f t="shared" si="62"/>
        <v/>
      </c>
    </row>
    <row r="553" spans="1:13" x14ac:dyDescent="0.2">
      <c r="A553" s="21" t="s">
        <v>580</v>
      </c>
      <c r="B553" s="21" t="str">
        <f t="shared" si="56"/>
        <v>Tuesday</v>
      </c>
      <c r="C553" s="9">
        <f t="shared" si="57"/>
        <v>44145</v>
      </c>
      <c r="D553">
        <v>86.554496999999998</v>
      </c>
      <c r="E553">
        <v>88.150002000000001</v>
      </c>
      <c r="F553">
        <v>85.864998</v>
      </c>
      <c r="G553">
        <v>87.019501000000005</v>
      </c>
      <c r="H553">
        <v>52722000</v>
      </c>
      <c r="I553">
        <f t="shared" si="58"/>
        <v>0</v>
      </c>
      <c r="J553">
        <f t="shared" si="59"/>
        <v>-1.1299999999999999</v>
      </c>
      <c r="K553" t="str">
        <f t="shared" si="60"/>
        <v>Negative</v>
      </c>
      <c r="L553" s="10">
        <f t="shared" si="61"/>
        <v>-1.2991352363650019E-2</v>
      </c>
      <c r="M553" t="str">
        <f t="shared" si="62"/>
        <v/>
      </c>
    </row>
    <row r="554" spans="1:13" x14ac:dyDescent="0.2">
      <c r="A554" s="21" t="s">
        <v>581</v>
      </c>
      <c r="B554" s="21" t="str">
        <f t="shared" si="56"/>
        <v>Wednesday</v>
      </c>
      <c r="C554" s="9">
        <f t="shared" si="57"/>
        <v>44146</v>
      </c>
      <c r="D554">
        <v>87.5</v>
      </c>
      <c r="E554">
        <v>88.210999000000001</v>
      </c>
      <c r="F554">
        <v>87.368247999999994</v>
      </c>
      <c r="G554">
        <v>87.635497999999998</v>
      </c>
      <c r="H554">
        <v>25280000</v>
      </c>
      <c r="I554">
        <f t="shared" si="58"/>
        <v>0</v>
      </c>
      <c r="J554">
        <f t="shared" si="59"/>
        <v>0.62</v>
      </c>
      <c r="K554" t="str">
        <f t="shared" si="60"/>
        <v>Positive</v>
      </c>
      <c r="L554" s="10">
        <f t="shared" si="61"/>
        <v>7.029080841190553E-3</v>
      </c>
      <c r="M554" t="str">
        <f t="shared" si="62"/>
        <v/>
      </c>
    </row>
    <row r="555" spans="1:13" x14ac:dyDescent="0.2">
      <c r="A555" s="21" t="s">
        <v>582</v>
      </c>
      <c r="B555" s="21" t="str">
        <f t="shared" si="56"/>
        <v>Thursday</v>
      </c>
      <c r="C555" s="9">
        <f t="shared" si="57"/>
        <v>44147</v>
      </c>
      <c r="D555">
        <v>87.381500000000003</v>
      </c>
      <c r="E555">
        <v>88.413498000000004</v>
      </c>
      <c r="F555">
        <v>87.279999000000004</v>
      </c>
      <c r="G555">
        <v>87.491996999999998</v>
      </c>
      <c r="H555">
        <v>24950000</v>
      </c>
      <c r="I555">
        <f t="shared" si="58"/>
        <v>0</v>
      </c>
      <c r="J555">
        <f t="shared" si="59"/>
        <v>-0.14000000000000001</v>
      </c>
      <c r="K555" t="str">
        <f t="shared" si="60"/>
        <v>Negative</v>
      </c>
      <c r="L555" s="10">
        <f t="shared" si="61"/>
        <v>-1.6401614424231344E-3</v>
      </c>
      <c r="M555" t="str">
        <f t="shared" si="62"/>
        <v/>
      </c>
    </row>
    <row r="556" spans="1:13" x14ac:dyDescent="0.2">
      <c r="A556" s="21" t="s">
        <v>583</v>
      </c>
      <c r="B556" s="21" t="str">
        <f t="shared" si="56"/>
        <v>Friday</v>
      </c>
      <c r="C556" s="9">
        <f t="shared" si="57"/>
        <v>44148</v>
      </c>
      <c r="D556">
        <v>87.881500000000003</v>
      </c>
      <c r="E556">
        <v>89.052002000000002</v>
      </c>
      <c r="F556">
        <v>87.227501000000004</v>
      </c>
      <c r="G556">
        <v>88.850998000000004</v>
      </c>
      <c r="H556">
        <v>29998000</v>
      </c>
      <c r="I556">
        <f t="shared" si="58"/>
        <v>0</v>
      </c>
      <c r="J556">
        <f t="shared" si="59"/>
        <v>1.36</v>
      </c>
      <c r="K556" t="str">
        <f t="shared" si="60"/>
        <v>Positive</v>
      </c>
      <c r="L556" s="10">
        <f t="shared" si="61"/>
        <v>1.5295281207758705E-2</v>
      </c>
      <c r="M556" t="str">
        <f t="shared" si="62"/>
        <v/>
      </c>
    </row>
    <row r="557" spans="1:13" x14ac:dyDescent="0.2">
      <c r="A557" s="21" t="s">
        <v>584</v>
      </c>
      <c r="B557" s="21" t="str">
        <f t="shared" si="56"/>
        <v>Monday</v>
      </c>
      <c r="C557" s="9">
        <f t="shared" si="57"/>
        <v>44151</v>
      </c>
      <c r="D557">
        <v>88.584998999999996</v>
      </c>
      <c r="E557">
        <v>89.953498999999994</v>
      </c>
      <c r="F557">
        <v>88.384499000000005</v>
      </c>
      <c r="G557">
        <v>89.069000000000003</v>
      </c>
      <c r="H557">
        <v>24936000</v>
      </c>
      <c r="I557">
        <f t="shared" si="58"/>
        <v>0</v>
      </c>
      <c r="J557">
        <f t="shared" si="59"/>
        <v>0.22</v>
      </c>
      <c r="K557" t="str">
        <f t="shared" si="60"/>
        <v>Positive</v>
      </c>
      <c r="L557" s="10">
        <f t="shared" si="61"/>
        <v>2.4475631252175107E-3</v>
      </c>
      <c r="M557" t="str">
        <f t="shared" si="62"/>
        <v/>
      </c>
    </row>
    <row r="558" spans="1:13" x14ac:dyDescent="0.2">
      <c r="A558" s="21" t="s">
        <v>585</v>
      </c>
      <c r="B558" s="21" t="str">
        <f t="shared" si="56"/>
        <v>Tuesday</v>
      </c>
      <c r="C558" s="9">
        <f t="shared" si="57"/>
        <v>44152</v>
      </c>
      <c r="D558">
        <v>88.846999999999994</v>
      </c>
      <c r="E558">
        <v>89.25</v>
      </c>
      <c r="F558">
        <v>88.349997999999999</v>
      </c>
      <c r="G558">
        <v>88.507499999999993</v>
      </c>
      <c r="H558">
        <v>22942000</v>
      </c>
      <c r="I558">
        <f t="shared" si="58"/>
        <v>0</v>
      </c>
      <c r="J558">
        <f t="shared" si="59"/>
        <v>-0.56000000000000005</v>
      </c>
      <c r="K558" t="str">
        <f t="shared" si="60"/>
        <v>Negative</v>
      </c>
      <c r="L558" s="10">
        <f t="shared" si="61"/>
        <v>-6.3440951331809109E-3</v>
      </c>
      <c r="M558" t="str">
        <f t="shared" si="62"/>
        <v/>
      </c>
    </row>
    <row r="559" spans="1:13" x14ac:dyDescent="0.2">
      <c r="A559" s="21" t="s">
        <v>586</v>
      </c>
      <c r="B559" s="21" t="str">
        <f t="shared" si="56"/>
        <v>Wednesday</v>
      </c>
      <c r="C559" s="9">
        <f t="shared" si="57"/>
        <v>44153</v>
      </c>
      <c r="D559">
        <v>88.261497000000006</v>
      </c>
      <c r="E559">
        <v>88.673500000000004</v>
      </c>
      <c r="F559">
        <v>87.306999000000005</v>
      </c>
      <c r="G559">
        <v>87.338997000000006</v>
      </c>
      <c r="H559">
        <v>23470000</v>
      </c>
      <c r="I559">
        <f t="shared" si="58"/>
        <v>0</v>
      </c>
      <c r="J559">
        <f t="shared" si="59"/>
        <v>-1.17</v>
      </c>
      <c r="K559" t="str">
        <f t="shared" si="60"/>
        <v>Negative</v>
      </c>
      <c r="L559" s="10">
        <f t="shared" si="61"/>
        <v>-1.3378937704081797E-2</v>
      </c>
      <c r="M559" t="str">
        <f t="shared" si="62"/>
        <v/>
      </c>
    </row>
    <row r="560" spans="1:13" x14ac:dyDescent="0.2">
      <c r="A560" s="21" t="s">
        <v>587</v>
      </c>
      <c r="B560" s="21" t="str">
        <f t="shared" si="56"/>
        <v>Thursday</v>
      </c>
      <c r="C560" s="9">
        <f t="shared" si="57"/>
        <v>44154</v>
      </c>
      <c r="D560">
        <v>86.918998999999999</v>
      </c>
      <c r="E560">
        <v>88.479500000000002</v>
      </c>
      <c r="F560">
        <v>86.850250000000003</v>
      </c>
      <c r="G560">
        <v>88.195999</v>
      </c>
      <c r="H560">
        <v>24998000</v>
      </c>
      <c r="I560">
        <f t="shared" si="58"/>
        <v>0</v>
      </c>
      <c r="J560">
        <f t="shared" si="59"/>
        <v>0.86</v>
      </c>
      <c r="K560" t="str">
        <f t="shared" si="60"/>
        <v>Positive</v>
      </c>
      <c r="L560" s="10">
        <f t="shared" si="61"/>
        <v>9.7170167549209836E-3</v>
      </c>
      <c r="M560" t="str">
        <f t="shared" si="62"/>
        <v/>
      </c>
    </row>
    <row r="561" spans="1:13" x14ac:dyDescent="0.2">
      <c r="A561" s="21" t="s">
        <v>588</v>
      </c>
      <c r="B561" s="21" t="str">
        <f t="shared" si="56"/>
        <v>Friday</v>
      </c>
      <c r="C561" s="9">
        <f t="shared" si="57"/>
        <v>44155</v>
      </c>
      <c r="D561">
        <v>88.260497999999998</v>
      </c>
      <c r="E561">
        <v>88.699996999999996</v>
      </c>
      <c r="F561">
        <v>87.093001999999998</v>
      </c>
      <c r="G561">
        <v>87.109497000000005</v>
      </c>
      <c r="H561">
        <v>46270000</v>
      </c>
      <c r="I561">
        <f t="shared" si="58"/>
        <v>0</v>
      </c>
      <c r="J561">
        <f t="shared" si="59"/>
        <v>-1.0900000000000001</v>
      </c>
      <c r="K561" t="str">
        <f t="shared" si="60"/>
        <v>Negative</v>
      </c>
      <c r="L561" s="10">
        <f t="shared" si="61"/>
        <v>-1.2472830603074149E-2</v>
      </c>
      <c r="M561" t="str">
        <f t="shared" si="62"/>
        <v/>
      </c>
    </row>
    <row r="562" spans="1:13" x14ac:dyDescent="0.2">
      <c r="A562" s="21" t="s">
        <v>589</v>
      </c>
      <c r="B562" s="21" t="str">
        <f t="shared" si="56"/>
        <v>Monday</v>
      </c>
      <c r="C562" s="9">
        <f t="shared" si="57"/>
        <v>44158</v>
      </c>
      <c r="D562">
        <v>87.480002999999996</v>
      </c>
      <c r="E562">
        <v>87.694999999999993</v>
      </c>
      <c r="F562">
        <v>85.886002000000005</v>
      </c>
      <c r="G562">
        <v>86.742996000000005</v>
      </c>
      <c r="H562">
        <v>43232000</v>
      </c>
      <c r="I562">
        <f t="shared" si="58"/>
        <v>0</v>
      </c>
      <c r="J562">
        <f t="shared" si="59"/>
        <v>-0.37</v>
      </c>
      <c r="K562" t="str">
        <f t="shared" si="60"/>
        <v>Negative</v>
      </c>
      <c r="L562" s="10">
        <f t="shared" si="61"/>
        <v>-4.2251365170739488E-3</v>
      </c>
      <c r="M562" t="str">
        <f t="shared" si="62"/>
        <v/>
      </c>
    </row>
    <row r="563" spans="1:13" x14ac:dyDescent="0.2">
      <c r="A563" s="21" t="s">
        <v>590</v>
      </c>
      <c r="B563" s="21" t="str">
        <f t="shared" si="56"/>
        <v>Tuesday</v>
      </c>
      <c r="C563" s="9">
        <f t="shared" si="57"/>
        <v>44159</v>
      </c>
      <c r="D563">
        <v>86.525002000000001</v>
      </c>
      <c r="E563">
        <v>88.580001999999993</v>
      </c>
      <c r="F563">
        <v>86.384499000000005</v>
      </c>
      <c r="G563">
        <v>88.444000000000003</v>
      </c>
      <c r="H563">
        <v>31560000</v>
      </c>
      <c r="I563">
        <f t="shared" si="58"/>
        <v>0</v>
      </c>
      <c r="J563">
        <f t="shared" si="59"/>
        <v>1.7</v>
      </c>
      <c r="K563" t="str">
        <f t="shared" si="60"/>
        <v>Positive</v>
      </c>
      <c r="L563" s="10">
        <f t="shared" si="61"/>
        <v>1.9232553932431791E-2</v>
      </c>
      <c r="M563" t="str">
        <f t="shared" si="62"/>
        <v/>
      </c>
    </row>
    <row r="564" spans="1:13" x14ac:dyDescent="0.2">
      <c r="A564" s="21" t="s">
        <v>591</v>
      </c>
      <c r="B564" s="21" t="str">
        <f t="shared" si="56"/>
        <v>Wednesday</v>
      </c>
      <c r="C564" s="9">
        <f t="shared" si="57"/>
        <v>44160</v>
      </c>
      <c r="D564">
        <v>88.644501000000005</v>
      </c>
      <c r="E564">
        <v>88.927002000000002</v>
      </c>
      <c r="F564">
        <v>87.827003000000005</v>
      </c>
      <c r="G564">
        <v>88.571503000000007</v>
      </c>
      <c r="H564">
        <v>20916000</v>
      </c>
      <c r="I564">
        <f t="shared" si="58"/>
        <v>0</v>
      </c>
      <c r="J564">
        <f t="shared" si="59"/>
        <v>0.13</v>
      </c>
      <c r="K564" t="str">
        <f t="shared" si="60"/>
        <v>Positive</v>
      </c>
      <c r="L564" s="10">
        <f t="shared" si="61"/>
        <v>1.4395487903146947E-3</v>
      </c>
      <c r="M564" t="str">
        <f t="shared" si="62"/>
        <v/>
      </c>
    </row>
    <row r="565" spans="1:13" x14ac:dyDescent="0.2">
      <c r="A565" s="21" t="s">
        <v>592</v>
      </c>
      <c r="B565" s="21" t="str">
        <f t="shared" si="56"/>
        <v>Friday</v>
      </c>
      <c r="C565" s="9">
        <f t="shared" si="57"/>
        <v>44162</v>
      </c>
      <c r="D565">
        <v>88.654503000000005</v>
      </c>
      <c r="E565">
        <v>90.199996999999996</v>
      </c>
      <c r="F565">
        <v>88.622001999999995</v>
      </c>
      <c r="G565">
        <v>89.659499999999994</v>
      </c>
      <c r="H565">
        <v>17698000</v>
      </c>
      <c r="I565">
        <f t="shared" si="58"/>
        <v>0</v>
      </c>
      <c r="J565">
        <f t="shared" si="59"/>
        <v>1.0900000000000001</v>
      </c>
      <c r="K565" t="str">
        <f t="shared" si="60"/>
        <v>Positive</v>
      </c>
      <c r="L565" s="10">
        <f t="shared" si="61"/>
        <v>1.2134765418053717E-2</v>
      </c>
      <c r="M565" t="str">
        <f t="shared" si="62"/>
        <v/>
      </c>
    </row>
    <row r="566" spans="1:13" x14ac:dyDescent="0.2">
      <c r="A566" s="21" t="s">
        <v>593</v>
      </c>
      <c r="B566" s="21" t="str">
        <f t="shared" si="56"/>
        <v>Monday</v>
      </c>
      <c r="C566" s="9">
        <f t="shared" si="57"/>
        <v>44165</v>
      </c>
      <c r="D566">
        <v>89.059196</v>
      </c>
      <c r="E566">
        <v>89.403251999999995</v>
      </c>
      <c r="F566">
        <v>87.75</v>
      </c>
      <c r="G566">
        <v>88.037002999999999</v>
      </c>
      <c r="H566">
        <v>36476000</v>
      </c>
      <c r="I566">
        <f t="shared" si="58"/>
        <v>0</v>
      </c>
      <c r="J566">
        <f t="shared" si="59"/>
        <v>-1.62</v>
      </c>
      <c r="K566" t="str">
        <f t="shared" si="60"/>
        <v>Negative</v>
      </c>
      <c r="L566" s="10">
        <f t="shared" si="61"/>
        <v>-1.8429716422763684E-2</v>
      </c>
      <c r="M566" t="str">
        <f t="shared" si="62"/>
        <v/>
      </c>
    </row>
    <row r="567" spans="1:13" x14ac:dyDescent="0.2">
      <c r="A567" s="21" t="s">
        <v>594</v>
      </c>
      <c r="B567" s="21" t="str">
        <f t="shared" si="56"/>
        <v>Tuesday</v>
      </c>
      <c r="C567" s="9">
        <f t="shared" si="57"/>
        <v>44166</v>
      </c>
      <c r="D567">
        <v>88.718497999999997</v>
      </c>
      <c r="E567">
        <v>91.241501</v>
      </c>
      <c r="F567">
        <v>88.468497999999997</v>
      </c>
      <c r="G567">
        <v>89.904999000000004</v>
      </c>
      <c r="H567">
        <v>34738000</v>
      </c>
      <c r="I567">
        <f t="shared" si="58"/>
        <v>0</v>
      </c>
      <c r="J567">
        <f t="shared" si="59"/>
        <v>1.87</v>
      </c>
      <c r="K567" t="str">
        <f t="shared" si="60"/>
        <v>Positive</v>
      </c>
      <c r="L567" s="10">
        <f t="shared" si="61"/>
        <v>2.0777443087452847E-2</v>
      </c>
      <c r="M567" t="str">
        <f t="shared" si="62"/>
        <v/>
      </c>
    </row>
    <row r="568" spans="1:13" x14ac:dyDescent="0.2">
      <c r="A568" s="21" t="s">
        <v>595</v>
      </c>
      <c r="B568" s="21" t="str">
        <f t="shared" si="56"/>
        <v>Wednesday</v>
      </c>
      <c r="C568" s="9">
        <f t="shared" si="57"/>
        <v>44167</v>
      </c>
      <c r="D568">
        <v>89.904999000000004</v>
      </c>
      <c r="E568">
        <v>91.782500999999996</v>
      </c>
      <c r="F568">
        <v>89.473647999999997</v>
      </c>
      <c r="G568">
        <v>91.397498999999996</v>
      </c>
      <c r="H568">
        <v>24440000</v>
      </c>
      <c r="I568">
        <f t="shared" si="58"/>
        <v>0</v>
      </c>
      <c r="J568">
        <f t="shared" si="59"/>
        <v>1.49</v>
      </c>
      <c r="K568" t="str">
        <f t="shared" si="60"/>
        <v>Positive</v>
      </c>
      <c r="L568" s="10">
        <f t="shared" si="61"/>
        <v>1.6329768498369882E-2</v>
      </c>
      <c r="M568" t="str">
        <f t="shared" si="62"/>
        <v/>
      </c>
    </row>
    <row r="569" spans="1:13" x14ac:dyDescent="0.2">
      <c r="A569" s="21" t="s">
        <v>596</v>
      </c>
      <c r="B569" s="21" t="str">
        <f t="shared" si="56"/>
        <v>Thursday</v>
      </c>
      <c r="C569" s="9">
        <f t="shared" si="57"/>
        <v>44168</v>
      </c>
      <c r="D569">
        <v>91.200500000000005</v>
      </c>
      <c r="E569">
        <v>92.360000999999997</v>
      </c>
      <c r="F569">
        <v>91.132499999999993</v>
      </c>
      <c r="G569">
        <v>91.338500999999994</v>
      </c>
      <c r="H569">
        <v>24546000</v>
      </c>
      <c r="I569">
        <f t="shared" si="58"/>
        <v>0</v>
      </c>
      <c r="J569">
        <f t="shared" si="59"/>
        <v>-0.06</v>
      </c>
      <c r="K569" t="str">
        <f t="shared" si="60"/>
        <v>Negative</v>
      </c>
      <c r="L569" s="10">
        <f t="shared" si="61"/>
        <v>-6.4592695691384895E-4</v>
      </c>
      <c r="M569" t="str">
        <f t="shared" si="62"/>
        <v/>
      </c>
    </row>
    <row r="570" spans="1:13" x14ac:dyDescent="0.2">
      <c r="A570" s="21" t="s">
        <v>597</v>
      </c>
      <c r="B570" s="21" t="str">
        <f t="shared" si="56"/>
        <v>Friday</v>
      </c>
      <c r="C570" s="9">
        <f t="shared" si="57"/>
        <v>44169</v>
      </c>
      <c r="D570">
        <v>91.225998000000004</v>
      </c>
      <c r="E570">
        <v>91.657996999999995</v>
      </c>
      <c r="F570">
        <v>90.849502999999999</v>
      </c>
      <c r="G570">
        <v>91.399497999999994</v>
      </c>
      <c r="H570">
        <v>27564000</v>
      </c>
      <c r="I570">
        <f t="shared" si="58"/>
        <v>0</v>
      </c>
      <c r="J570">
        <f t="shared" si="59"/>
        <v>0.06</v>
      </c>
      <c r="K570" t="str">
        <f t="shared" si="60"/>
        <v>Positive</v>
      </c>
      <c r="L570" s="10">
        <f t="shared" si="61"/>
        <v>6.67366903918886E-4</v>
      </c>
      <c r="M570" t="str">
        <f t="shared" si="62"/>
        <v/>
      </c>
    </row>
    <row r="571" spans="1:13" x14ac:dyDescent="0.2">
      <c r="A571" s="21" t="s">
        <v>598</v>
      </c>
      <c r="B571" s="21" t="str">
        <f t="shared" si="56"/>
        <v>Monday</v>
      </c>
      <c r="C571" s="9">
        <f t="shared" si="57"/>
        <v>44172</v>
      </c>
      <c r="D571">
        <v>90.949996999999996</v>
      </c>
      <c r="E571">
        <v>91.618499999999997</v>
      </c>
      <c r="F571">
        <v>90.289000999999999</v>
      </c>
      <c r="G571">
        <v>90.973999000000006</v>
      </c>
      <c r="H571">
        <v>26418000</v>
      </c>
      <c r="I571">
        <f t="shared" si="58"/>
        <v>0</v>
      </c>
      <c r="J571">
        <f t="shared" si="59"/>
        <v>-0.43</v>
      </c>
      <c r="K571" t="str">
        <f t="shared" si="60"/>
        <v>Negative</v>
      </c>
      <c r="L571" s="10">
        <f t="shared" si="61"/>
        <v>-4.6771495666579179E-3</v>
      </c>
      <c r="M571" t="str">
        <f t="shared" si="62"/>
        <v/>
      </c>
    </row>
    <row r="572" spans="1:13" x14ac:dyDescent="0.2">
      <c r="A572" s="21" t="s">
        <v>599</v>
      </c>
      <c r="B572" s="21" t="str">
        <f t="shared" si="56"/>
        <v>Tuesday</v>
      </c>
      <c r="C572" s="9">
        <f t="shared" si="57"/>
        <v>44173</v>
      </c>
      <c r="D572">
        <v>90.504997000000003</v>
      </c>
      <c r="E572">
        <v>91.095000999999996</v>
      </c>
      <c r="F572">
        <v>89.810248999999999</v>
      </c>
      <c r="G572">
        <v>90.927498</v>
      </c>
      <c r="H572">
        <v>21926000</v>
      </c>
      <c r="I572">
        <f t="shared" si="58"/>
        <v>0</v>
      </c>
      <c r="J572">
        <f t="shared" si="59"/>
        <v>-0.05</v>
      </c>
      <c r="K572" t="str">
        <f t="shared" si="60"/>
        <v>Negative</v>
      </c>
      <c r="L572" s="10">
        <f t="shared" si="61"/>
        <v>-5.1140745124215721E-4</v>
      </c>
      <c r="M572" t="str">
        <f t="shared" si="62"/>
        <v/>
      </c>
    </row>
    <row r="573" spans="1:13" x14ac:dyDescent="0.2">
      <c r="A573" s="21" t="s">
        <v>600</v>
      </c>
      <c r="B573" s="21" t="str">
        <f t="shared" si="56"/>
        <v>Wednesday</v>
      </c>
      <c r="C573" s="9">
        <f t="shared" si="57"/>
        <v>44174</v>
      </c>
      <c r="D573">
        <v>90.600502000000006</v>
      </c>
      <c r="E573">
        <v>91.713500999999994</v>
      </c>
      <c r="F573">
        <v>88.390502999999995</v>
      </c>
      <c r="G573">
        <v>89.206496999999999</v>
      </c>
      <c r="H573">
        <v>30152000</v>
      </c>
      <c r="I573">
        <f t="shared" si="58"/>
        <v>0</v>
      </c>
      <c r="J573">
        <f t="shared" si="59"/>
        <v>-1.72</v>
      </c>
      <c r="K573" t="str">
        <f t="shared" si="60"/>
        <v>Negative</v>
      </c>
      <c r="L573" s="10">
        <f t="shared" si="61"/>
        <v>-1.9292328001625277E-2</v>
      </c>
      <c r="M573" t="str">
        <f t="shared" si="62"/>
        <v/>
      </c>
    </row>
    <row r="574" spans="1:13" x14ac:dyDescent="0.2">
      <c r="A574" s="21" t="s">
        <v>601</v>
      </c>
      <c r="B574" s="21" t="str">
        <f t="shared" si="56"/>
        <v>Thursday</v>
      </c>
      <c r="C574" s="9">
        <f t="shared" si="57"/>
        <v>44175</v>
      </c>
      <c r="D574">
        <v>88.489998</v>
      </c>
      <c r="E574">
        <v>89.065498000000005</v>
      </c>
      <c r="F574">
        <v>87.015998999999994</v>
      </c>
      <c r="G574">
        <v>88.766502000000003</v>
      </c>
      <c r="H574">
        <v>27256000</v>
      </c>
      <c r="I574">
        <f t="shared" si="58"/>
        <v>0</v>
      </c>
      <c r="J574">
        <f t="shared" si="59"/>
        <v>-0.44</v>
      </c>
      <c r="K574" t="str">
        <f t="shared" si="60"/>
        <v>Negative</v>
      </c>
      <c r="L574" s="10">
        <f t="shared" si="61"/>
        <v>-4.9567684890860757E-3</v>
      </c>
      <c r="M574" t="str">
        <f t="shared" si="62"/>
        <v/>
      </c>
    </row>
    <row r="575" spans="1:13" x14ac:dyDescent="0.2">
      <c r="A575" s="21" t="s">
        <v>602</v>
      </c>
      <c r="B575" s="21" t="str">
        <f t="shared" si="56"/>
        <v>Friday</v>
      </c>
      <c r="C575" s="9">
        <f t="shared" si="57"/>
        <v>44176</v>
      </c>
      <c r="D575">
        <v>88.153000000000006</v>
      </c>
      <c r="E575">
        <v>89.222504000000001</v>
      </c>
      <c r="F575">
        <v>88</v>
      </c>
      <c r="G575">
        <v>89.088500999999994</v>
      </c>
      <c r="H575">
        <v>24414000</v>
      </c>
      <c r="I575">
        <f t="shared" si="58"/>
        <v>0</v>
      </c>
      <c r="J575">
        <f t="shared" si="59"/>
        <v>0.32</v>
      </c>
      <c r="K575" t="str">
        <f t="shared" si="60"/>
        <v>Positive</v>
      </c>
      <c r="L575" s="10">
        <f t="shared" si="61"/>
        <v>3.6143721848007192E-3</v>
      </c>
      <c r="M575" t="str">
        <f t="shared" si="62"/>
        <v/>
      </c>
    </row>
    <row r="576" spans="1:13" x14ac:dyDescent="0.2">
      <c r="A576" s="21" t="s">
        <v>603</v>
      </c>
      <c r="B576" s="21" t="str">
        <f t="shared" si="56"/>
        <v>Monday</v>
      </c>
      <c r="C576" s="9">
        <f t="shared" si="57"/>
        <v>44179</v>
      </c>
      <c r="D576">
        <v>88.75</v>
      </c>
      <c r="E576">
        <v>89.869499000000005</v>
      </c>
      <c r="F576">
        <v>87.860748000000001</v>
      </c>
      <c r="G576">
        <v>88.002998000000005</v>
      </c>
      <c r="H576">
        <v>32004000</v>
      </c>
      <c r="I576">
        <f t="shared" si="58"/>
        <v>0</v>
      </c>
      <c r="J576">
        <f t="shared" si="59"/>
        <v>-1.0900000000000001</v>
      </c>
      <c r="K576" t="str">
        <f t="shared" si="60"/>
        <v>Negative</v>
      </c>
      <c r="L576" s="10">
        <f t="shared" si="61"/>
        <v>-1.2334841138025644E-2</v>
      </c>
      <c r="M576" t="str">
        <f t="shared" si="62"/>
        <v/>
      </c>
    </row>
    <row r="577" spans="1:13" x14ac:dyDescent="0.2">
      <c r="A577" s="21" t="s">
        <v>604</v>
      </c>
      <c r="B577" s="21" t="str">
        <f t="shared" si="56"/>
        <v>Tuesday</v>
      </c>
      <c r="C577" s="9">
        <f t="shared" si="57"/>
        <v>44180</v>
      </c>
      <c r="D577">
        <v>88.221001000000001</v>
      </c>
      <c r="E577">
        <v>88.570999</v>
      </c>
      <c r="F577">
        <v>87.497497999999993</v>
      </c>
      <c r="G577">
        <v>88.388496000000004</v>
      </c>
      <c r="H577">
        <v>29646000</v>
      </c>
      <c r="I577">
        <f t="shared" si="58"/>
        <v>0</v>
      </c>
      <c r="J577">
        <f t="shared" si="59"/>
        <v>0.39</v>
      </c>
      <c r="K577" t="str">
        <f t="shared" si="60"/>
        <v>Positive</v>
      </c>
      <c r="L577" s="10">
        <f t="shared" si="61"/>
        <v>4.3614046787264979E-3</v>
      </c>
      <c r="M577" t="str">
        <f t="shared" si="62"/>
        <v/>
      </c>
    </row>
    <row r="578" spans="1:13" x14ac:dyDescent="0.2">
      <c r="A578" s="21" t="s">
        <v>605</v>
      </c>
      <c r="B578" s="21" t="str">
        <f t="shared" si="56"/>
        <v>Wednesday</v>
      </c>
      <c r="C578" s="9">
        <f t="shared" si="57"/>
        <v>44181</v>
      </c>
      <c r="D578">
        <v>88.643996999999999</v>
      </c>
      <c r="E578">
        <v>88.650002000000001</v>
      </c>
      <c r="F578">
        <v>87.804001</v>
      </c>
      <c r="G578">
        <v>88.150002000000001</v>
      </c>
      <c r="H578">
        <v>30270000</v>
      </c>
      <c r="I578">
        <f t="shared" si="58"/>
        <v>0</v>
      </c>
      <c r="J578">
        <f t="shared" si="59"/>
        <v>-0.24</v>
      </c>
      <c r="K578" t="str">
        <f t="shared" si="60"/>
        <v>Negative</v>
      </c>
      <c r="L578" s="10">
        <f t="shared" si="61"/>
        <v>-2.7055473010653237E-3</v>
      </c>
      <c r="M578" t="str">
        <f t="shared" si="62"/>
        <v/>
      </c>
    </row>
    <row r="579" spans="1:13" x14ac:dyDescent="0.2">
      <c r="A579" s="21" t="s">
        <v>606</v>
      </c>
      <c r="B579" s="21" t="str">
        <f t="shared" ref="B579:B642" si="63">LEFT(A579,SEARCH(",",A579)-1)</f>
        <v>Thursday</v>
      </c>
      <c r="C579" s="9">
        <f t="shared" ref="C579:C642" si="64">DATEVALUE(RIGHT(A579,LEN(A579) - SEARCH(",",A579)))</f>
        <v>44182</v>
      </c>
      <c r="D579">
        <v>88.425499000000002</v>
      </c>
      <c r="E579">
        <v>88.589202999999998</v>
      </c>
      <c r="F579">
        <v>86.932998999999995</v>
      </c>
      <c r="G579">
        <v>87.394997000000004</v>
      </c>
      <c r="H579">
        <v>32494000</v>
      </c>
      <c r="I579">
        <f t="shared" ref="I579:I642" si="65">COUNTBLANK(A579:H579)</f>
        <v>0</v>
      </c>
      <c r="J579">
        <f t="shared" ref="J579:J642" si="66">ROUND(IF(ISNUMBER(G578),G579-G578,0),2)</f>
        <v>-0.76</v>
      </c>
      <c r="K579" t="str">
        <f t="shared" ref="K579:K642" si="67">IF(J579=0,"Neutral",IF(J579&gt;0,"Positive","Negative"))</f>
        <v>Negative</v>
      </c>
      <c r="L579" s="10">
        <f t="shared" ref="L579:L642" si="68">IF(ISNUMBER(G578),((G579-G578)/G579),0)</f>
        <v>-8.6389956624175757E-3</v>
      </c>
      <c r="M579" t="str">
        <f t="shared" ref="M579:M642" si="69">IF(L579&gt;0.05,L579,"")</f>
        <v/>
      </c>
    </row>
    <row r="580" spans="1:13" x14ac:dyDescent="0.2">
      <c r="A580" s="21" t="s">
        <v>607</v>
      </c>
      <c r="B580" s="21" t="str">
        <f t="shared" si="63"/>
        <v>Friday</v>
      </c>
      <c r="C580" s="9">
        <f t="shared" si="64"/>
        <v>44183</v>
      </c>
      <c r="D580">
        <v>87.709000000000003</v>
      </c>
      <c r="E580">
        <v>87.755500999999995</v>
      </c>
      <c r="F580">
        <v>86.011002000000005</v>
      </c>
      <c r="G580">
        <v>86.550499000000002</v>
      </c>
      <c r="H580">
        <v>80328000</v>
      </c>
      <c r="I580">
        <f t="shared" si="65"/>
        <v>0</v>
      </c>
      <c r="J580">
        <f t="shared" si="66"/>
        <v>-0.84</v>
      </c>
      <c r="K580" t="str">
        <f t="shared" si="67"/>
        <v>Negative</v>
      </c>
      <c r="L580" s="10">
        <f t="shared" si="68"/>
        <v>-9.7572863213648432E-3</v>
      </c>
      <c r="M580" t="str">
        <f t="shared" si="69"/>
        <v/>
      </c>
    </row>
    <row r="581" spans="1:13" x14ac:dyDescent="0.2">
      <c r="A581" s="21" t="s">
        <v>608</v>
      </c>
      <c r="B581" s="21" t="str">
        <f t="shared" si="63"/>
        <v>Monday</v>
      </c>
      <c r="C581" s="9">
        <f t="shared" si="64"/>
        <v>44186</v>
      </c>
      <c r="D581">
        <v>85.675499000000002</v>
      </c>
      <c r="E581">
        <v>87.042502999999996</v>
      </c>
      <c r="F581">
        <v>84.949996999999996</v>
      </c>
      <c r="G581">
        <v>86.968497999999997</v>
      </c>
      <c r="H581">
        <v>36568000</v>
      </c>
      <c r="I581">
        <f t="shared" si="65"/>
        <v>0</v>
      </c>
      <c r="J581">
        <f t="shared" si="66"/>
        <v>0.42</v>
      </c>
      <c r="K581" t="str">
        <f t="shared" si="67"/>
        <v>Positive</v>
      </c>
      <c r="L581" s="10">
        <f t="shared" si="68"/>
        <v>4.8063265390646936E-3</v>
      </c>
      <c r="M581" t="str">
        <f t="shared" si="69"/>
        <v/>
      </c>
    </row>
    <row r="582" spans="1:13" x14ac:dyDescent="0.2">
      <c r="A582" s="21" t="s">
        <v>609</v>
      </c>
      <c r="B582" s="21" t="str">
        <f t="shared" si="63"/>
        <v>Tuesday</v>
      </c>
      <c r="C582" s="9">
        <f t="shared" si="64"/>
        <v>44187</v>
      </c>
      <c r="D582">
        <v>86.721496999999999</v>
      </c>
      <c r="E582">
        <v>86.870247000000006</v>
      </c>
      <c r="F582">
        <v>85.628754000000001</v>
      </c>
      <c r="G582">
        <v>86.175003000000004</v>
      </c>
      <c r="H582">
        <v>18734000</v>
      </c>
      <c r="I582">
        <f t="shared" si="65"/>
        <v>0</v>
      </c>
      <c r="J582">
        <f t="shared" si="66"/>
        <v>-0.79</v>
      </c>
      <c r="K582" t="str">
        <f t="shared" si="67"/>
        <v>Negative</v>
      </c>
      <c r="L582" s="10">
        <f t="shared" si="68"/>
        <v>-9.2079486205529099E-3</v>
      </c>
      <c r="M582" t="str">
        <f t="shared" si="69"/>
        <v/>
      </c>
    </row>
    <row r="583" spans="1:13" x14ac:dyDescent="0.2">
      <c r="A583" s="21" t="s">
        <v>610</v>
      </c>
      <c r="B583" s="21" t="str">
        <f t="shared" si="63"/>
        <v>Wednesday</v>
      </c>
      <c r="C583" s="9">
        <f t="shared" si="64"/>
        <v>44188</v>
      </c>
      <c r="D583">
        <v>86.405501999999998</v>
      </c>
      <c r="E583">
        <v>87.399497999999994</v>
      </c>
      <c r="F583">
        <v>86.251998999999998</v>
      </c>
      <c r="G583">
        <v>86.619003000000006</v>
      </c>
      <c r="H583">
        <v>20676000</v>
      </c>
      <c r="I583">
        <f t="shared" si="65"/>
        <v>0</v>
      </c>
      <c r="J583">
        <f t="shared" si="66"/>
        <v>0.44</v>
      </c>
      <c r="K583" t="str">
        <f t="shared" si="67"/>
        <v>Positive</v>
      </c>
      <c r="L583" s="10">
        <f t="shared" si="68"/>
        <v>5.1258959884357318E-3</v>
      </c>
      <c r="M583" t="str">
        <f t="shared" si="69"/>
        <v/>
      </c>
    </row>
    <row r="584" spans="1:13" x14ac:dyDescent="0.2">
      <c r="A584" s="21" t="s">
        <v>611</v>
      </c>
      <c r="B584" s="21" t="str">
        <f t="shared" si="63"/>
        <v>Thursday</v>
      </c>
      <c r="C584" s="9">
        <f t="shared" si="64"/>
        <v>44189</v>
      </c>
      <c r="D584">
        <v>86.75</v>
      </c>
      <c r="E584">
        <v>87.300003000000004</v>
      </c>
      <c r="F584">
        <v>86.455498000000006</v>
      </c>
      <c r="G584">
        <v>86.942497000000003</v>
      </c>
      <c r="H584">
        <v>6936000</v>
      </c>
      <c r="I584">
        <f t="shared" si="65"/>
        <v>0</v>
      </c>
      <c r="J584">
        <f t="shared" si="66"/>
        <v>0.32</v>
      </c>
      <c r="K584" t="str">
        <f t="shared" si="67"/>
        <v>Positive</v>
      </c>
      <c r="L584" s="10">
        <f t="shared" si="68"/>
        <v>3.7207811043199809E-3</v>
      </c>
      <c r="M584" t="str">
        <f t="shared" si="69"/>
        <v/>
      </c>
    </row>
    <row r="585" spans="1:13" x14ac:dyDescent="0.2">
      <c r="A585" s="21" t="s">
        <v>612</v>
      </c>
      <c r="B585" s="21" t="str">
        <f t="shared" si="63"/>
        <v>Monday</v>
      </c>
      <c r="C585" s="9">
        <f t="shared" si="64"/>
        <v>44193</v>
      </c>
      <c r="D585">
        <v>87.581749000000002</v>
      </c>
      <c r="E585">
        <v>89.5364</v>
      </c>
      <c r="F585">
        <v>87.316749999999999</v>
      </c>
      <c r="G585">
        <v>88.804496999999998</v>
      </c>
      <c r="H585">
        <v>27860000</v>
      </c>
      <c r="I585">
        <f t="shared" si="65"/>
        <v>0</v>
      </c>
      <c r="J585">
        <f t="shared" si="66"/>
        <v>1.86</v>
      </c>
      <c r="K585" t="str">
        <f t="shared" si="67"/>
        <v>Positive</v>
      </c>
      <c r="L585" s="10">
        <f t="shared" si="68"/>
        <v>2.096740663932813E-2</v>
      </c>
      <c r="M585" t="str">
        <f t="shared" si="69"/>
        <v/>
      </c>
    </row>
    <row r="586" spans="1:13" x14ac:dyDescent="0.2">
      <c r="A586" s="21" t="s">
        <v>613</v>
      </c>
      <c r="B586" s="21" t="str">
        <f t="shared" si="63"/>
        <v>Tuesday</v>
      </c>
      <c r="C586" s="9">
        <f t="shared" si="64"/>
        <v>44194</v>
      </c>
      <c r="D586">
        <v>89.389503000000005</v>
      </c>
      <c r="E586">
        <v>89.622001999999995</v>
      </c>
      <c r="F586">
        <v>87.804496999999998</v>
      </c>
      <c r="G586">
        <v>87.935997</v>
      </c>
      <c r="H586">
        <v>25988000</v>
      </c>
      <c r="I586">
        <f t="shared" si="65"/>
        <v>0</v>
      </c>
      <c r="J586">
        <f t="shared" si="66"/>
        <v>-0.87</v>
      </c>
      <c r="K586" t="str">
        <f t="shared" si="67"/>
        <v>Negative</v>
      </c>
      <c r="L586" s="10">
        <f t="shared" si="68"/>
        <v>-9.8765014286469888E-3</v>
      </c>
      <c r="M586" t="str">
        <f t="shared" si="69"/>
        <v/>
      </c>
    </row>
    <row r="587" spans="1:13" x14ac:dyDescent="0.2">
      <c r="A587" s="21" t="s">
        <v>614</v>
      </c>
      <c r="B587" s="21" t="str">
        <f t="shared" si="63"/>
        <v>Wednesday</v>
      </c>
      <c r="C587" s="9">
        <f t="shared" si="64"/>
        <v>44195</v>
      </c>
      <c r="D587">
        <v>88.100502000000006</v>
      </c>
      <c r="E587">
        <v>88.254752999999994</v>
      </c>
      <c r="F587">
        <v>86.279999000000004</v>
      </c>
      <c r="G587">
        <v>86.975998000000004</v>
      </c>
      <c r="H587">
        <v>26122000</v>
      </c>
      <c r="I587">
        <f t="shared" si="65"/>
        <v>0</v>
      </c>
      <c r="J587">
        <f t="shared" si="66"/>
        <v>-0.96</v>
      </c>
      <c r="K587" t="str">
        <f t="shared" si="67"/>
        <v>Negative</v>
      </c>
      <c r="L587" s="10">
        <f t="shared" si="68"/>
        <v>-1.1037516350200388E-2</v>
      </c>
      <c r="M587" t="str">
        <f t="shared" si="69"/>
        <v/>
      </c>
    </row>
    <row r="588" spans="1:13" x14ac:dyDescent="0.2">
      <c r="A588" s="21" t="s">
        <v>615</v>
      </c>
      <c r="B588" s="21" t="str">
        <f t="shared" si="63"/>
        <v>Thursday</v>
      </c>
      <c r="C588" s="9">
        <f t="shared" si="64"/>
        <v>44196</v>
      </c>
      <c r="D588">
        <v>86.771004000000005</v>
      </c>
      <c r="E588">
        <v>87.946503000000007</v>
      </c>
      <c r="F588">
        <v>86.771004000000005</v>
      </c>
      <c r="G588">
        <v>87.594002000000003</v>
      </c>
      <c r="H588">
        <v>20238000</v>
      </c>
      <c r="I588">
        <f t="shared" si="65"/>
        <v>0</v>
      </c>
      <c r="J588">
        <f t="shared" si="66"/>
        <v>0.62</v>
      </c>
      <c r="K588" t="str">
        <f t="shared" si="67"/>
        <v>Positive</v>
      </c>
      <c r="L588" s="10">
        <f t="shared" si="68"/>
        <v>7.0553232628873279E-3</v>
      </c>
      <c r="M588" t="str">
        <f t="shared" si="69"/>
        <v/>
      </c>
    </row>
    <row r="589" spans="1:13" x14ac:dyDescent="0.2">
      <c r="A589" s="21" t="s">
        <v>616</v>
      </c>
      <c r="B589" s="21" t="str">
        <f t="shared" si="63"/>
        <v>Monday</v>
      </c>
      <c r="C589" s="9">
        <f t="shared" si="64"/>
        <v>44200</v>
      </c>
      <c r="D589">
        <v>87.876998999999998</v>
      </c>
      <c r="E589">
        <v>88.032500999999996</v>
      </c>
      <c r="F589">
        <v>85.392501999999993</v>
      </c>
      <c r="G589">
        <v>86.412002999999999</v>
      </c>
      <c r="H589">
        <v>38038000</v>
      </c>
      <c r="I589">
        <f t="shared" si="65"/>
        <v>0</v>
      </c>
      <c r="J589">
        <f t="shared" si="66"/>
        <v>-1.18</v>
      </c>
      <c r="K589" t="str">
        <f t="shared" si="67"/>
        <v>Negative</v>
      </c>
      <c r="L589" s="10">
        <f t="shared" si="68"/>
        <v>-1.3678643694904338E-2</v>
      </c>
      <c r="M589" t="str">
        <f t="shared" si="69"/>
        <v/>
      </c>
    </row>
    <row r="590" spans="1:13" x14ac:dyDescent="0.2">
      <c r="A590" s="21" t="s">
        <v>617</v>
      </c>
      <c r="B590" s="21" t="str">
        <f t="shared" si="63"/>
        <v>Tuesday</v>
      </c>
      <c r="C590" s="9">
        <f t="shared" si="64"/>
        <v>44201</v>
      </c>
      <c r="D590">
        <v>86.25</v>
      </c>
      <c r="E590">
        <v>87.383499</v>
      </c>
      <c r="F590">
        <v>85.900749000000005</v>
      </c>
      <c r="G590">
        <v>87.045997999999997</v>
      </c>
      <c r="H590">
        <v>22906000</v>
      </c>
      <c r="I590">
        <f t="shared" si="65"/>
        <v>0</v>
      </c>
      <c r="J590">
        <f t="shared" si="66"/>
        <v>0.63</v>
      </c>
      <c r="K590" t="str">
        <f t="shared" si="67"/>
        <v>Positive</v>
      </c>
      <c r="L590" s="10">
        <f t="shared" si="68"/>
        <v>7.2834479995277758E-3</v>
      </c>
      <c r="M590" t="str">
        <f t="shared" si="69"/>
        <v/>
      </c>
    </row>
    <row r="591" spans="1:13" x14ac:dyDescent="0.2">
      <c r="A591" s="21" t="s">
        <v>618</v>
      </c>
      <c r="B591" s="21" t="str">
        <f t="shared" si="63"/>
        <v>Wednesday</v>
      </c>
      <c r="C591" s="9">
        <f t="shared" si="64"/>
        <v>44202</v>
      </c>
      <c r="D591">
        <v>85.131500000000003</v>
      </c>
      <c r="E591">
        <v>87.400002000000001</v>
      </c>
      <c r="F591">
        <v>84.949996999999996</v>
      </c>
      <c r="G591">
        <v>86.764503000000005</v>
      </c>
      <c r="H591">
        <v>52042000</v>
      </c>
      <c r="I591">
        <f t="shared" si="65"/>
        <v>0</v>
      </c>
      <c r="J591">
        <f t="shared" si="66"/>
        <v>-0.28000000000000003</v>
      </c>
      <c r="K591" t="str">
        <f t="shared" si="67"/>
        <v>Negative</v>
      </c>
      <c r="L591" s="10">
        <f t="shared" si="68"/>
        <v>-3.2443567388381455E-3</v>
      </c>
      <c r="M591" t="str">
        <f t="shared" si="69"/>
        <v/>
      </c>
    </row>
    <row r="592" spans="1:13" x14ac:dyDescent="0.2">
      <c r="A592" s="21" t="s">
        <v>619</v>
      </c>
      <c r="B592" s="21" t="str">
        <f t="shared" si="63"/>
        <v>Thursday</v>
      </c>
      <c r="C592" s="9">
        <f t="shared" si="64"/>
        <v>44203</v>
      </c>
      <c r="D592">
        <v>87.002998000000005</v>
      </c>
      <c r="E592">
        <v>89.419998000000007</v>
      </c>
      <c r="F592">
        <v>86.852501000000004</v>
      </c>
      <c r="G592">
        <v>89.362503000000004</v>
      </c>
      <c r="H592">
        <v>45300000</v>
      </c>
      <c r="I592">
        <f t="shared" si="65"/>
        <v>0</v>
      </c>
      <c r="J592">
        <f t="shared" si="66"/>
        <v>2.6</v>
      </c>
      <c r="K592" t="str">
        <f t="shared" si="67"/>
        <v>Positive</v>
      </c>
      <c r="L592" s="10">
        <f t="shared" si="68"/>
        <v>2.9072596590093262E-2</v>
      </c>
      <c r="M592" t="str">
        <f t="shared" si="69"/>
        <v/>
      </c>
    </row>
    <row r="593" spans="1:13" x14ac:dyDescent="0.2">
      <c r="A593" s="21" t="s">
        <v>620</v>
      </c>
      <c r="B593" s="21" t="str">
        <f t="shared" si="63"/>
        <v>Friday</v>
      </c>
      <c r="C593" s="9">
        <f t="shared" si="64"/>
        <v>44204</v>
      </c>
      <c r="D593">
        <v>89.399001999999996</v>
      </c>
      <c r="E593">
        <v>90.491996999999998</v>
      </c>
      <c r="F593">
        <v>88.676749999999998</v>
      </c>
      <c r="G593">
        <v>90.360496999999995</v>
      </c>
      <c r="H593">
        <v>41012000</v>
      </c>
      <c r="I593">
        <f t="shared" si="65"/>
        <v>0</v>
      </c>
      <c r="J593">
        <f t="shared" si="66"/>
        <v>1</v>
      </c>
      <c r="K593" t="str">
        <f t="shared" si="67"/>
        <v>Positive</v>
      </c>
      <c r="L593" s="10">
        <f t="shared" si="68"/>
        <v>1.1044582899981078E-2</v>
      </c>
      <c r="M593" t="str">
        <f t="shared" si="69"/>
        <v/>
      </c>
    </row>
    <row r="594" spans="1:13" x14ac:dyDescent="0.2">
      <c r="A594" s="21" t="s">
        <v>621</v>
      </c>
      <c r="B594" s="21" t="str">
        <f t="shared" si="63"/>
        <v>Monday</v>
      </c>
      <c r="C594" s="9">
        <f t="shared" si="64"/>
        <v>44207</v>
      </c>
      <c r="D594">
        <v>89.303496999999993</v>
      </c>
      <c r="E594">
        <v>89.715751999999995</v>
      </c>
      <c r="F594">
        <v>88.026000999999994</v>
      </c>
      <c r="G594">
        <v>88.335999000000001</v>
      </c>
      <c r="H594">
        <v>24194000</v>
      </c>
      <c r="I594">
        <f t="shared" si="65"/>
        <v>0</v>
      </c>
      <c r="J594">
        <f t="shared" si="66"/>
        <v>-2.02</v>
      </c>
      <c r="K594" t="str">
        <f t="shared" si="67"/>
        <v>Negative</v>
      </c>
      <c r="L594" s="10">
        <f t="shared" si="68"/>
        <v>-2.2918153673679449E-2</v>
      </c>
      <c r="M594" t="str">
        <f t="shared" si="69"/>
        <v/>
      </c>
    </row>
    <row r="595" spans="1:13" x14ac:dyDescent="0.2">
      <c r="A595" s="21" t="s">
        <v>622</v>
      </c>
      <c r="B595" s="21" t="str">
        <f t="shared" si="63"/>
        <v>Tuesday</v>
      </c>
      <c r="C595" s="9">
        <f t="shared" si="64"/>
        <v>44208</v>
      </c>
      <c r="D595">
        <v>87.695999</v>
      </c>
      <c r="E595">
        <v>88.902000000000001</v>
      </c>
      <c r="F595">
        <v>86.265502999999995</v>
      </c>
      <c r="G595">
        <v>87.327499000000003</v>
      </c>
      <c r="H595">
        <v>27140000</v>
      </c>
      <c r="I595">
        <f t="shared" si="65"/>
        <v>0</v>
      </c>
      <c r="J595">
        <f t="shared" si="66"/>
        <v>-1.01</v>
      </c>
      <c r="K595" t="str">
        <f t="shared" si="67"/>
        <v>Negative</v>
      </c>
      <c r="L595" s="10">
        <f t="shared" si="68"/>
        <v>-1.1548481423932659E-2</v>
      </c>
      <c r="M595" t="str">
        <f t="shared" si="69"/>
        <v/>
      </c>
    </row>
    <row r="596" spans="1:13" x14ac:dyDescent="0.2">
      <c r="A596" s="21" t="s">
        <v>623</v>
      </c>
      <c r="B596" s="21" t="str">
        <f t="shared" si="63"/>
        <v>Wednesday</v>
      </c>
      <c r="C596" s="9">
        <f t="shared" si="64"/>
        <v>44209</v>
      </c>
      <c r="D596">
        <v>86.929001</v>
      </c>
      <c r="E596">
        <v>88.251746999999995</v>
      </c>
      <c r="F596">
        <v>86.900497000000001</v>
      </c>
      <c r="G596">
        <v>87.720000999999996</v>
      </c>
      <c r="H596">
        <v>21882000</v>
      </c>
      <c r="I596">
        <f t="shared" si="65"/>
        <v>0</v>
      </c>
      <c r="J596">
        <f t="shared" si="66"/>
        <v>0.39</v>
      </c>
      <c r="K596" t="str">
        <f t="shared" si="67"/>
        <v>Positive</v>
      </c>
      <c r="L596" s="10">
        <f t="shared" si="68"/>
        <v>4.4744869530951468E-3</v>
      </c>
      <c r="M596" t="str">
        <f t="shared" si="69"/>
        <v/>
      </c>
    </row>
    <row r="597" spans="1:13" x14ac:dyDescent="0.2">
      <c r="A597" s="21" t="s">
        <v>624</v>
      </c>
      <c r="B597" s="21" t="str">
        <f t="shared" si="63"/>
        <v>Thursday</v>
      </c>
      <c r="C597" s="9">
        <f t="shared" si="64"/>
        <v>44210</v>
      </c>
      <c r="D597">
        <v>87.680999999999997</v>
      </c>
      <c r="E597">
        <v>88.750504000000006</v>
      </c>
      <c r="F597">
        <v>86.669998000000007</v>
      </c>
      <c r="G597">
        <v>87.009003000000007</v>
      </c>
      <c r="H597">
        <v>23590000</v>
      </c>
      <c r="I597">
        <f t="shared" si="65"/>
        <v>0</v>
      </c>
      <c r="J597">
        <f t="shared" si="66"/>
        <v>-0.71</v>
      </c>
      <c r="K597" t="str">
        <f t="shared" si="67"/>
        <v>Negative</v>
      </c>
      <c r="L597" s="10">
        <f t="shared" si="68"/>
        <v>-8.1715451905590656E-3</v>
      </c>
      <c r="M597" t="str">
        <f t="shared" si="69"/>
        <v/>
      </c>
    </row>
    <row r="598" spans="1:13" x14ac:dyDescent="0.2">
      <c r="A598" s="21" t="s">
        <v>625</v>
      </c>
      <c r="B598" s="21" t="str">
        <f t="shared" si="63"/>
        <v>Friday</v>
      </c>
      <c r="C598" s="9">
        <f t="shared" si="64"/>
        <v>44211</v>
      </c>
      <c r="D598">
        <v>86.909499999999994</v>
      </c>
      <c r="E598">
        <v>87.800003000000004</v>
      </c>
      <c r="F598">
        <v>86.077499000000003</v>
      </c>
      <c r="G598">
        <v>86.809501999999995</v>
      </c>
      <c r="H598">
        <v>26844000</v>
      </c>
      <c r="I598">
        <f t="shared" si="65"/>
        <v>0</v>
      </c>
      <c r="J598">
        <f t="shared" si="66"/>
        <v>-0.2</v>
      </c>
      <c r="K598" t="str">
        <f t="shared" si="67"/>
        <v>Negative</v>
      </c>
      <c r="L598" s="10">
        <f t="shared" si="68"/>
        <v>-2.2981470392493689E-3</v>
      </c>
      <c r="M598" t="str">
        <f t="shared" si="69"/>
        <v/>
      </c>
    </row>
    <row r="599" spans="1:13" x14ac:dyDescent="0.2">
      <c r="A599" s="21" t="s">
        <v>626</v>
      </c>
      <c r="B599" s="21" t="str">
        <f t="shared" si="63"/>
        <v>Tuesday</v>
      </c>
      <c r="C599" s="9">
        <f t="shared" si="64"/>
        <v>44215</v>
      </c>
      <c r="D599">
        <v>87.612503000000004</v>
      </c>
      <c r="E599">
        <v>90.463752999999997</v>
      </c>
      <c r="F599">
        <v>87.072997999999998</v>
      </c>
      <c r="G599">
        <v>89.542998999999995</v>
      </c>
      <c r="H599">
        <v>34692000</v>
      </c>
      <c r="I599">
        <f t="shared" si="65"/>
        <v>0</v>
      </c>
      <c r="J599">
        <f t="shared" si="66"/>
        <v>2.73</v>
      </c>
      <c r="K599" t="str">
        <f t="shared" si="67"/>
        <v>Positive</v>
      </c>
      <c r="L599" s="10">
        <f t="shared" si="68"/>
        <v>3.0527199563642044E-2</v>
      </c>
      <c r="M599" t="str">
        <f t="shared" si="69"/>
        <v/>
      </c>
    </row>
    <row r="600" spans="1:13" x14ac:dyDescent="0.2">
      <c r="A600" s="21" t="s">
        <v>627</v>
      </c>
      <c r="B600" s="21" t="str">
        <f t="shared" si="63"/>
        <v>Wednesday</v>
      </c>
      <c r="C600" s="9">
        <f t="shared" si="64"/>
        <v>44216</v>
      </c>
      <c r="D600">
        <v>91.572997999999998</v>
      </c>
      <c r="E600">
        <v>95.185501000000002</v>
      </c>
      <c r="F600">
        <v>91.276497000000006</v>
      </c>
      <c r="G600">
        <v>94.345000999999996</v>
      </c>
      <c r="H600">
        <v>49806000</v>
      </c>
      <c r="I600">
        <f t="shared" si="65"/>
        <v>0</v>
      </c>
      <c r="J600">
        <f t="shared" si="66"/>
        <v>4.8</v>
      </c>
      <c r="K600" t="str">
        <f t="shared" si="67"/>
        <v>Positive</v>
      </c>
      <c r="L600" s="10">
        <f t="shared" si="68"/>
        <v>5.0898319456268826E-2</v>
      </c>
      <c r="M600">
        <f t="shared" si="69"/>
        <v>5.0898319456268826E-2</v>
      </c>
    </row>
    <row r="601" spans="1:13" x14ac:dyDescent="0.2">
      <c r="A601" s="21" t="s">
        <v>628</v>
      </c>
      <c r="B601" s="21" t="str">
        <f t="shared" si="63"/>
        <v>Thursday</v>
      </c>
      <c r="C601" s="9">
        <f t="shared" si="64"/>
        <v>44217</v>
      </c>
      <c r="D601">
        <v>94.900002000000001</v>
      </c>
      <c r="E601">
        <v>96.742996000000005</v>
      </c>
      <c r="F601">
        <v>94.355498999999995</v>
      </c>
      <c r="G601">
        <v>94.5625</v>
      </c>
      <c r="H601">
        <v>41278000</v>
      </c>
      <c r="I601">
        <f t="shared" si="65"/>
        <v>0</v>
      </c>
      <c r="J601">
        <f t="shared" si="66"/>
        <v>0.22</v>
      </c>
      <c r="K601" t="str">
        <f t="shared" si="67"/>
        <v>Positive</v>
      </c>
      <c r="L601" s="10">
        <f t="shared" si="68"/>
        <v>2.300055518836787E-3</v>
      </c>
      <c r="M601" t="str">
        <f t="shared" si="69"/>
        <v/>
      </c>
    </row>
    <row r="602" spans="1:13" x14ac:dyDescent="0.2">
      <c r="A602" s="21" t="s">
        <v>629</v>
      </c>
      <c r="B602" s="21" t="str">
        <f t="shared" si="63"/>
        <v>Friday</v>
      </c>
      <c r="C602" s="9">
        <f t="shared" si="64"/>
        <v>44218</v>
      </c>
      <c r="D602">
        <v>94.783996999999999</v>
      </c>
      <c r="E602">
        <v>95.547500999999997</v>
      </c>
      <c r="F602">
        <v>94.087997000000001</v>
      </c>
      <c r="G602">
        <v>95.052498</v>
      </c>
      <c r="H602">
        <v>25442000</v>
      </c>
      <c r="I602">
        <f t="shared" si="65"/>
        <v>0</v>
      </c>
      <c r="J602">
        <f t="shared" si="66"/>
        <v>0.49</v>
      </c>
      <c r="K602" t="str">
        <f t="shared" si="67"/>
        <v>Positive</v>
      </c>
      <c r="L602" s="10">
        <f t="shared" si="68"/>
        <v>5.1550249631524669E-3</v>
      </c>
      <c r="M602" t="str">
        <f t="shared" si="69"/>
        <v/>
      </c>
    </row>
    <row r="603" spans="1:13" x14ac:dyDescent="0.2">
      <c r="A603" s="21" t="s">
        <v>630</v>
      </c>
      <c r="B603" s="21" t="str">
        <f t="shared" si="63"/>
        <v>Monday</v>
      </c>
      <c r="C603" s="9">
        <f t="shared" si="64"/>
        <v>44221</v>
      </c>
      <c r="D603">
        <v>96.033501000000001</v>
      </c>
      <c r="E603">
        <v>96.478995999999995</v>
      </c>
      <c r="F603">
        <v>93.376503</v>
      </c>
      <c r="G603">
        <v>94.970000999999996</v>
      </c>
      <c r="H603">
        <v>38546000</v>
      </c>
      <c r="I603">
        <f t="shared" si="65"/>
        <v>0</v>
      </c>
      <c r="J603">
        <f t="shared" si="66"/>
        <v>-0.08</v>
      </c>
      <c r="K603" t="str">
        <f t="shared" si="67"/>
        <v>Negative</v>
      </c>
      <c r="L603" s="10">
        <f t="shared" si="68"/>
        <v>-8.6866377941813018E-4</v>
      </c>
      <c r="M603" t="str">
        <f t="shared" si="69"/>
        <v/>
      </c>
    </row>
    <row r="604" spans="1:13" x14ac:dyDescent="0.2">
      <c r="A604" s="21" t="s">
        <v>631</v>
      </c>
      <c r="B604" s="21" t="str">
        <f t="shared" si="63"/>
        <v>Tuesday</v>
      </c>
      <c r="C604" s="9">
        <f t="shared" si="64"/>
        <v>44222</v>
      </c>
      <c r="D604">
        <v>94.442001000000005</v>
      </c>
      <c r="E604">
        <v>96.25</v>
      </c>
      <c r="F604">
        <v>94.212249999999997</v>
      </c>
      <c r="G604">
        <v>95.861999999999995</v>
      </c>
      <c r="H604">
        <v>26262000</v>
      </c>
      <c r="I604">
        <f t="shared" si="65"/>
        <v>0</v>
      </c>
      <c r="J604">
        <f t="shared" si="66"/>
        <v>0.89</v>
      </c>
      <c r="K604" t="str">
        <f t="shared" si="67"/>
        <v>Positive</v>
      </c>
      <c r="L604" s="10">
        <f t="shared" si="68"/>
        <v>9.3050322338361236E-3</v>
      </c>
      <c r="M604" t="str">
        <f t="shared" si="69"/>
        <v/>
      </c>
    </row>
    <row r="605" spans="1:13" x14ac:dyDescent="0.2">
      <c r="A605" s="21" t="s">
        <v>632</v>
      </c>
      <c r="B605" s="21" t="str">
        <f t="shared" si="63"/>
        <v>Wednesday</v>
      </c>
      <c r="C605" s="9">
        <f t="shared" si="64"/>
        <v>44223</v>
      </c>
      <c r="D605">
        <v>94.126503</v>
      </c>
      <c r="E605">
        <v>94.5</v>
      </c>
      <c r="F605">
        <v>90.449996999999996</v>
      </c>
      <c r="G605">
        <v>91.539496999999997</v>
      </c>
      <c r="H605">
        <v>54966000</v>
      </c>
      <c r="I605">
        <f t="shared" si="65"/>
        <v>0</v>
      </c>
      <c r="J605">
        <f t="shared" si="66"/>
        <v>-4.32</v>
      </c>
      <c r="K605" t="str">
        <f t="shared" si="67"/>
        <v>Negative</v>
      </c>
      <c r="L605" s="10">
        <f t="shared" si="68"/>
        <v>-4.7220086865891318E-2</v>
      </c>
      <c r="M605" t="str">
        <f t="shared" si="69"/>
        <v/>
      </c>
    </row>
    <row r="606" spans="1:13" x14ac:dyDescent="0.2">
      <c r="A606" s="21" t="s">
        <v>633</v>
      </c>
      <c r="B606" s="21" t="str">
        <f t="shared" si="63"/>
        <v>Thursday</v>
      </c>
      <c r="C606" s="9">
        <f t="shared" si="64"/>
        <v>44224</v>
      </c>
      <c r="D606">
        <v>92.196999000000005</v>
      </c>
      <c r="E606">
        <v>94.941497999999996</v>
      </c>
      <c r="F606">
        <v>92.132003999999995</v>
      </c>
      <c r="G606">
        <v>93.155501999999998</v>
      </c>
      <c r="H606">
        <v>35462000</v>
      </c>
      <c r="I606">
        <f t="shared" si="65"/>
        <v>0</v>
      </c>
      <c r="J606">
        <f t="shared" si="66"/>
        <v>1.62</v>
      </c>
      <c r="K606" t="str">
        <f t="shared" si="67"/>
        <v>Positive</v>
      </c>
      <c r="L606" s="10">
        <f t="shared" si="68"/>
        <v>1.7347391891033997E-2</v>
      </c>
      <c r="M606" t="str">
        <f t="shared" si="69"/>
        <v/>
      </c>
    </row>
    <row r="607" spans="1:13" x14ac:dyDescent="0.2">
      <c r="A607" s="21" t="s">
        <v>634</v>
      </c>
      <c r="B607" s="21" t="str">
        <f t="shared" si="63"/>
        <v>Friday</v>
      </c>
      <c r="C607" s="9">
        <f t="shared" si="64"/>
        <v>44225</v>
      </c>
      <c r="D607">
        <v>92.308502000000004</v>
      </c>
      <c r="E607">
        <v>92.863997999999995</v>
      </c>
      <c r="F607">
        <v>90.510002</v>
      </c>
      <c r="G607">
        <v>91.787002999999999</v>
      </c>
      <c r="H607">
        <v>32252000</v>
      </c>
      <c r="I607">
        <f t="shared" si="65"/>
        <v>0</v>
      </c>
      <c r="J607">
        <f t="shared" si="66"/>
        <v>-1.37</v>
      </c>
      <c r="K607" t="str">
        <f t="shared" si="67"/>
        <v>Negative</v>
      </c>
      <c r="L607" s="10">
        <f t="shared" si="68"/>
        <v>-1.4909507395072045E-2</v>
      </c>
      <c r="M607" t="str">
        <f t="shared" si="69"/>
        <v/>
      </c>
    </row>
    <row r="608" spans="1:13" x14ac:dyDescent="0.2">
      <c r="A608" s="21" t="s">
        <v>635</v>
      </c>
      <c r="B608" s="21" t="str">
        <f t="shared" si="63"/>
        <v>Monday</v>
      </c>
      <c r="C608" s="9">
        <f t="shared" si="64"/>
        <v>44228</v>
      </c>
      <c r="D608">
        <v>92.678496999999993</v>
      </c>
      <c r="E608">
        <v>96.119597999999996</v>
      </c>
      <c r="F608">
        <v>92.546501000000006</v>
      </c>
      <c r="G608">
        <v>95.067497000000003</v>
      </c>
      <c r="H608">
        <v>32044000</v>
      </c>
      <c r="I608">
        <f t="shared" si="65"/>
        <v>0</v>
      </c>
      <c r="J608">
        <f t="shared" si="66"/>
        <v>3.28</v>
      </c>
      <c r="K608" t="str">
        <f t="shared" si="67"/>
        <v>Positive</v>
      </c>
      <c r="L608" s="10">
        <f t="shared" si="68"/>
        <v>3.4506998748478721E-2</v>
      </c>
      <c r="M608" t="str">
        <f t="shared" si="69"/>
        <v/>
      </c>
    </row>
    <row r="609" spans="1:13" x14ac:dyDescent="0.2">
      <c r="A609" s="21" t="s">
        <v>636</v>
      </c>
      <c r="B609" s="21" t="str">
        <f t="shared" si="63"/>
        <v>Tuesday</v>
      </c>
      <c r="C609" s="9">
        <f t="shared" si="64"/>
        <v>44229</v>
      </c>
      <c r="D609">
        <v>96.127998000000005</v>
      </c>
      <c r="E609">
        <v>97.788002000000006</v>
      </c>
      <c r="F609">
        <v>95.724502999999999</v>
      </c>
      <c r="G609">
        <v>96.375504000000006</v>
      </c>
      <c r="H609">
        <v>45474000</v>
      </c>
      <c r="I609">
        <f t="shared" si="65"/>
        <v>0</v>
      </c>
      <c r="J609">
        <f t="shared" si="66"/>
        <v>1.31</v>
      </c>
      <c r="K609" t="str">
        <f t="shared" si="67"/>
        <v>Positive</v>
      </c>
      <c r="L609" s="10">
        <f t="shared" si="68"/>
        <v>1.3571986093063683E-2</v>
      </c>
      <c r="M609" t="str">
        <f t="shared" si="69"/>
        <v/>
      </c>
    </row>
    <row r="610" spans="1:13" x14ac:dyDescent="0.2">
      <c r="A610" s="21" t="s">
        <v>637</v>
      </c>
      <c r="B610" s="21" t="str">
        <f t="shared" si="63"/>
        <v>Wednesday</v>
      </c>
      <c r="C610" s="9">
        <f t="shared" si="64"/>
        <v>44230</v>
      </c>
      <c r="D610">
        <v>103.650002</v>
      </c>
      <c r="E610">
        <v>105.824997</v>
      </c>
      <c r="F610">
        <v>100.918999</v>
      </c>
      <c r="G610">
        <v>103.503502</v>
      </c>
      <c r="H610">
        <v>82364000</v>
      </c>
      <c r="I610">
        <f t="shared" si="65"/>
        <v>0</v>
      </c>
      <c r="J610">
        <f t="shared" si="66"/>
        <v>7.13</v>
      </c>
      <c r="K610" t="str">
        <f t="shared" si="67"/>
        <v>Positive</v>
      </c>
      <c r="L610" s="10">
        <f t="shared" si="68"/>
        <v>6.88672157199086E-2</v>
      </c>
      <c r="M610">
        <f t="shared" si="69"/>
        <v>6.88672157199086E-2</v>
      </c>
    </row>
    <row r="611" spans="1:13" x14ac:dyDescent="0.2">
      <c r="A611" s="21" t="s">
        <v>638</v>
      </c>
      <c r="B611" s="21" t="str">
        <f t="shared" si="63"/>
        <v>Thursday</v>
      </c>
      <c r="C611" s="9">
        <f t="shared" si="64"/>
        <v>44231</v>
      </c>
      <c r="D611">
        <v>103.44450399999999</v>
      </c>
      <c r="E611">
        <v>103.927498</v>
      </c>
      <c r="F611">
        <v>102.129501</v>
      </c>
      <c r="G611">
        <v>103.1185</v>
      </c>
      <c r="H611">
        <v>37046000</v>
      </c>
      <c r="I611">
        <f t="shared" si="65"/>
        <v>0</v>
      </c>
      <c r="J611">
        <f t="shared" si="66"/>
        <v>-0.39</v>
      </c>
      <c r="K611" t="str">
        <f t="shared" si="67"/>
        <v>Negative</v>
      </c>
      <c r="L611" s="10">
        <f t="shared" si="68"/>
        <v>-3.7335880564593167E-3</v>
      </c>
      <c r="M611" t="str">
        <f t="shared" si="69"/>
        <v/>
      </c>
    </row>
    <row r="612" spans="1:13" x14ac:dyDescent="0.2">
      <c r="A612" s="21" t="s">
        <v>639</v>
      </c>
      <c r="B612" s="21" t="str">
        <f t="shared" si="63"/>
        <v>Friday</v>
      </c>
      <c r="C612" s="9">
        <f t="shared" si="64"/>
        <v>44232</v>
      </c>
      <c r="D612">
        <v>103.5</v>
      </c>
      <c r="E612">
        <v>105.12550400000001</v>
      </c>
      <c r="F612">
        <v>102.966499</v>
      </c>
      <c r="G612">
        <v>104.900002</v>
      </c>
      <c r="H612">
        <v>30702000</v>
      </c>
      <c r="I612">
        <f t="shared" si="65"/>
        <v>0</v>
      </c>
      <c r="J612">
        <f t="shared" si="66"/>
        <v>1.78</v>
      </c>
      <c r="K612" t="str">
        <f t="shared" si="67"/>
        <v>Positive</v>
      </c>
      <c r="L612" s="10">
        <f t="shared" si="68"/>
        <v>1.6982859542748179E-2</v>
      </c>
      <c r="M612" t="str">
        <f t="shared" si="69"/>
        <v/>
      </c>
    </row>
    <row r="613" spans="1:13" x14ac:dyDescent="0.2">
      <c r="A613" s="21" t="s">
        <v>640</v>
      </c>
      <c r="B613" s="21" t="str">
        <f t="shared" si="63"/>
        <v>Monday</v>
      </c>
      <c r="C613" s="9">
        <f t="shared" si="64"/>
        <v>44235</v>
      </c>
      <c r="D613">
        <v>105.295502</v>
      </c>
      <c r="E613">
        <v>106.177353</v>
      </c>
      <c r="F613">
        <v>103.599998</v>
      </c>
      <c r="G613">
        <v>104.6455</v>
      </c>
      <c r="H613">
        <v>24838000</v>
      </c>
      <c r="I613">
        <f t="shared" si="65"/>
        <v>0</v>
      </c>
      <c r="J613">
        <f t="shared" si="66"/>
        <v>-0.25</v>
      </c>
      <c r="K613" t="str">
        <f t="shared" si="67"/>
        <v>Negative</v>
      </c>
      <c r="L613" s="10">
        <f t="shared" si="68"/>
        <v>-2.4320396003650632E-3</v>
      </c>
      <c r="M613" t="str">
        <f t="shared" si="69"/>
        <v/>
      </c>
    </row>
    <row r="614" spans="1:13" x14ac:dyDescent="0.2">
      <c r="A614" s="21" t="s">
        <v>641</v>
      </c>
      <c r="B614" s="21" t="str">
        <f t="shared" si="63"/>
        <v>Tuesday</v>
      </c>
      <c r="C614" s="9">
        <f t="shared" si="64"/>
        <v>44236</v>
      </c>
      <c r="D614">
        <v>103.927002</v>
      </c>
      <c r="E614">
        <v>105.2565</v>
      </c>
      <c r="F614">
        <v>103.927002</v>
      </c>
      <c r="G614">
        <v>104.175499</v>
      </c>
      <c r="H614">
        <v>17798000</v>
      </c>
      <c r="I614">
        <f t="shared" si="65"/>
        <v>0</v>
      </c>
      <c r="J614">
        <f t="shared" si="66"/>
        <v>-0.47</v>
      </c>
      <c r="K614" t="str">
        <f t="shared" si="67"/>
        <v>Negative</v>
      </c>
      <c r="L614" s="10">
        <f t="shared" si="68"/>
        <v>-4.5116270573371227E-3</v>
      </c>
      <c r="M614" t="str">
        <f t="shared" si="69"/>
        <v/>
      </c>
    </row>
    <row r="615" spans="1:13" x14ac:dyDescent="0.2">
      <c r="A615" s="21" t="s">
        <v>642</v>
      </c>
      <c r="B615" s="21" t="str">
        <f t="shared" si="63"/>
        <v>Wednesday</v>
      </c>
      <c r="C615" s="9">
        <f t="shared" si="64"/>
        <v>44237</v>
      </c>
      <c r="D615">
        <v>104.710503</v>
      </c>
      <c r="E615">
        <v>105.418503</v>
      </c>
      <c r="F615">
        <v>103.15450300000001</v>
      </c>
      <c r="G615">
        <v>104.768997</v>
      </c>
      <c r="H615">
        <v>22710000</v>
      </c>
      <c r="I615">
        <f t="shared" si="65"/>
        <v>0</v>
      </c>
      <c r="J615">
        <f t="shared" si="66"/>
        <v>0.59</v>
      </c>
      <c r="K615" t="str">
        <f t="shared" si="67"/>
        <v>Positive</v>
      </c>
      <c r="L615" s="10">
        <f t="shared" si="68"/>
        <v>5.664824680912014E-3</v>
      </c>
      <c r="M615" t="str">
        <f t="shared" si="69"/>
        <v/>
      </c>
    </row>
    <row r="616" spans="1:13" x14ac:dyDescent="0.2">
      <c r="A616" s="21" t="s">
        <v>643</v>
      </c>
      <c r="B616" s="21" t="str">
        <f t="shared" si="63"/>
        <v>Thursday</v>
      </c>
      <c r="C616" s="9">
        <f t="shared" si="64"/>
        <v>44238</v>
      </c>
      <c r="D616">
        <v>104.97550200000001</v>
      </c>
      <c r="E616">
        <v>105.101501</v>
      </c>
      <c r="F616">
        <v>103.86599699999999</v>
      </c>
      <c r="G616">
        <v>104.79450199999999</v>
      </c>
      <c r="H616">
        <v>18914000</v>
      </c>
      <c r="I616">
        <f t="shared" si="65"/>
        <v>0</v>
      </c>
      <c r="J616">
        <f t="shared" si="66"/>
        <v>0.03</v>
      </c>
      <c r="K616" t="str">
        <f t="shared" si="67"/>
        <v>Positive</v>
      </c>
      <c r="L616" s="10">
        <f t="shared" si="68"/>
        <v>2.4338108882845255E-4</v>
      </c>
      <c r="M616" t="str">
        <f t="shared" si="69"/>
        <v/>
      </c>
    </row>
    <row r="617" spans="1:13" x14ac:dyDescent="0.2">
      <c r="A617" s="21" t="s">
        <v>644</v>
      </c>
      <c r="B617" s="21" t="str">
        <f t="shared" si="63"/>
        <v>Friday</v>
      </c>
      <c r="C617" s="9">
        <f t="shared" si="64"/>
        <v>44239</v>
      </c>
      <c r="D617">
        <v>104.512497</v>
      </c>
      <c r="E617">
        <v>105.441002</v>
      </c>
      <c r="F617">
        <v>104.156502</v>
      </c>
      <c r="G617">
        <v>105.20549800000001</v>
      </c>
      <c r="H617">
        <v>17114000</v>
      </c>
      <c r="I617">
        <f t="shared" si="65"/>
        <v>0</v>
      </c>
      <c r="J617">
        <f t="shared" si="66"/>
        <v>0.41</v>
      </c>
      <c r="K617" t="str">
        <f t="shared" si="67"/>
        <v>Positive</v>
      </c>
      <c r="L617" s="10">
        <f t="shared" si="68"/>
        <v>3.9066019154247187E-3</v>
      </c>
      <c r="M617" t="str">
        <f t="shared" si="69"/>
        <v/>
      </c>
    </row>
    <row r="618" spans="1:13" x14ac:dyDescent="0.2">
      <c r="A618" s="21" t="s">
        <v>645</v>
      </c>
      <c r="B618" s="21" t="str">
        <f t="shared" si="63"/>
        <v>Tuesday</v>
      </c>
      <c r="C618" s="9">
        <f t="shared" si="64"/>
        <v>44243</v>
      </c>
      <c r="D618">
        <v>105.218002</v>
      </c>
      <c r="E618">
        <v>107.63400300000001</v>
      </c>
      <c r="F618">
        <v>105.218002</v>
      </c>
      <c r="G618">
        <v>106.095001</v>
      </c>
      <c r="H618">
        <v>22676000</v>
      </c>
      <c r="I618">
        <f t="shared" si="65"/>
        <v>0</v>
      </c>
      <c r="J618">
        <f t="shared" si="66"/>
        <v>0.89</v>
      </c>
      <c r="K618" t="str">
        <f t="shared" si="67"/>
        <v>Positive</v>
      </c>
      <c r="L618" s="10">
        <f t="shared" si="68"/>
        <v>8.3840236732736408E-3</v>
      </c>
      <c r="M618" t="str">
        <f t="shared" si="69"/>
        <v/>
      </c>
    </row>
    <row r="619" spans="1:13" x14ac:dyDescent="0.2">
      <c r="A619" s="21" t="s">
        <v>646</v>
      </c>
      <c r="B619" s="21" t="str">
        <f t="shared" si="63"/>
        <v>Wednesday</v>
      </c>
      <c r="C619" s="9">
        <f t="shared" si="64"/>
        <v>44244</v>
      </c>
      <c r="D619">
        <v>105</v>
      </c>
      <c r="E619">
        <v>106.682999</v>
      </c>
      <c r="F619">
        <v>104.945999</v>
      </c>
      <c r="G619">
        <v>106.415497</v>
      </c>
      <c r="H619">
        <v>21418000</v>
      </c>
      <c r="I619">
        <f t="shared" si="65"/>
        <v>0</v>
      </c>
      <c r="J619">
        <f t="shared" si="66"/>
        <v>0.32</v>
      </c>
      <c r="K619" t="str">
        <f t="shared" si="67"/>
        <v>Positive</v>
      </c>
      <c r="L619" s="10">
        <f t="shared" si="68"/>
        <v>3.0117417954642982E-3</v>
      </c>
      <c r="M619" t="str">
        <f t="shared" si="69"/>
        <v/>
      </c>
    </row>
    <row r="620" spans="1:13" x14ac:dyDescent="0.2">
      <c r="A620" s="21" t="s">
        <v>647</v>
      </c>
      <c r="B620" s="21" t="str">
        <f t="shared" si="63"/>
        <v>Thursday</v>
      </c>
      <c r="C620" s="9">
        <f t="shared" si="64"/>
        <v>44245</v>
      </c>
      <c r="D620">
        <v>105.51950100000001</v>
      </c>
      <c r="E620">
        <v>106.63674899999999</v>
      </c>
      <c r="F620">
        <v>105.185501</v>
      </c>
      <c r="G620">
        <v>105.860001</v>
      </c>
      <c r="H620">
        <v>22432000</v>
      </c>
      <c r="I620">
        <f t="shared" si="65"/>
        <v>0</v>
      </c>
      <c r="J620">
        <f t="shared" si="66"/>
        <v>-0.56000000000000005</v>
      </c>
      <c r="K620" t="str">
        <f t="shared" si="67"/>
        <v>Negative</v>
      </c>
      <c r="L620" s="10">
        <f t="shared" si="68"/>
        <v>-5.2474588584219368E-3</v>
      </c>
      <c r="M620" t="str">
        <f t="shared" si="69"/>
        <v/>
      </c>
    </row>
    <row r="621" spans="1:13" x14ac:dyDescent="0.2">
      <c r="A621" s="21" t="s">
        <v>648</v>
      </c>
      <c r="B621" s="21" t="str">
        <f t="shared" si="63"/>
        <v>Friday</v>
      </c>
      <c r="C621" s="9">
        <f t="shared" si="64"/>
        <v>44246</v>
      </c>
      <c r="D621">
        <v>105.96350099999999</v>
      </c>
      <c r="E621">
        <v>106.52649700000001</v>
      </c>
      <c r="F621">
        <v>104.870499</v>
      </c>
      <c r="G621">
        <v>105.056999</v>
      </c>
      <c r="H621">
        <v>29148000</v>
      </c>
      <c r="I621">
        <f t="shared" si="65"/>
        <v>0</v>
      </c>
      <c r="J621">
        <f t="shared" si="66"/>
        <v>-0.8</v>
      </c>
      <c r="K621" t="str">
        <f t="shared" si="67"/>
        <v>Negative</v>
      </c>
      <c r="L621" s="10">
        <f t="shared" si="68"/>
        <v>-7.6434888455170153E-3</v>
      </c>
      <c r="M621" t="str">
        <f t="shared" si="69"/>
        <v/>
      </c>
    </row>
    <row r="622" spans="1:13" x14ac:dyDescent="0.2">
      <c r="A622" s="21" t="s">
        <v>649</v>
      </c>
      <c r="B622" s="21" t="str">
        <f t="shared" si="63"/>
        <v>Monday</v>
      </c>
      <c r="C622" s="9">
        <f t="shared" si="64"/>
        <v>44249</v>
      </c>
      <c r="D622">
        <v>103.349998</v>
      </c>
      <c r="E622">
        <v>104.570999</v>
      </c>
      <c r="F622">
        <v>103.10700199999999</v>
      </c>
      <c r="G622">
        <v>103.24400300000001</v>
      </c>
      <c r="H622">
        <v>27350000</v>
      </c>
      <c r="I622">
        <f t="shared" si="65"/>
        <v>0</v>
      </c>
      <c r="J622">
        <f t="shared" si="66"/>
        <v>-1.81</v>
      </c>
      <c r="K622" t="str">
        <f t="shared" si="67"/>
        <v>Negative</v>
      </c>
      <c r="L622" s="10">
        <f t="shared" si="68"/>
        <v>-1.7560303236208288E-2</v>
      </c>
      <c r="M622" t="str">
        <f t="shared" si="69"/>
        <v/>
      </c>
    </row>
    <row r="623" spans="1:13" x14ac:dyDescent="0.2">
      <c r="A623" s="21" t="s">
        <v>650</v>
      </c>
      <c r="B623" s="21" t="str">
        <f t="shared" si="63"/>
        <v>Tuesday</v>
      </c>
      <c r="C623" s="9">
        <f t="shared" si="64"/>
        <v>44250</v>
      </c>
      <c r="D623">
        <v>101.25050400000001</v>
      </c>
      <c r="E623">
        <v>104.10050200000001</v>
      </c>
      <c r="F623">
        <v>100.100998</v>
      </c>
      <c r="G623">
        <v>103.54299899999999</v>
      </c>
      <c r="H623">
        <v>33348000</v>
      </c>
      <c r="I623">
        <f t="shared" si="65"/>
        <v>0</v>
      </c>
      <c r="J623">
        <f t="shared" si="66"/>
        <v>0.3</v>
      </c>
      <c r="K623" t="str">
        <f t="shared" si="67"/>
        <v>Positive</v>
      </c>
      <c r="L623" s="10">
        <f t="shared" si="68"/>
        <v>2.8876505692093028E-3</v>
      </c>
      <c r="M623" t="str">
        <f t="shared" si="69"/>
        <v/>
      </c>
    </row>
    <row r="624" spans="1:13" x14ac:dyDescent="0.2">
      <c r="A624" s="21" t="s">
        <v>651</v>
      </c>
      <c r="B624" s="21" t="str">
        <f t="shared" si="63"/>
        <v>Wednesday</v>
      </c>
      <c r="C624" s="9">
        <f t="shared" si="64"/>
        <v>44251</v>
      </c>
      <c r="D624">
        <v>102.091499</v>
      </c>
      <c r="E624">
        <v>105.039001</v>
      </c>
      <c r="F624">
        <v>101.906502</v>
      </c>
      <c r="G624">
        <v>104.758499</v>
      </c>
      <c r="H624">
        <v>24966000</v>
      </c>
      <c r="I624">
        <f t="shared" si="65"/>
        <v>0</v>
      </c>
      <c r="J624">
        <f t="shared" si="66"/>
        <v>1.22</v>
      </c>
      <c r="K624" t="str">
        <f t="shared" si="67"/>
        <v>Positive</v>
      </c>
      <c r="L624" s="10">
        <f t="shared" si="68"/>
        <v>1.1602877204263931E-2</v>
      </c>
      <c r="M624" t="str">
        <f t="shared" si="69"/>
        <v/>
      </c>
    </row>
    <row r="625" spans="1:13" x14ac:dyDescent="0.2">
      <c r="A625" s="21" t="s">
        <v>652</v>
      </c>
      <c r="B625" s="21" t="str">
        <f t="shared" si="63"/>
        <v>Thursday</v>
      </c>
      <c r="C625" s="9">
        <f t="shared" si="64"/>
        <v>44252</v>
      </c>
      <c r="D625">
        <v>103.37249799999999</v>
      </c>
      <c r="E625">
        <v>104.74400300000001</v>
      </c>
      <c r="F625">
        <v>101.064499</v>
      </c>
      <c r="G625">
        <v>101.568001</v>
      </c>
      <c r="H625">
        <v>36568000</v>
      </c>
      <c r="I625">
        <f t="shared" si="65"/>
        <v>0</v>
      </c>
      <c r="J625">
        <f t="shared" si="66"/>
        <v>-3.19</v>
      </c>
      <c r="K625" t="str">
        <f t="shared" si="67"/>
        <v>Negative</v>
      </c>
      <c r="L625" s="10">
        <f t="shared" si="68"/>
        <v>-3.1412432740504613E-2</v>
      </c>
      <c r="M625" t="str">
        <f t="shared" si="69"/>
        <v/>
      </c>
    </row>
    <row r="626" spans="1:13" x14ac:dyDescent="0.2">
      <c r="A626" s="21" t="s">
        <v>653</v>
      </c>
      <c r="B626" s="21" t="str">
        <f t="shared" si="63"/>
        <v>Friday</v>
      </c>
      <c r="C626" s="9">
        <f t="shared" si="64"/>
        <v>44253</v>
      </c>
      <c r="D626">
        <v>102.52600099999999</v>
      </c>
      <c r="E626">
        <v>103.550499</v>
      </c>
      <c r="F626">
        <v>100.80300099999999</v>
      </c>
      <c r="G626">
        <v>101.843002</v>
      </c>
      <c r="H626">
        <v>41670000</v>
      </c>
      <c r="I626">
        <f t="shared" si="65"/>
        <v>0</v>
      </c>
      <c r="J626">
        <f t="shared" si="66"/>
        <v>0.28000000000000003</v>
      </c>
      <c r="K626" t="str">
        <f t="shared" si="67"/>
        <v>Positive</v>
      </c>
      <c r="L626" s="10">
        <f t="shared" si="68"/>
        <v>2.7002444409484627E-3</v>
      </c>
      <c r="M626" t="str">
        <f t="shared" si="69"/>
        <v/>
      </c>
    </row>
    <row r="627" spans="1:13" x14ac:dyDescent="0.2">
      <c r="A627" s="21" t="s">
        <v>654</v>
      </c>
      <c r="B627" s="21" t="str">
        <f t="shared" si="63"/>
        <v>Monday</v>
      </c>
      <c r="C627" s="9">
        <f t="shared" si="64"/>
        <v>44256</v>
      </c>
      <c r="D627">
        <v>102.825996</v>
      </c>
      <c r="E627">
        <v>104.325996</v>
      </c>
      <c r="F627">
        <v>102.30500000000001</v>
      </c>
      <c r="G627">
        <v>104.07550000000001</v>
      </c>
      <c r="H627">
        <v>28090000</v>
      </c>
      <c r="I627">
        <f t="shared" si="65"/>
        <v>0</v>
      </c>
      <c r="J627">
        <f t="shared" si="66"/>
        <v>2.23</v>
      </c>
      <c r="K627" t="str">
        <f t="shared" si="67"/>
        <v>Positive</v>
      </c>
      <c r="L627" s="10">
        <f t="shared" si="68"/>
        <v>2.1450754500338759E-2</v>
      </c>
      <c r="M627" t="str">
        <f t="shared" si="69"/>
        <v/>
      </c>
    </row>
    <row r="628" spans="1:13" x14ac:dyDescent="0.2">
      <c r="A628" s="21" t="s">
        <v>655</v>
      </c>
      <c r="B628" s="21" t="str">
        <f t="shared" si="63"/>
        <v>Tuesday</v>
      </c>
      <c r="C628" s="9">
        <f t="shared" si="64"/>
        <v>44257</v>
      </c>
      <c r="D628">
        <v>103.80950199999999</v>
      </c>
      <c r="E628">
        <v>105.218498</v>
      </c>
      <c r="F628">
        <v>103.56300400000001</v>
      </c>
      <c r="G628">
        <v>103.792</v>
      </c>
      <c r="H628">
        <v>22692000</v>
      </c>
      <c r="I628">
        <f t="shared" si="65"/>
        <v>0</v>
      </c>
      <c r="J628">
        <f t="shared" si="66"/>
        <v>-0.28000000000000003</v>
      </c>
      <c r="K628" t="str">
        <f t="shared" si="67"/>
        <v>Negative</v>
      </c>
      <c r="L628" s="10">
        <f t="shared" si="68"/>
        <v>-2.7314243872360454E-3</v>
      </c>
      <c r="M628" t="str">
        <f t="shared" si="69"/>
        <v/>
      </c>
    </row>
    <row r="629" spans="1:13" x14ac:dyDescent="0.2">
      <c r="A629" s="21" t="s">
        <v>656</v>
      </c>
      <c r="B629" s="21" t="str">
        <f t="shared" si="63"/>
        <v>Wednesday</v>
      </c>
      <c r="C629" s="9">
        <f t="shared" si="64"/>
        <v>44258</v>
      </c>
      <c r="D629">
        <v>103.360497</v>
      </c>
      <c r="E629">
        <v>104.42590300000001</v>
      </c>
      <c r="F629">
        <v>100.5</v>
      </c>
      <c r="G629">
        <v>101.335503</v>
      </c>
      <c r="H629">
        <v>29684000</v>
      </c>
      <c r="I629">
        <f t="shared" si="65"/>
        <v>0</v>
      </c>
      <c r="J629">
        <f t="shared" si="66"/>
        <v>-2.46</v>
      </c>
      <c r="K629" t="str">
        <f t="shared" si="67"/>
        <v>Negative</v>
      </c>
      <c r="L629" s="10">
        <f t="shared" si="68"/>
        <v>-2.4241227677135019E-2</v>
      </c>
      <c r="M629" t="str">
        <f t="shared" si="69"/>
        <v/>
      </c>
    </row>
    <row r="630" spans="1:13" x14ac:dyDescent="0.2">
      <c r="A630" s="21" t="s">
        <v>657</v>
      </c>
      <c r="B630" s="21" t="str">
        <f t="shared" si="63"/>
        <v>Thursday</v>
      </c>
      <c r="C630" s="9">
        <f t="shared" si="64"/>
        <v>44259</v>
      </c>
      <c r="D630">
        <v>101.168503</v>
      </c>
      <c r="E630">
        <v>104.46199799999999</v>
      </c>
      <c r="F630">
        <v>101.013496</v>
      </c>
      <c r="G630">
        <v>102.454498</v>
      </c>
      <c r="H630">
        <v>42360000</v>
      </c>
      <c r="I630">
        <f t="shared" si="65"/>
        <v>0</v>
      </c>
      <c r="J630">
        <f t="shared" si="66"/>
        <v>1.1200000000000001</v>
      </c>
      <c r="K630" t="str">
        <f t="shared" si="67"/>
        <v>Positive</v>
      </c>
      <c r="L630" s="10">
        <f t="shared" si="68"/>
        <v>1.092187284935014E-2</v>
      </c>
      <c r="M630" t="str">
        <f t="shared" si="69"/>
        <v/>
      </c>
    </row>
    <row r="631" spans="1:13" x14ac:dyDescent="0.2">
      <c r="A631" s="21" t="s">
        <v>658</v>
      </c>
      <c r="B631" s="21" t="str">
        <f t="shared" si="63"/>
        <v>Friday</v>
      </c>
      <c r="C631" s="9">
        <f t="shared" si="64"/>
        <v>44260</v>
      </c>
      <c r="D631">
        <v>103.655998</v>
      </c>
      <c r="E631">
        <v>105.905502</v>
      </c>
      <c r="F631">
        <v>102.320747</v>
      </c>
      <c r="G631">
        <v>105.427002</v>
      </c>
      <c r="H631">
        <v>43904000</v>
      </c>
      <c r="I631">
        <f t="shared" si="65"/>
        <v>0</v>
      </c>
      <c r="J631">
        <f t="shared" si="66"/>
        <v>2.97</v>
      </c>
      <c r="K631" t="str">
        <f t="shared" si="67"/>
        <v>Positive</v>
      </c>
      <c r="L631" s="10">
        <f t="shared" si="68"/>
        <v>2.8194902099179492E-2</v>
      </c>
      <c r="M631" t="str">
        <f t="shared" si="69"/>
        <v/>
      </c>
    </row>
    <row r="632" spans="1:13" x14ac:dyDescent="0.2">
      <c r="A632" s="21" t="s">
        <v>659</v>
      </c>
      <c r="B632" s="21" t="str">
        <f t="shared" si="63"/>
        <v>Monday</v>
      </c>
      <c r="C632" s="9">
        <f t="shared" si="64"/>
        <v>44263</v>
      </c>
      <c r="D632">
        <v>105.05650300000001</v>
      </c>
      <c r="E632">
        <v>106.44049800000001</v>
      </c>
      <c r="F632">
        <v>101.08049800000001</v>
      </c>
      <c r="G632">
        <v>101.208504</v>
      </c>
      <c r="H632">
        <v>32948000</v>
      </c>
      <c r="I632">
        <f t="shared" si="65"/>
        <v>0</v>
      </c>
      <c r="J632">
        <f t="shared" si="66"/>
        <v>-4.22</v>
      </c>
      <c r="K632" t="str">
        <f t="shared" si="67"/>
        <v>Negative</v>
      </c>
      <c r="L632" s="10">
        <f t="shared" si="68"/>
        <v>-4.1681260301999888E-2</v>
      </c>
      <c r="M632" t="str">
        <f t="shared" si="69"/>
        <v/>
      </c>
    </row>
    <row r="633" spans="1:13" x14ac:dyDescent="0.2">
      <c r="A633" s="21" t="s">
        <v>660</v>
      </c>
      <c r="B633" s="21" t="str">
        <f t="shared" si="63"/>
        <v>Tuesday</v>
      </c>
      <c r="C633" s="9">
        <f t="shared" si="64"/>
        <v>44264</v>
      </c>
      <c r="D633">
        <v>103.5</v>
      </c>
      <c r="E633">
        <v>103.902</v>
      </c>
      <c r="F633">
        <v>102.391502</v>
      </c>
      <c r="G633">
        <v>102.635002</v>
      </c>
      <c r="H633">
        <v>33946000</v>
      </c>
      <c r="I633">
        <f t="shared" si="65"/>
        <v>0</v>
      </c>
      <c r="J633">
        <f t="shared" si="66"/>
        <v>1.43</v>
      </c>
      <c r="K633" t="str">
        <f t="shared" si="67"/>
        <v>Positive</v>
      </c>
      <c r="L633" s="10">
        <f t="shared" si="68"/>
        <v>1.389874771961319E-2</v>
      </c>
      <c r="M633" t="str">
        <f t="shared" si="69"/>
        <v/>
      </c>
    </row>
    <row r="634" spans="1:13" x14ac:dyDescent="0.2">
      <c r="A634" s="21" t="s">
        <v>661</v>
      </c>
      <c r="B634" s="21" t="str">
        <f t="shared" si="63"/>
        <v>Wednesday</v>
      </c>
      <c r="C634" s="9">
        <f t="shared" si="64"/>
        <v>44265</v>
      </c>
      <c r="D634">
        <v>103.587997</v>
      </c>
      <c r="E634">
        <v>103.75</v>
      </c>
      <c r="F634">
        <v>101.668503</v>
      </c>
      <c r="G634">
        <v>102.751503</v>
      </c>
      <c r="H634">
        <v>25372000</v>
      </c>
      <c r="I634">
        <f t="shared" si="65"/>
        <v>0</v>
      </c>
      <c r="J634">
        <f t="shared" si="66"/>
        <v>0.12</v>
      </c>
      <c r="K634" t="str">
        <f t="shared" si="67"/>
        <v>Positive</v>
      </c>
      <c r="L634" s="10">
        <f t="shared" si="68"/>
        <v>1.1338130985782224E-3</v>
      </c>
      <c r="M634" t="str">
        <f t="shared" si="69"/>
        <v/>
      </c>
    </row>
    <row r="635" spans="1:13" x14ac:dyDescent="0.2">
      <c r="A635" s="21" t="s">
        <v>662</v>
      </c>
      <c r="B635" s="21" t="str">
        <f t="shared" si="63"/>
        <v>Thursday</v>
      </c>
      <c r="C635" s="9">
        <f t="shared" si="64"/>
        <v>44266</v>
      </c>
      <c r="D635">
        <v>103.703003</v>
      </c>
      <c r="E635">
        <v>106.285004</v>
      </c>
      <c r="F635">
        <v>103.61900300000001</v>
      </c>
      <c r="G635">
        <v>105.73850299999999</v>
      </c>
      <c r="H635">
        <v>24782000</v>
      </c>
      <c r="I635">
        <f t="shared" si="65"/>
        <v>0</v>
      </c>
      <c r="J635">
        <f t="shared" si="66"/>
        <v>2.99</v>
      </c>
      <c r="K635" t="str">
        <f t="shared" si="67"/>
        <v>Positive</v>
      </c>
      <c r="L635" s="10">
        <f t="shared" si="68"/>
        <v>2.8248934070874778E-2</v>
      </c>
      <c r="M635" t="str">
        <f t="shared" si="69"/>
        <v/>
      </c>
    </row>
    <row r="636" spans="1:13" x14ac:dyDescent="0.2">
      <c r="A636" s="21" t="s">
        <v>663</v>
      </c>
      <c r="B636" s="21" t="str">
        <f t="shared" si="63"/>
        <v>Friday</v>
      </c>
      <c r="C636" s="9">
        <f t="shared" si="64"/>
        <v>44267</v>
      </c>
      <c r="D636">
        <v>104.25</v>
      </c>
      <c r="E636">
        <v>104.51300000000001</v>
      </c>
      <c r="F636">
        <v>102.37750200000001</v>
      </c>
      <c r="G636">
        <v>103.096001</v>
      </c>
      <c r="H636">
        <v>34516000</v>
      </c>
      <c r="I636">
        <f t="shared" si="65"/>
        <v>0</v>
      </c>
      <c r="J636">
        <f t="shared" si="66"/>
        <v>-2.64</v>
      </c>
      <c r="K636" t="str">
        <f t="shared" si="67"/>
        <v>Negative</v>
      </c>
      <c r="L636" s="10">
        <f t="shared" si="68"/>
        <v>-2.5631469449527856E-2</v>
      </c>
      <c r="M636" t="str">
        <f t="shared" si="69"/>
        <v/>
      </c>
    </row>
    <row r="637" spans="1:13" x14ac:dyDescent="0.2">
      <c r="A637" s="21" t="s">
        <v>664</v>
      </c>
      <c r="B637" s="21" t="str">
        <f t="shared" si="63"/>
        <v>Monday</v>
      </c>
      <c r="C637" s="9">
        <f t="shared" si="64"/>
        <v>44270</v>
      </c>
      <c r="D637">
        <v>103.114998</v>
      </c>
      <c r="E637">
        <v>103.352997</v>
      </c>
      <c r="F637">
        <v>102.175499</v>
      </c>
      <c r="G637">
        <v>103.324501</v>
      </c>
      <c r="H637">
        <v>25962000</v>
      </c>
      <c r="I637">
        <f t="shared" si="65"/>
        <v>0</v>
      </c>
      <c r="J637">
        <f t="shared" si="66"/>
        <v>0.23</v>
      </c>
      <c r="K637" t="str">
        <f t="shared" si="67"/>
        <v>Positive</v>
      </c>
      <c r="L637" s="10">
        <f t="shared" si="68"/>
        <v>2.2114793469943475E-3</v>
      </c>
      <c r="M637" t="str">
        <f t="shared" si="69"/>
        <v/>
      </c>
    </row>
    <row r="638" spans="1:13" x14ac:dyDescent="0.2">
      <c r="A638" s="21" t="s">
        <v>665</v>
      </c>
      <c r="B638" s="21" t="str">
        <f t="shared" si="63"/>
        <v>Tuesday</v>
      </c>
      <c r="C638" s="9">
        <f t="shared" si="64"/>
        <v>44271</v>
      </c>
      <c r="D638">
        <v>103.949501</v>
      </c>
      <c r="E638">
        <v>106.17800099999999</v>
      </c>
      <c r="F638">
        <v>103.5</v>
      </c>
      <c r="G638">
        <v>104.62599899999999</v>
      </c>
      <c r="H638">
        <v>29832000</v>
      </c>
      <c r="I638">
        <f t="shared" si="65"/>
        <v>0</v>
      </c>
      <c r="J638">
        <f t="shared" si="66"/>
        <v>1.3</v>
      </c>
      <c r="K638" t="str">
        <f t="shared" si="67"/>
        <v>Positive</v>
      </c>
      <c r="L638" s="10">
        <f t="shared" si="68"/>
        <v>1.2439527578608786E-2</v>
      </c>
      <c r="M638" t="str">
        <f t="shared" si="69"/>
        <v/>
      </c>
    </row>
    <row r="639" spans="1:13" x14ac:dyDescent="0.2">
      <c r="A639" s="21" t="s">
        <v>666</v>
      </c>
      <c r="B639" s="21" t="str">
        <f t="shared" si="63"/>
        <v>Wednesday</v>
      </c>
      <c r="C639" s="9">
        <f t="shared" si="64"/>
        <v>44272</v>
      </c>
      <c r="D639">
        <v>103.801498</v>
      </c>
      <c r="E639">
        <v>105.488998</v>
      </c>
      <c r="F639">
        <v>102.699997</v>
      </c>
      <c r="G639">
        <v>104.554001</v>
      </c>
      <c r="H639">
        <v>25980000</v>
      </c>
      <c r="I639">
        <f t="shared" si="65"/>
        <v>0</v>
      </c>
      <c r="J639">
        <f t="shared" si="66"/>
        <v>-7.0000000000000007E-2</v>
      </c>
      <c r="K639" t="str">
        <f t="shared" si="67"/>
        <v>Negative</v>
      </c>
      <c r="L639" s="10">
        <f t="shared" si="68"/>
        <v>-6.8862022793363565E-4</v>
      </c>
      <c r="M639" t="str">
        <f t="shared" si="69"/>
        <v/>
      </c>
    </row>
    <row r="640" spans="1:13" x14ac:dyDescent="0.2">
      <c r="A640" s="21" t="s">
        <v>667</v>
      </c>
      <c r="B640" s="21" t="str">
        <f t="shared" si="63"/>
        <v>Thursday</v>
      </c>
      <c r="C640" s="9">
        <f t="shared" si="64"/>
        <v>44273</v>
      </c>
      <c r="D640">
        <v>103.050003</v>
      </c>
      <c r="E640">
        <v>103.775002</v>
      </c>
      <c r="F640">
        <v>101.677498</v>
      </c>
      <c r="G640">
        <v>101.810997</v>
      </c>
      <c r="H640">
        <v>27228000</v>
      </c>
      <c r="I640">
        <f t="shared" si="65"/>
        <v>0</v>
      </c>
      <c r="J640">
        <f t="shared" si="66"/>
        <v>-2.74</v>
      </c>
      <c r="K640" t="str">
        <f t="shared" si="67"/>
        <v>Negative</v>
      </c>
      <c r="L640" s="10">
        <f t="shared" si="68"/>
        <v>-2.6942119032583475E-2</v>
      </c>
      <c r="M640" t="str">
        <f t="shared" si="69"/>
        <v/>
      </c>
    </row>
    <row r="641" spans="1:13" x14ac:dyDescent="0.2">
      <c r="A641" s="21" t="s">
        <v>668</v>
      </c>
      <c r="B641" s="21" t="str">
        <f t="shared" si="63"/>
        <v>Friday</v>
      </c>
      <c r="C641" s="9">
        <f t="shared" si="64"/>
        <v>44274</v>
      </c>
      <c r="D641">
        <v>102.102501</v>
      </c>
      <c r="E641">
        <v>102.654999</v>
      </c>
      <c r="F641">
        <v>100.88400300000001</v>
      </c>
      <c r="G641">
        <v>102.160004</v>
      </c>
      <c r="H641">
        <v>46298000</v>
      </c>
      <c r="I641">
        <f t="shared" si="65"/>
        <v>0</v>
      </c>
      <c r="J641">
        <f t="shared" si="66"/>
        <v>0.35</v>
      </c>
      <c r="K641" t="str">
        <f t="shared" si="67"/>
        <v>Positive</v>
      </c>
      <c r="L641" s="10">
        <f t="shared" si="68"/>
        <v>3.4162782530822952E-3</v>
      </c>
      <c r="M641" t="str">
        <f t="shared" si="69"/>
        <v/>
      </c>
    </row>
    <row r="642" spans="1:13" x14ac:dyDescent="0.2">
      <c r="A642" s="21" t="s">
        <v>669</v>
      </c>
      <c r="B642" s="21" t="str">
        <f t="shared" si="63"/>
        <v>Monday</v>
      </c>
      <c r="C642" s="9">
        <f t="shared" si="64"/>
        <v>44277</v>
      </c>
      <c r="D642">
        <v>102.09200300000001</v>
      </c>
      <c r="E642">
        <v>102.89949799999999</v>
      </c>
      <c r="F642">
        <v>101.30349699999999</v>
      </c>
      <c r="G642">
        <v>101.929497</v>
      </c>
      <c r="H642">
        <v>39096000</v>
      </c>
      <c r="I642">
        <f t="shared" si="65"/>
        <v>0</v>
      </c>
      <c r="J642">
        <f t="shared" si="66"/>
        <v>-0.23</v>
      </c>
      <c r="K642" t="str">
        <f t="shared" si="67"/>
        <v>Negative</v>
      </c>
      <c r="L642" s="10">
        <f t="shared" si="68"/>
        <v>-2.2614356666549912E-3</v>
      </c>
      <c r="M642" t="str">
        <f t="shared" si="69"/>
        <v/>
      </c>
    </row>
    <row r="643" spans="1:13" x14ac:dyDescent="0.2">
      <c r="A643" s="21" t="s">
        <v>670</v>
      </c>
      <c r="B643" s="21" t="str">
        <f t="shared" ref="B643:B706" si="70">LEFT(A643,SEARCH(",",A643)-1)</f>
        <v>Tuesday</v>
      </c>
      <c r="C643" s="9">
        <f t="shared" ref="C643:C706" si="71">DATEVALUE(RIGHT(A643,LEN(A643) - SEARCH(",",A643)))</f>
        <v>44278</v>
      </c>
      <c r="D643">
        <v>102.584999</v>
      </c>
      <c r="E643">
        <v>103.61509700000001</v>
      </c>
      <c r="F643">
        <v>101.960999</v>
      </c>
      <c r="G643">
        <v>102.648003</v>
      </c>
      <c r="H643">
        <v>27340000</v>
      </c>
      <c r="I643">
        <f t="shared" ref="I643:I706" si="72">COUNTBLANK(A643:H643)</f>
        <v>0</v>
      </c>
      <c r="J643">
        <f t="shared" ref="J643:J706" si="73">ROUND(IF(ISNUMBER(G642),G643-G642,0),2)</f>
        <v>0.72</v>
      </c>
      <c r="K643" t="str">
        <f t="shared" ref="K643:K706" si="74">IF(J643=0,"Neutral",IF(J643&gt;0,"Positive","Negative"))</f>
        <v>Positive</v>
      </c>
      <c r="L643" s="10">
        <f t="shared" ref="L643:L706" si="75">IF(ISNUMBER(G642),((G643-G642)/G643),0)</f>
        <v>6.9997075344953854E-3</v>
      </c>
      <c r="M643" t="str">
        <f t="shared" ref="M643:M706" si="76">IF(L643&gt;0.05,L643,"")</f>
        <v/>
      </c>
    </row>
    <row r="644" spans="1:13" x14ac:dyDescent="0.2">
      <c r="A644" s="21" t="s">
        <v>671</v>
      </c>
      <c r="B644" s="21" t="str">
        <f t="shared" si="70"/>
        <v>Wednesday</v>
      </c>
      <c r="C644" s="9">
        <f t="shared" si="71"/>
        <v>44279</v>
      </c>
      <c r="D644">
        <v>103.268501</v>
      </c>
      <c r="E644">
        <v>103.9105</v>
      </c>
      <c r="F644">
        <v>102.07775100000001</v>
      </c>
      <c r="G644">
        <v>102.25299800000001</v>
      </c>
      <c r="H644">
        <v>23080000</v>
      </c>
      <c r="I644">
        <f t="shared" si="72"/>
        <v>0</v>
      </c>
      <c r="J644">
        <f t="shared" si="73"/>
        <v>-0.4</v>
      </c>
      <c r="K644" t="str">
        <f t="shared" si="74"/>
        <v>Negative</v>
      </c>
      <c r="L644" s="10">
        <f t="shared" si="75"/>
        <v>-3.8630163195801613E-3</v>
      </c>
      <c r="M644" t="str">
        <f t="shared" si="76"/>
        <v/>
      </c>
    </row>
    <row r="645" spans="1:13" x14ac:dyDescent="0.2">
      <c r="A645" s="21" t="s">
        <v>672</v>
      </c>
      <c r="B645" s="21" t="str">
        <f t="shared" si="70"/>
        <v>Thursday</v>
      </c>
      <c r="C645" s="9">
        <f t="shared" si="71"/>
        <v>44280</v>
      </c>
      <c r="D645">
        <v>102.24050099999999</v>
      </c>
      <c r="E645">
        <v>102.94349699999999</v>
      </c>
      <c r="F645">
        <v>100.53649900000001</v>
      </c>
      <c r="G645">
        <v>102.218002</v>
      </c>
      <c r="H645">
        <v>28378000</v>
      </c>
      <c r="I645">
        <f t="shared" si="72"/>
        <v>0</v>
      </c>
      <c r="J645">
        <f t="shared" si="73"/>
        <v>-0.03</v>
      </c>
      <c r="K645" t="str">
        <f t="shared" si="74"/>
        <v>Negative</v>
      </c>
      <c r="L645" s="10">
        <f t="shared" si="75"/>
        <v>-3.4236630843172507E-4</v>
      </c>
      <c r="M645" t="str">
        <f t="shared" si="76"/>
        <v/>
      </c>
    </row>
    <row r="646" spans="1:13" x14ac:dyDescent="0.2">
      <c r="A646" s="21" t="s">
        <v>673</v>
      </c>
      <c r="B646" s="21" t="str">
        <f t="shared" si="70"/>
        <v>Friday</v>
      </c>
      <c r="C646" s="9">
        <f t="shared" si="71"/>
        <v>44281</v>
      </c>
      <c r="D646">
        <v>101.943001</v>
      </c>
      <c r="E646">
        <v>102.54949999999999</v>
      </c>
      <c r="F646">
        <v>100.700996</v>
      </c>
      <c r="G646">
        <v>101.777496</v>
      </c>
      <c r="H646">
        <v>29870000</v>
      </c>
      <c r="I646">
        <f t="shared" si="72"/>
        <v>0</v>
      </c>
      <c r="J646">
        <f t="shared" si="73"/>
        <v>-0.44</v>
      </c>
      <c r="K646" t="str">
        <f t="shared" si="74"/>
        <v>Negative</v>
      </c>
      <c r="L646" s="10">
        <f t="shared" si="75"/>
        <v>-4.3281277032007071E-3</v>
      </c>
      <c r="M646" t="str">
        <f t="shared" si="76"/>
        <v/>
      </c>
    </row>
    <row r="647" spans="1:13" x14ac:dyDescent="0.2">
      <c r="A647" s="21" t="s">
        <v>674</v>
      </c>
      <c r="B647" s="21" t="str">
        <f t="shared" si="70"/>
        <v>Monday</v>
      </c>
      <c r="C647" s="9">
        <f t="shared" si="71"/>
        <v>44284</v>
      </c>
      <c r="D647">
        <v>101.393997</v>
      </c>
      <c r="E647">
        <v>102.92150100000001</v>
      </c>
      <c r="F647">
        <v>100.780998</v>
      </c>
      <c r="G647">
        <v>102.797501</v>
      </c>
      <c r="H647">
        <v>24596000</v>
      </c>
      <c r="I647">
        <f t="shared" si="72"/>
        <v>0</v>
      </c>
      <c r="J647">
        <f t="shared" si="73"/>
        <v>1.02</v>
      </c>
      <c r="K647" t="str">
        <f t="shared" si="74"/>
        <v>Positive</v>
      </c>
      <c r="L647" s="10">
        <f t="shared" si="75"/>
        <v>9.9224688351130016E-3</v>
      </c>
      <c r="M647" t="str">
        <f t="shared" si="76"/>
        <v/>
      </c>
    </row>
    <row r="648" spans="1:13" x14ac:dyDescent="0.2">
      <c r="A648" s="21" t="s">
        <v>675</v>
      </c>
      <c r="B648" s="21" t="str">
        <f t="shared" si="70"/>
        <v>Tuesday</v>
      </c>
      <c r="C648" s="9">
        <f t="shared" si="71"/>
        <v>44285</v>
      </c>
      <c r="D648">
        <v>102.8815</v>
      </c>
      <c r="E648">
        <v>103.539001</v>
      </c>
      <c r="F648">
        <v>102.2015</v>
      </c>
      <c r="G648">
        <v>102.777</v>
      </c>
      <c r="H648">
        <v>20732000</v>
      </c>
      <c r="I648">
        <f t="shared" si="72"/>
        <v>0</v>
      </c>
      <c r="J648">
        <f t="shared" si="73"/>
        <v>-0.02</v>
      </c>
      <c r="K648" t="str">
        <f t="shared" si="74"/>
        <v>Negative</v>
      </c>
      <c r="L648" s="10">
        <f t="shared" si="75"/>
        <v>-1.9947069869713928E-4</v>
      </c>
      <c r="M648" t="str">
        <f t="shared" si="76"/>
        <v/>
      </c>
    </row>
    <row r="649" spans="1:13" x14ac:dyDescent="0.2">
      <c r="A649" s="21" t="s">
        <v>676</v>
      </c>
      <c r="B649" s="21" t="str">
        <f t="shared" si="70"/>
        <v>Wednesday</v>
      </c>
      <c r="C649" s="9">
        <f t="shared" si="71"/>
        <v>44286</v>
      </c>
      <c r="D649">
        <v>102.956001</v>
      </c>
      <c r="E649">
        <v>104.66635100000001</v>
      </c>
      <c r="F649">
        <v>102.83725</v>
      </c>
      <c r="G649">
        <v>103.43150300000001</v>
      </c>
      <c r="H649">
        <v>29198000</v>
      </c>
      <c r="I649">
        <f t="shared" si="72"/>
        <v>0</v>
      </c>
      <c r="J649">
        <f t="shared" si="73"/>
        <v>0.65</v>
      </c>
      <c r="K649" t="str">
        <f t="shared" si="74"/>
        <v>Positive</v>
      </c>
      <c r="L649" s="10">
        <f t="shared" si="75"/>
        <v>6.3278883223809035E-3</v>
      </c>
      <c r="M649" t="str">
        <f t="shared" si="76"/>
        <v/>
      </c>
    </row>
    <row r="650" spans="1:13" x14ac:dyDescent="0.2">
      <c r="A650" s="21" t="s">
        <v>677</v>
      </c>
      <c r="B650" s="21" t="str">
        <f t="shared" si="70"/>
        <v>Thursday</v>
      </c>
      <c r="C650" s="9">
        <f t="shared" si="71"/>
        <v>44287</v>
      </c>
      <c r="D650">
        <v>104.897499</v>
      </c>
      <c r="E650">
        <v>107.147003</v>
      </c>
      <c r="F650">
        <v>104.844498</v>
      </c>
      <c r="G650">
        <v>106.887497</v>
      </c>
      <c r="H650">
        <v>33980000</v>
      </c>
      <c r="I650">
        <f t="shared" si="72"/>
        <v>0</v>
      </c>
      <c r="J650">
        <f t="shared" si="73"/>
        <v>3.46</v>
      </c>
      <c r="K650" t="str">
        <f t="shared" si="74"/>
        <v>Positive</v>
      </c>
      <c r="L650" s="10">
        <f t="shared" si="75"/>
        <v>3.2333005234466194E-2</v>
      </c>
      <c r="M650" t="str">
        <f t="shared" si="76"/>
        <v/>
      </c>
    </row>
    <row r="651" spans="1:13" x14ac:dyDescent="0.2">
      <c r="A651" s="21" t="s">
        <v>678</v>
      </c>
      <c r="B651" s="21" t="str">
        <f t="shared" si="70"/>
        <v>Monday</v>
      </c>
      <c r="C651" s="9">
        <f t="shared" si="71"/>
        <v>44291</v>
      </c>
      <c r="D651">
        <v>107.647003</v>
      </c>
      <c r="E651">
        <v>111.86550099999999</v>
      </c>
      <c r="F651">
        <v>107.581001</v>
      </c>
      <c r="G651">
        <v>111.277496</v>
      </c>
      <c r="H651">
        <v>43298000</v>
      </c>
      <c r="I651">
        <f t="shared" si="72"/>
        <v>0</v>
      </c>
      <c r="J651">
        <f t="shared" si="73"/>
        <v>4.3899999999999997</v>
      </c>
      <c r="K651" t="str">
        <f t="shared" si="74"/>
        <v>Positive</v>
      </c>
      <c r="L651" s="10">
        <f t="shared" si="75"/>
        <v>3.9450914675506384E-2</v>
      </c>
      <c r="M651" t="str">
        <f t="shared" si="76"/>
        <v/>
      </c>
    </row>
    <row r="652" spans="1:13" x14ac:dyDescent="0.2">
      <c r="A652" s="21" t="s">
        <v>679</v>
      </c>
      <c r="B652" s="21" t="str">
        <f t="shared" si="70"/>
        <v>Tuesday</v>
      </c>
      <c r="C652" s="9">
        <f t="shared" si="71"/>
        <v>44292</v>
      </c>
      <c r="D652">
        <v>111.125</v>
      </c>
      <c r="E652">
        <v>111.883003</v>
      </c>
      <c r="F652">
        <v>110.739998</v>
      </c>
      <c r="G652">
        <v>111.237503</v>
      </c>
      <c r="H652">
        <v>27060000</v>
      </c>
      <c r="I652">
        <f t="shared" si="72"/>
        <v>0</v>
      </c>
      <c r="J652">
        <f t="shared" si="73"/>
        <v>-0.04</v>
      </c>
      <c r="K652" t="str">
        <f t="shared" si="74"/>
        <v>Negative</v>
      </c>
      <c r="L652" s="10">
        <f t="shared" si="75"/>
        <v>-3.5952802716180624E-4</v>
      </c>
      <c r="M652" t="str">
        <f t="shared" si="76"/>
        <v/>
      </c>
    </row>
    <row r="653" spans="1:13" x14ac:dyDescent="0.2">
      <c r="A653" s="21" t="s">
        <v>680</v>
      </c>
      <c r="B653" s="21" t="str">
        <f t="shared" si="70"/>
        <v>Wednesday</v>
      </c>
      <c r="C653" s="9">
        <f t="shared" si="71"/>
        <v>44293</v>
      </c>
      <c r="D653">
        <v>111.30650300000001</v>
      </c>
      <c r="E653">
        <v>112.75</v>
      </c>
      <c r="F653">
        <v>111.266502</v>
      </c>
      <c r="G653">
        <v>112.48400100000001</v>
      </c>
      <c r="H653">
        <v>25798000</v>
      </c>
      <c r="I653">
        <f t="shared" si="72"/>
        <v>0</v>
      </c>
      <c r="J653">
        <f t="shared" si="73"/>
        <v>1.25</v>
      </c>
      <c r="K653" t="str">
        <f t="shared" si="74"/>
        <v>Positive</v>
      </c>
      <c r="L653" s="10">
        <f t="shared" si="75"/>
        <v>1.1081558167547778E-2</v>
      </c>
      <c r="M653" t="str">
        <f t="shared" si="76"/>
        <v/>
      </c>
    </row>
    <row r="654" spans="1:13" x14ac:dyDescent="0.2">
      <c r="A654" s="21" t="s">
        <v>681</v>
      </c>
      <c r="B654" s="21" t="str">
        <f t="shared" si="70"/>
        <v>Thursday</v>
      </c>
      <c r="C654" s="9">
        <f t="shared" si="71"/>
        <v>44294</v>
      </c>
      <c r="D654">
        <v>113.898003</v>
      </c>
      <c r="E654">
        <v>114.200249</v>
      </c>
      <c r="F654">
        <v>112.88400300000001</v>
      </c>
      <c r="G654">
        <v>113.272003</v>
      </c>
      <c r="H654">
        <v>27166000</v>
      </c>
      <c r="I654">
        <f t="shared" si="72"/>
        <v>0</v>
      </c>
      <c r="J654">
        <f t="shared" si="73"/>
        <v>0.79</v>
      </c>
      <c r="K654" t="str">
        <f t="shared" si="74"/>
        <v>Positive</v>
      </c>
      <c r="L654" s="10">
        <f t="shared" si="75"/>
        <v>6.9567234544267009E-3</v>
      </c>
      <c r="M654" t="str">
        <f t="shared" si="76"/>
        <v/>
      </c>
    </row>
    <row r="655" spans="1:13" x14ac:dyDescent="0.2">
      <c r="A655" s="21" t="s">
        <v>682</v>
      </c>
      <c r="B655" s="21" t="str">
        <f t="shared" si="70"/>
        <v>Friday</v>
      </c>
      <c r="C655" s="9">
        <f t="shared" si="71"/>
        <v>44295</v>
      </c>
      <c r="D655">
        <v>112.834999</v>
      </c>
      <c r="E655">
        <v>114.452003</v>
      </c>
      <c r="F655">
        <v>112.685699</v>
      </c>
      <c r="G655">
        <v>114.293999</v>
      </c>
      <c r="H655">
        <v>20888000</v>
      </c>
      <c r="I655">
        <f t="shared" si="72"/>
        <v>0</v>
      </c>
      <c r="J655">
        <f t="shared" si="73"/>
        <v>1.02</v>
      </c>
      <c r="K655" t="str">
        <f t="shared" si="74"/>
        <v>Positive</v>
      </c>
      <c r="L655" s="10">
        <f t="shared" si="75"/>
        <v>8.9418167965231617E-3</v>
      </c>
      <c r="M655" t="str">
        <f t="shared" si="76"/>
        <v/>
      </c>
    </row>
    <row r="656" spans="1:13" x14ac:dyDescent="0.2">
      <c r="A656" s="21" t="s">
        <v>683</v>
      </c>
      <c r="B656" s="21" t="str">
        <f t="shared" si="70"/>
        <v>Monday</v>
      </c>
      <c r="C656" s="9">
        <f t="shared" si="71"/>
        <v>44298</v>
      </c>
      <c r="D656">
        <v>113.3125</v>
      </c>
      <c r="E656">
        <v>113.76599899999999</v>
      </c>
      <c r="F656">
        <v>111.923248</v>
      </c>
      <c r="G656">
        <v>112.739502</v>
      </c>
      <c r="H656">
        <v>31318000</v>
      </c>
      <c r="I656">
        <f t="shared" si="72"/>
        <v>0</v>
      </c>
      <c r="J656">
        <f t="shared" si="73"/>
        <v>-1.55</v>
      </c>
      <c r="K656" t="str">
        <f t="shared" si="74"/>
        <v>Negative</v>
      </c>
      <c r="L656" s="10">
        <f t="shared" si="75"/>
        <v>-1.3788396901025851E-2</v>
      </c>
      <c r="M656" t="str">
        <f t="shared" si="76"/>
        <v/>
      </c>
    </row>
    <row r="657" spans="1:13" x14ac:dyDescent="0.2">
      <c r="A657" s="21" t="s">
        <v>684</v>
      </c>
      <c r="B657" s="21" t="str">
        <f t="shared" si="70"/>
        <v>Tuesday</v>
      </c>
      <c r="C657" s="9">
        <f t="shared" si="71"/>
        <v>44299</v>
      </c>
      <c r="D657">
        <v>113.073502</v>
      </c>
      <c r="E657">
        <v>113.860497</v>
      </c>
      <c r="F657">
        <v>112.804497</v>
      </c>
      <c r="G657">
        <v>113.36350299999999</v>
      </c>
      <c r="H657">
        <v>23310000</v>
      </c>
      <c r="I657">
        <f t="shared" si="72"/>
        <v>0</v>
      </c>
      <c r="J657">
        <f t="shared" si="73"/>
        <v>0.62</v>
      </c>
      <c r="K657" t="str">
        <f t="shared" si="74"/>
        <v>Positive</v>
      </c>
      <c r="L657" s="10">
        <f t="shared" si="75"/>
        <v>5.5044258821112186E-3</v>
      </c>
      <c r="M657" t="str">
        <f t="shared" si="76"/>
        <v/>
      </c>
    </row>
    <row r="658" spans="1:13" x14ac:dyDescent="0.2">
      <c r="A658" s="21" t="s">
        <v>685</v>
      </c>
      <c r="B658" s="21" t="str">
        <f t="shared" si="70"/>
        <v>Wednesday</v>
      </c>
      <c r="C658" s="9">
        <f t="shared" si="71"/>
        <v>44300</v>
      </c>
      <c r="D658">
        <v>113.758003</v>
      </c>
      <c r="E658">
        <v>113.89949799999999</v>
      </c>
      <c r="F658">
        <v>112.459503</v>
      </c>
      <c r="G658">
        <v>112.741997</v>
      </c>
      <c r="H658">
        <v>20220000</v>
      </c>
      <c r="I658">
        <f t="shared" si="72"/>
        <v>0</v>
      </c>
      <c r="J658">
        <f t="shared" si="73"/>
        <v>-0.62</v>
      </c>
      <c r="K658" t="str">
        <f t="shared" si="74"/>
        <v>Negative</v>
      </c>
      <c r="L658" s="10">
        <f t="shared" si="75"/>
        <v>-5.5126396244337995E-3</v>
      </c>
      <c r="M658" t="str">
        <f t="shared" si="76"/>
        <v/>
      </c>
    </row>
    <row r="659" spans="1:13" x14ac:dyDescent="0.2">
      <c r="A659" s="21" t="s">
        <v>686</v>
      </c>
      <c r="B659" s="21" t="str">
        <f t="shared" si="70"/>
        <v>Thursday</v>
      </c>
      <c r="C659" s="9">
        <f t="shared" si="71"/>
        <v>44301</v>
      </c>
      <c r="D659">
        <v>113.84899900000001</v>
      </c>
      <c r="E659">
        <v>115.329849</v>
      </c>
      <c r="F659">
        <v>113.300003</v>
      </c>
      <c r="G659">
        <v>114.833</v>
      </c>
      <c r="H659">
        <v>27472000</v>
      </c>
      <c r="I659">
        <f t="shared" si="72"/>
        <v>0</v>
      </c>
      <c r="J659">
        <f t="shared" si="73"/>
        <v>2.09</v>
      </c>
      <c r="K659" t="str">
        <f t="shared" si="74"/>
        <v>Positive</v>
      </c>
      <c r="L659" s="10">
        <f t="shared" si="75"/>
        <v>1.8209077529978322E-2</v>
      </c>
      <c r="M659" t="str">
        <f t="shared" si="76"/>
        <v/>
      </c>
    </row>
    <row r="660" spans="1:13" x14ac:dyDescent="0.2">
      <c r="A660" s="21" t="s">
        <v>687</v>
      </c>
      <c r="B660" s="21" t="str">
        <f t="shared" si="70"/>
        <v>Friday</v>
      </c>
      <c r="C660" s="9">
        <f t="shared" si="71"/>
        <v>44302</v>
      </c>
      <c r="D660">
        <v>115.150002</v>
      </c>
      <c r="E660">
        <v>115.32199900000001</v>
      </c>
      <c r="F660">
        <v>114.222504</v>
      </c>
      <c r="G660">
        <v>114.88800000000001</v>
      </c>
      <c r="H660">
        <v>22596000</v>
      </c>
      <c r="I660">
        <f t="shared" si="72"/>
        <v>0</v>
      </c>
      <c r="J660">
        <f t="shared" si="73"/>
        <v>0.06</v>
      </c>
      <c r="K660" t="str">
        <f t="shared" si="74"/>
        <v>Positive</v>
      </c>
      <c r="L660" s="10">
        <f t="shared" si="75"/>
        <v>4.7872710814016102E-4</v>
      </c>
      <c r="M660" t="str">
        <f t="shared" si="76"/>
        <v/>
      </c>
    </row>
    <row r="661" spans="1:13" x14ac:dyDescent="0.2">
      <c r="A661" s="21" t="s">
        <v>688</v>
      </c>
      <c r="B661" s="21" t="str">
        <f t="shared" si="70"/>
        <v>Monday</v>
      </c>
      <c r="C661" s="9">
        <f t="shared" si="71"/>
        <v>44305</v>
      </c>
      <c r="D661">
        <v>114.59899900000001</v>
      </c>
      <c r="E661">
        <v>115.922501</v>
      </c>
      <c r="F661">
        <v>114.39225</v>
      </c>
      <c r="G661">
        <v>115.120003</v>
      </c>
      <c r="H661">
        <v>24688000</v>
      </c>
      <c r="I661">
        <f t="shared" si="72"/>
        <v>0</v>
      </c>
      <c r="J661">
        <f t="shared" si="73"/>
        <v>0.23</v>
      </c>
      <c r="K661" t="str">
        <f t="shared" si="74"/>
        <v>Positive</v>
      </c>
      <c r="L661" s="10">
        <f t="shared" si="75"/>
        <v>2.0153144019635907E-3</v>
      </c>
      <c r="M661" t="str">
        <f t="shared" si="76"/>
        <v/>
      </c>
    </row>
    <row r="662" spans="1:13" x14ac:dyDescent="0.2">
      <c r="A662" s="21" t="s">
        <v>689</v>
      </c>
      <c r="B662" s="21" t="str">
        <f t="shared" si="70"/>
        <v>Tuesday</v>
      </c>
      <c r="C662" s="9">
        <f t="shared" si="71"/>
        <v>44306</v>
      </c>
      <c r="D662">
        <v>115.39450100000001</v>
      </c>
      <c r="E662">
        <v>115.480003</v>
      </c>
      <c r="F662">
        <v>113.585503</v>
      </c>
      <c r="G662">
        <v>114.68150300000001</v>
      </c>
      <c r="H662">
        <v>21774000</v>
      </c>
      <c r="I662">
        <f t="shared" si="72"/>
        <v>0</v>
      </c>
      <c r="J662">
        <f t="shared" si="73"/>
        <v>-0.44</v>
      </c>
      <c r="K662" t="str">
        <f t="shared" si="74"/>
        <v>Negative</v>
      </c>
      <c r="L662" s="10">
        <f t="shared" si="75"/>
        <v>-3.8236331799731517E-3</v>
      </c>
      <c r="M662" t="str">
        <f t="shared" si="76"/>
        <v/>
      </c>
    </row>
    <row r="663" spans="1:13" x14ac:dyDescent="0.2">
      <c r="A663" s="21" t="s">
        <v>690</v>
      </c>
      <c r="B663" s="21" t="str">
        <f t="shared" si="70"/>
        <v>Wednesday</v>
      </c>
      <c r="C663" s="9">
        <f t="shared" si="71"/>
        <v>44307</v>
      </c>
      <c r="D663">
        <v>114.262497</v>
      </c>
      <c r="E663">
        <v>114.76599899999999</v>
      </c>
      <c r="F663">
        <v>112.92849699999999</v>
      </c>
      <c r="G663">
        <v>114.664497</v>
      </c>
      <c r="H663">
        <v>23930000</v>
      </c>
      <c r="I663">
        <f t="shared" si="72"/>
        <v>0</v>
      </c>
      <c r="J663">
        <f t="shared" si="73"/>
        <v>-0.02</v>
      </c>
      <c r="K663" t="str">
        <f t="shared" si="74"/>
        <v>Negative</v>
      </c>
      <c r="L663" s="10">
        <f t="shared" si="75"/>
        <v>-1.4831094580224934E-4</v>
      </c>
      <c r="M663" t="str">
        <f t="shared" si="76"/>
        <v/>
      </c>
    </row>
    <row r="664" spans="1:13" x14ac:dyDescent="0.2">
      <c r="A664" s="21" t="s">
        <v>691</v>
      </c>
      <c r="B664" s="21" t="str">
        <f t="shared" si="70"/>
        <v>Thursday</v>
      </c>
      <c r="C664" s="9">
        <f t="shared" si="71"/>
        <v>44308</v>
      </c>
      <c r="D664">
        <v>114.66149900000001</v>
      </c>
      <c r="E664">
        <v>115.188103</v>
      </c>
      <c r="F664">
        <v>112.822502</v>
      </c>
      <c r="G664">
        <v>113.396004</v>
      </c>
      <c r="H664">
        <v>21096000</v>
      </c>
      <c r="I664">
        <f t="shared" si="72"/>
        <v>0</v>
      </c>
      <c r="J664">
        <f t="shared" si="73"/>
        <v>-1.27</v>
      </c>
      <c r="K664" t="str">
        <f t="shared" si="74"/>
        <v>Negative</v>
      </c>
      <c r="L664" s="10">
        <f t="shared" si="75"/>
        <v>-1.1186399478415415E-2</v>
      </c>
      <c r="M664" t="str">
        <f t="shared" si="76"/>
        <v/>
      </c>
    </row>
    <row r="665" spans="1:13" x14ac:dyDescent="0.2">
      <c r="A665" s="21" t="s">
        <v>692</v>
      </c>
      <c r="B665" s="21" t="str">
        <f t="shared" si="70"/>
        <v>Friday</v>
      </c>
      <c r="C665" s="9">
        <f t="shared" si="71"/>
        <v>44309</v>
      </c>
      <c r="D665">
        <v>114.1735</v>
      </c>
      <c r="E665">
        <v>116.291</v>
      </c>
      <c r="F665">
        <v>113.9105</v>
      </c>
      <c r="G665">
        <v>115.764999</v>
      </c>
      <c r="H665">
        <v>28670000</v>
      </c>
      <c r="I665">
        <f t="shared" si="72"/>
        <v>0</v>
      </c>
      <c r="J665">
        <f t="shared" si="73"/>
        <v>2.37</v>
      </c>
      <c r="K665" t="str">
        <f t="shared" si="74"/>
        <v>Positive</v>
      </c>
      <c r="L665" s="10">
        <f t="shared" si="75"/>
        <v>2.0463827758509273E-2</v>
      </c>
      <c r="M665" t="str">
        <f t="shared" si="76"/>
        <v/>
      </c>
    </row>
    <row r="666" spans="1:13" x14ac:dyDescent="0.2">
      <c r="A666" s="21" t="s">
        <v>693</v>
      </c>
      <c r="B666" s="21" t="str">
        <f t="shared" si="70"/>
        <v>Monday</v>
      </c>
      <c r="C666" s="9">
        <f t="shared" si="71"/>
        <v>44312</v>
      </c>
      <c r="D666">
        <v>115.996498</v>
      </c>
      <c r="E666">
        <v>117.06300400000001</v>
      </c>
      <c r="F666">
        <v>115.692001</v>
      </c>
      <c r="G666">
        <v>116.33699799999999</v>
      </c>
      <c r="H666">
        <v>20834000</v>
      </c>
      <c r="I666">
        <f t="shared" si="72"/>
        <v>0</v>
      </c>
      <c r="J666">
        <f t="shared" si="73"/>
        <v>0.56999999999999995</v>
      </c>
      <c r="K666" t="str">
        <f t="shared" si="74"/>
        <v>Positive</v>
      </c>
      <c r="L666" s="10">
        <f t="shared" si="75"/>
        <v>4.9167419637215588E-3</v>
      </c>
      <c r="M666" t="str">
        <f t="shared" si="76"/>
        <v/>
      </c>
    </row>
    <row r="667" spans="1:13" x14ac:dyDescent="0.2">
      <c r="A667" s="21" t="s">
        <v>694</v>
      </c>
      <c r="B667" s="21" t="str">
        <f t="shared" si="70"/>
        <v>Tuesday</v>
      </c>
      <c r="C667" s="9">
        <f t="shared" si="71"/>
        <v>44313</v>
      </c>
      <c r="D667">
        <v>116.800003</v>
      </c>
      <c r="E667">
        <v>116.87249799999999</v>
      </c>
      <c r="F667">
        <v>115.21350099999999</v>
      </c>
      <c r="G667">
        <v>115.356003</v>
      </c>
      <c r="H667">
        <v>31972000</v>
      </c>
      <c r="I667">
        <f t="shared" si="72"/>
        <v>0</v>
      </c>
      <c r="J667">
        <f t="shared" si="73"/>
        <v>-0.98</v>
      </c>
      <c r="K667" t="str">
        <f t="shared" si="74"/>
        <v>Negative</v>
      </c>
      <c r="L667" s="10">
        <f t="shared" si="75"/>
        <v>-8.5040654537934437E-3</v>
      </c>
      <c r="M667" t="str">
        <f t="shared" si="76"/>
        <v/>
      </c>
    </row>
    <row r="668" spans="1:13" x14ac:dyDescent="0.2">
      <c r="A668" s="21" t="s">
        <v>695</v>
      </c>
      <c r="B668" s="21" t="str">
        <f t="shared" si="70"/>
        <v>Wednesday</v>
      </c>
      <c r="C668" s="9">
        <f t="shared" si="71"/>
        <v>44314</v>
      </c>
      <c r="D668">
        <v>120.357246</v>
      </c>
      <c r="E668">
        <v>122.61889600000001</v>
      </c>
      <c r="F668">
        <v>118.74250000000001</v>
      </c>
      <c r="G668">
        <v>118.995499</v>
      </c>
      <c r="H668">
        <v>59728000</v>
      </c>
      <c r="I668">
        <f t="shared" si="72"/>
        <v>0</v>
      </c>
      <c r="J668">
        <f t="shared" si="73"/>
        <v>3.64</v>
      </c>
      <c r="K668" t="str">
        <f t="shared" si="74"/>
        <v>Positive</v>
      </c>
      <c r="L668" s="10">
        <f t="shared" si="75"/>
        <v>3.0585156838579198E-2</v>
      </c>
      <c r="M668" t="str">
        <f t="shared" si="76"/>
        <v/>
      </c>
    </row>
    <row r="669" spans="1:13" x14ac:dyDescent="0.2">
      <c r="A669" s="21" t="s">
        <v>696</v>
      </c>
      <c r="B669" s="21" t="str">
        <f t="shared" si="70"/>
        <v>Thursday</v>
      </c>
      <c r="C669" s="9">
        <f t="shared" si="71"/>
        <v>44315</v>
      </c>
      <c r="D669">
        <v>120.516502</v>
      </c>
      <c r="E669">
        <v>121.825996</v>
      </c>
      <c r="F669">
        <v>120.113998</v>
      </c>
      <c r="G669">
        <v>121.494499</v>
      </c>
      <c r="H669">
        <v>39554000</v>
      </c>
      <c r="I669">
        <f t="shared" si="72"/>
        <v>0</v>
      </c>
      <c r="J669">
        <f t="shared" si="73"/>
        <v>2.5</v>
      </c>
      <c r="K669" t="str">
        <f t="shared" si="74"/>
        <v>Positive</v>
      </c>
      <c r="L669" s="10">
        <f t="shared" si="75"/>
        <v>2.0568832503272509E-2</v>
      </c>
      <c r="M669" t="str">
        <f t="shared" si="76"/>
        <v/>
      </c>
    </row>
    <row r="670" spans="1:13" x14ac:dyDescent="0.2">
      <c r="A670" s="21" t="s">
        <v>697</v>
      </c>
      <c r="B670" s="21" t="str">
        <f t="shared" si="70"/>
        <v>Friday</v>
      </c>
      <c r="C670" s="9">
        <f t="shared" si="71"/>
        <v>44316</v>
      </c>
      <c r="D670">
        <v>120.224503</v>
      </c>
      <c r="E670">
        <v>121.35700199999999</v>
      </c>
      <c r="F670">
        <v>120.108002</v>
      </c>
      <c r="G670">
        <v>120.50599699999999</v>
      </c>
      <c r="H670">
        <v>39142000</v>
      </c>
      <c r="I670">
        <f t="shared" si="72"/>
        <v>0</v>
      </c>
      <c r="J670">
        <f t="shared" si="73"/>
        <v>-0.99</v>
      </c>
      <c r="K670" t="str">
        <f t="shared" si="74"/>
        <v>Negative</v>
      </c>
      <c r="L670" s="10">
        <f t="shared" si="75"/>
        <v>-8.2029278592667156E-3</v>
      </c>
      <c r="M670" t="str">
        <f t="shared" si="76"/>
        <v/>
      </c>
    </row>
    <row r="671" spans="1:13" x14ac:dyDescent="0.2">
      <c r="A671" s="21" t="s">
        <v>698</v>
      </c>
      <c r="B671" s="21" t="str">
        <f t="shared" si="70"/>
        <v>Monday</v>
      </c>
      <c r="C671" s="9">
        <f t="shared" si="71"/>
        <v>44319</v>
      </c>
      <c r="D671">
        <v>120.136002</v>
      </c>
      <c r="E671">
        <v>120.985001</v>
      </c>
      <c r="F671">
        <v>119.224998</v>
      </c>
      <c r="G671">
        <v>119.758499</v>
      </c>
      <c r="H671">
        <v>33788000</v>
      </c>
      <c r="I671">
        <f t="shared" si="72"/>
        <v>0</v>
      </c>
      <c r="J671">
        <f t="shared" si="73"/>
        <v>-0.75</v>
      </c>
      <c r="K671" t="str">
        <f t="shared" si="74"/>
        <v>Negative</v>
      </c>
      <c r="L671" s="10">
        <f t="shared" si="75"/>
        <v>-6.2417114964007118E-3</v>
      </c>
      <c r="M671" t="str">
        <f t="shared" si="76"/>
        <v/>
      </c>
    </row>
    <row r="672" spans="1:13" x14ac:dyDescent="0.2">
      <c r="A672" s="21" t="s">
        <v>699</v>
      </c>
      <c r="B672" s="21" t="str">
        <f t="shared" si="70"/>
        <v>Tuesday</v>
      </c>
      <c r="C672" s="9">
        <f t="shared" si="71"/>
        <v>44320</v>
      </c>
      <c r="D672">
        <v>118.48699999999999</v>
      </c>
      <c r="E672">
        <v>118.962997</v>
      </c>
      <c r="F672">
        <v>115.584999</v>
      </c>
      <c r="G672">
        <v>117.712502</v>
      </c>
      <c r="H672">
        <v>35120000</v>
      </c>
      <c r="I672">
        <f t="shared" si="72"/>
        <v>0</v>
      </c>
      <c r="J672">
        <f t="shared" si="73"/>
        <v>-2.0499999999999998</v>
      </c>
      <c r="K672" t="str">
        <f t="shared" si="74"/>
        <v>Negative</v>
      </c>
      <c r="L672" s="10">
        <f t="shared" si="75"/>
        <v>-1.7381305853136991E-2</v>
      </c>
      <c r="M672" t="str">
        <f t="shared" si="76"/>
        <v/>
      </c>
    </row>
    <row r="673" spans="1:13" x14ac:dyDescent="0.2">
      <c r="A673" s="21" t="s">
        <v>700</v>
      </c>
      <c r="B673" s="21" t="str">
        <f t="shared" si="70"/>
        <v>Wednesday</v>
      </c>
      <c r="C673" s="9">
        <f t="shared" si="71"/>
        <v>44321</v>
      </c>
      <c r="D673">
        <v>118.420998</v>
      </c>
      <c r="E673">
        <v>119.110001</v>
      </c>
      <c r="F673">
        <v>117.570503</v>
      </c>
      <c r="G673">
        <v>117.83699799999999</v>
      </c>
      <c r="H673">
        <v>21806000</v>
      </c>
      <c r="I673">
        <f t="shared" si="72"/>
        <v>0</v>
      </c>
      <c r="J673">
        <f t="shared" si="73"/>
        <v>0.12</v>
      </c>
      <c r="K673" t="str">
        <f t="shared" si="74"/>
        <v>Positive</v>
      </c>
      <c r="L673" s="10">
        <f t="shared" si="75"/>
        <v>1.0565102821101528E-3</v>
      </c>
      <c r="M673" t="str">
        <f t="shared" si="76"/>
        <v/>
      </c>
    </row>
    <row r="674" spans="1:13" x14ac:dyDescent="0.2">
      <c r="A674" s="21" t="s">
        <v>701</v>
      </c>
      <c r="B674" s="21" t="str">
        <f t="shared" si="70"/>
        <v>Thursday</v>
      </c>
      <c r="C674" s="9">
        <f t="shared" si="71"/>
        <v>44322</v>
      </c>
      <c r="D674">
        <v>117.531998</v>
      </c>
      <c r="E674">
        <v>119.135498</v>
      </c>
      <c r="F674">
        <v>117.11689800000001</v>
      </c>
      <c r="G674">
        <v>119.067497</v>
      </c>
      <c r="H674">
        <v>20618000</v>
      </c>
      <c r="I674">
        <f t="shared" si="72"/>
        <v>0</v>
      </c>
      <c r="J674">
        <f t="shared" si="73"/>
        <v>1.23</v>
      </c>
      <c r="K674" t="str">
        <f t="shared" si="74"/>
        <v>Positive</v>
      </c>
      <c r="L674" s="10">
        <f t="shared" si="75"/>
        <v>1.0334466004605849E-2</v>
      </c>
      <c r="M674" t="str">
        <f t="shared" si="76"/>
        <v/>
      </c>
    </row>
    <row r="675" spans="1:13" x14ac:dyDescent="0.2">
      <c r="A675" s="21" t="s">
        <v>702</v>
      </c>
      <c r="B675" s="21" t="str">
        <f t="shared" si="70"/>
        <v>Friday</v>
      </c>
      <c r="C675" s="9">
        <f t="shared" si="71"/>
        <v>44323</v>
      </c>
      <c r="D675">
        <v>120</v>
      </c>
      <c r="E675">
        <v>120.820503</v>
      </c>
      <c r="F675">
        <v>119.5</v>
      </c>
      <c r="G675">
        <v>119.93450199999999</v>
      </c>
      <c r="H675">
        <v>23272000</v>
      </c>
      <c r="I675">
        <f t="shared" si="72"/>
        <v>0</v>
      </c>
      <c r="J675">
        <f t="shared" si="73"/>
        <v>0.87</v>
      </c>
      <c r="K675" t="str">
        <f t="shared" si="74"/>
        <v>Positive</v>
      </c>
      <c r="L675" s="10">
        <f t="shared" si="75"/>
        <v>7.2289873684554242E-3</v>
      </c>
      <c r="M675" t="str">
        <f t="shared" si="76"/>
        <v/>
      </c>
    </row>
    <row r="676" spans="1:13" x14ac:dyDescent="0.2">
      <c r="A676" s="21" t="s">
        <v>703</v>
      </c>
      <c r="B676" s="21" t="str">
        <f t="shared" si="70"/>
        <v>Monday</v>
      </c>
      <c r="C676" s="9">
        <f t="shared" si="71"/>
        <v>44326</v>
      </c>
      <c r="D676">
        <v>118.744499</v>
      </c>
      <c r="E676">
        <v>118.900002</v>
      </c>
      <c r="F676">
        <v>116.736504</v>
      </c>
      <c r="G676">
        <v>117.083</v>
      </c>
      <c r="H676">
        <v>26006000</v>
      </c>
      <c r="I676">
        <f t="shared" si="72"/>
        <v>0</v>
      </c>
      <c r="J676">
        <f t="shared" si="73"/>
        <v>-2.85</v>
      </c>
      <c r="K676" t="str">
        <f t="shared" si="74"/>
        <v>Negative</v>
      </c>
      <c r="L676" s="10">
        <f t="shared" si="75"/>
        <v>-2.4354534817180945E-2</v>
      </c>
      <c r="M676" t="str">
        <f t="shared" si="76"/>
        <v/>
      </c>
    </row>
    <row r="677" spans="1:13" x14ac:dyDescent="0.2">
      <c r="A677" s="21" t="s">
        <v>704</v>
      </c>
      <c r="B677" s="21" t="str">
        <f t="shared" si="70"/>
        <v>Tuesday</v>
      </c>
      <c r="C677" s="9">
        <f t="shared" si="71"/>
        <v>44327</v>
      </c>
      <c r="D677">
        <v>114.593002</v>
      </c>
      <c r="E677">
        <v>116.099998</v>
      </c>
      <c r="F677">
        <v>114.150002</v>
      </c>
      <c r="G677">
        <v>115.43800400000001</v>
      </c>
      <c r="H677">
        <v>32110000</v>
      </c>
      <c r="I677">
        <f t="shared" si="72"/>
        <v>0</v>
      </c>
      <c r="J677">
        <f t="shared" si="73"/>
        <v>-1.64</v>
      </c>
      <c r="K677" t="str">
        <f t="shared" si="74"/>
        <v>Negative</v>
      </c>
      <c r="L677" s="10">
        <f t="shared" si="75"/>
        <v>-1.4250038488191391E-2</v>
      </c>
      <c r="M677" t="str">
        <f t="shared" si="76"/>
        <v/>
      </c>
    </row>
    <row r="678" spans="1:13" x14ac:dyDescent="0.2">
      <c r="A678" s="21" t="s">
        <v>705</v>
      </c>
      <c r="B678" s="21" t="str">
        <f t="shared" si="70"/>
        <v>Wednesday</v>
      </c>
      <c r="C678" s="9">
        <f t="shared" si="71"/>
        <v>44328</v>
      </c>
      <c r="D678">
        <v>113.085503</v>
      </c>
      <c r="E678">
        <v>114.268501</v>
      </c>
      <c r="F678">
        <v>111.50250200000001</v>
      </c>
      <c r="G678">
        <v>111.954002</v>
      </c>
      <c r="H678">
        <v>34934000</v>
      </c>
      <c r="I678">
        <f t="shared" si="72"/>
        <v>0</v>
      </c>
      <c r="J678">
        <f t="shared" si="73"/>
        <v>-3.48</v>
      </c>
      <c r="K678" t="str">
        <f t="shared" si="74"/>
        <v>Negative</v>
      </c>
      <c r="L678" s="10">
        <f t="shared" si="75"/>
        <v>-3.1119941563143082E-2</v>
      </c>
      <c r="M678" t="str">
        <f t="shared" si="76"/>
        <v/>
      </c>
    </row>
    <row r="679" spans="1:13" x14ac:dyDescent="0.2">
      <c r="A679" s="21" t="s">
        <v>706</v>
      </c>
      <c r="B679" s="21" t="str">
        <f t="shared" si="70"/>
        <v>Thursday</v>
      </c>
      <c r="C679" s="9">
        <f t="shared" si="71"/>
        <v>44329</v>
      </c>
      <c r="D679">
        <v>113.054497</v>
      </c>
      <c r="E679">
        <v>113.83004800000001</v>
      </c>
      <c r="F679">
        <v>112.136002</v>
      </c>
      <c r="G679">
        <v>113.09850299999999</v>
      </c>
      <c r="H679">
        <v>26670000</v>
      </c>
      <c r="I679">
        <f t="shared" si="72"/>
        <v>0</v>
      </c>
      <c r="J679">
        <f t="shared" si="73"/>
        <v>1.1399999999999999</v>
      </c>
      <c r="K679" t="str">
        <f t="shared" si="74"/>
        <v>Positive</v>
      </c>
      <c r="L679" s="10">
        <f t="shared" si="75"/>
        <v>1.011950617949374E-2</v>
      </c>
      <c r="M679" t="str">
        <f t="shared" si="76"/>
        <v/>
      </c>
    </row>
    <row r="680" spans="1:13" x14ac:dyDescent="0.2">
      <c r="A680" s="21" t="s">
        <v>707</v>
      </c>
      <c r="B680" s="21" t="str">
        <f t="shared" si="70"/>
        <v>Friday</v>
      </c>
      <c r="C680" s="9">
        <f t="shared" si="71"/>
        <v>44330</v>
      </c>
      <c r="D680">
        <v>114.591499</v>
      </c>
      <c r="E680">
        <v>116.056999</v>
      </c>
      <c r="F680">
        <v>114.166</v>
      </c>
      <c r="G680">
        <v>115.807999</v>
      </c>
      <c r="H680">
        <v>26624000</v>
      </c>
      <c r="I680">
        <f t="shared" si="72"/>
        <v>0</v>
      </c>
      <c r="J680">
        <f t="shared" si="73"/>
        <v>2.71</v>
      </c>
      <c r="K680" t="str">
        <f t="shared" si="74"/>
        <v>Positive</v>
      </c>
      <c r="L680" s="10">
        <f t="shared" si="75"/>
        <v>2.3396449497413402E-2</v>
      </c>
      <c r="M680" t="str">
        <f t="shared" si="76"/>
        <v/>
      </c>
    </row>
    <row r="681" spans="1:13" x14ac:dyDescent="0.2">
      <c r="A681" s="21" t="s">
        <v>708</v>
      </c>
      <c r="B681" s="21" t="str">
        <f t="shared" si="70"/>
        <v>Monday</v>
      </c>
      <c r="C681" s="9">
        <f t="shared" si="71"/>
        <v>44333</v>
      </c>
      <c r="D681">
        <v>115.466003</v>
      </c>
      <c r="E681">
        <v>116.167</v>
      </c>
      <c r="F681">
        <v>114.75</v>
      </c>
      <c r="G681">
        <v>116.070503</v>
      </c>
      <c r="H681">
        <v>19842000</v>
      </c>
      <c r="I681">
        <f t="shared" si="72"/>
        <v>0</v>
      </c>
      <c r="J681">
        <f t="shared" si="73"/>
        <v>0.26</v>
      </c>
      <c r="K681" t="str">
        <f t="shared" si="74"/>
        <v>Positive</v>
      </c>
      <c r="L681" s="10">
        <f t="shared" si="75"/>
        <v>2.2615909573512139E-3</v>
      </c>
      <c r="M681" t="str">
        <f t="shared" si="76"/>
        <v/>
      </c>
    </row>
    <row r="682" spans="1:13" x14ac:dyDescent="0.2">
      <c r="A682" s="21" t="s">
        <v>709</v>
      </c>
      <c r="B682" s="21" t="str">
        <f t="shared" si="70"/>
        <v>Tuesday</v>
      </c>
      <c r="C682" s="9">
        <f t="shared" si="71"/>
        <v>44334</v>
      </c>
      <c r="D682">
        <v>116.845299</v>
      </c>
      <c r="E682">
        <v>117.157501</v>
      </c>
      <c r="F682">
        <v>115.15799699999999</v>
      </c>
      <c r="G682">
        <v>115.17150100000001</v>
      </c>
      <c r="H682">
        <v>17302000</v>
      </c>
      <c r="I682">
        <f t="shared" si="72"/>
        <v>0</v>
      </c>
      <c r="J682">
        <f t="shared" si="73"/>
        <v>-0.9</v>
      </c>
      <c r="K682" t="str">
        <f t="shared" si="74"/>
        <v>Negative</v>
      </c>
      <c r="L682" s="10">
        <f t="shared" si="75"/>
        <v>-7.8057678522397292E-3</v>
      </c>
      <c r="M682" t="str">
        <f t="shared" si="76"/>
        <v/>
      </c>
    </row>
    <row r="683" spans="1:13" x14ac:dyDescent="0.2">
      <c r="A683" s="21" t="s">
        <v>710</v>
      </c>
      <c r="B683" s="21" t="str">
        <f t="shared" si="70"/>
        <v>Wednesday</v>
      </c>
      <c r="C683" s="9">
        <f t="shared" si="71"/>
        <v>44335</v>
      </c>
      <c r="D683">
        <v>113.220001</v>
      </c>
      <c r="E683">
        <v>115.837997</v>
      </c>
      <c r="F683">
        <v>113.17600299999999</v>
      </c>
      <c r="G683">
        <v>115.435501</v>
      </c>
      <c r="H683">
        <v>19350000</v>
      </c>
      <c r="I683">
        <f t="shared" si="72"/>
        <v>0</v>
      </c>
      <c r="J683">
        <f t="shared" si="73"/>
        <v>0.26</v>
      </c>
      <c r="K683" t="str">
        <f t="shared" si="74"/>
        <v>Positive</v>
      </c>
      <c r="L683" s="10">
        <f t="shared" si="75"/>
        <v>2.2869914169644898E-3</v>
      </c>
      <c r="M683" t="str">
        <f t="shared" si="76"/>
        <v/>
      </c>
    </row>
    <row r="684" spans="1:13" x14ac:dyDescent="0.2">
      <c r="A684" s="21" t="s">
        <v>711</v>
      </c>
      <c r="B684" s="21" t="str">
        <f t="shared" si="70"/>
        <v>Thursday</v>
      </c>
      <c r="C684" s="9">
        <f t="shared" si="71"/>
        <v>44336</v>
      </c>
      <c r="D684">
        <v>116.402</v>
      </c>
      <c r="E684">
        <v>118.016998</v>
      </c>
      <c r="F684">
        <v>116.054497</v>
      </c>
      <c r="G684">
        <v>117.804497</v>
      </c>
      <c r="H684">
        <v>23832000</v>
      </c>
      <c r="I684">
        <f t="shared" si="72"/>
        <v>0</v>
      </c>
      <c r="J684">
        <f t="shared" si="73"/>
        <v>2.37</v>
      </c>
      <c r="K684" t="str">
        <f t="shared" si="74"/>
        <v>Positive</v>
      </c>
      <c r="L684" s="10">
        <f t="shared" si="75"/>
        <v>2.0109554900947419E-2</v>
      </c>
      <c r="M684" t="str">
        <f t="shared" si="76"/>
        <v/>
      </c>
    </row>
    <row r="685" spans="1:13" x14ac:dyDescent="0.2">
      <c r="A685" s="21" t="s">
        <v>712</v>
      </c>
      <c r="B685" s="21" t="str">
        <f t="shared" si="70"/>
        <v>Friday</v>
      </c>
      <c r="C685" s="9">
        <f t="shared" si="71"/>
        <v>44337</v>
      </c>
      <c r="D685">
        <v>118.29949999999999</v>
      </c>
      <c r="E685">
        <v>118.449997</v>
      </c>
      <c r="F685">
        <v>117.1185</v>
      </c>
      <c r="G685">
        <v>117.254997</v>
      </c>
      <c r="H685">
        <v>22832000</v>
      </c>
      <c r="I685">
        <f t="shared" si="72"/>
        <v>0</v>
      </c>
      <c r="J685">
        <f t="shared" si="73"/>
        <v>-0.55000000000000004</v>
      </c>
      <c r="K685" t="str">
        <f t="shared" si="74"/>
        <v>Negative</v>
      </c>
      <c r="L685" s="10">
        <f t="shared" si="75"/>
        <v>-4.6863674389927687E-3</v>
      </c>
      <c r="M685" t="str">
        <f t="shared" si="76"/>
        <v/>
      </c>
    </row>
    <row r="686" spans="1:13" x14ac:dyDescent="0.2">
      <c r="A686" s="21" t="s">
        <v>713</v>
      </c>
      <c r="B686" s="21" t="str">
        <f t="shared" si="70"/>
        <v>Monday</v>
      </c>
      <c r="C686" s="9">
        <f t="shared" si="71"/>
        <v>44340</v>
      </c>
      <c r="D686">
        <v>118.349998</v>
      </c>
      <c r="E686">
        <v>120.924004</v>
      </c>
      <c r="F686">
        <v>118.005501</v>
      </c>
      <c r="G686">
        <v>120.333504</v>
      </c>
      <c r="H686">
        <v>21244000</v>
      </c>
      <c r="I686">
        <f t="shared" si="72"/>
        <v>0</v>
      </c>
      <c r="J686">
        <f t="shared" si="73"/>
        <v>3.08</v>
      </c>
      <c r="K686" t="str">
        <f t="shared" si="74"/>
        <v>Positive</v>
      </c>
      <c r="L686" s="10">
        <f t="shared" si="75"/>
        <v>2.5583124380721113E-2</v>
      </c>
      <c r="M686" t="str">
        <f t="shared" si="76"/>
        <v/>
      </c>
    </row>
    <row r="687" spans="1:13" x14ac:dyDescent="0.2">
      <c r="A687" s="21" t="s">
        <v>714</v>
      </c>
      <c r="B687" s="21" t="str">
        <f t="shared" si="70"/>
        <v>Tuesday</v>
      </c>
      <c r="C687" s="9">
        <f t="shared" si="71"/>
        <v>44341</v>
      </c>
      <c r="D687">
        <v>121</v>
      </c>
      <c r="E687">
        <v>121.64450100000001</v>
      </c>
      <c r="F687">
        <v>120.14949799999999</v>
      </c>
      <c r="G687">
        <v>120.45349899999999</v>
      </c>
      <c r="H687">
        <v>18838000</v>
      </c>
      <c r="I687">
        <f t="shared" si="72"/>
        <v>0</v>
      </c>
      <c r="J687">
        <f t="shared" si="73"/>
        <v>0.12</v>
      </c>
      <c r="K687" t="str">
        <f t="shared" si="74"/>
        <v>Positive</v>
      </c>
      <c r="L687" s="10">
        <f t="shared" si="75"/>
        <v>9.9619356013882793E-4</v>
      </c>
      <c r="M687" t="str">
        <f t="shared" si="76"/>
        <v/>
      </c>
    </row>
    <row r="688" spans="1:13" x14ac:dyDescent="0.2">
      <c r="A688" s="21" t="s">
        <v>715</v>
      </c>
      <c r="B688" s="21" t="str">
        <f t="shared" si="70"/>
        <v>Wednesday</v>
      </c>
      <c r="C688" s="9">
        <f t="shared" si="71"/>
        <v>44342</v>
      </c>
      <c r="D688">
        <v>120.641747</v>
      </c>
      <c r="E688">
        <v>122.14720199999999</v>
      </c>
      <c r="F688">
        <v>120.625748</v>
      </c>
      <c r="G688">
        <v>121.676498</v>
      </c>
      <c r="H688">
        <v>21856000</v>
      </c>
      <c r="I688">
        <f t="shared" si="72"/>
        <v>0</v>
      </c>
      <c r="J688">
        <f t="shared" si="73"/>
        <v>1.22</v>
      </c>
      <c r="K688" t="str">
        <f t="shared" si="74"/>
        <v>Positive</v>
      </c>
      <c r="L688" s="10">
        <f t="shared" si="75"/>
        <v>1.0051234380529276E-2</v>
      </c>
      <c r="M688" t="str">
        <f t="shared" si="76"/>
        <v/>
      </c>
    </row>
    <row r="689" spans="1:13" x14ac:dyDescent="0.2">
      <c r="A689" s="21" t="s">
        <v>716</v>
      </c>
      <c r="B689" s="21" t="str">
        <f t="shared" si="70"/>
        <v>Thursday</v>
      </c>
      <c r="C689" s="9">
        <f t="shared" si="71"/>
        <v>44343</v>
      </c>
      <c r="D689">
        <v>121.84699999999999</v>
      </c>
      <c r="E689">
        <v>122</v>
      </c>
      <c r="F689">
        <v>120.099998</v>
      </c>
      <c r="G689">
        <v>120.12550400000001</v>
      </c>
      <c r="H689">
        <v>38962000</v>
      </c>
      <c r="I689">
        <f t="shared" si="72"/>
        <v>0</v>
      </c>
      <c r="J689">
        <f t="shared" si="73"/>
        <v>-1.55</v>
      </c>
      <c r="K689" t="str">
        <f t="shared" si="74"/>
        <v>Negative</v>
      </c>
      <c r="L689" s="10">
        <f t="shared" si="75"/>
        <v>-1.2911446348645401E-2</v>
      </c>
      <c r="M689" t="str">
        <f t="shared" si="76"/>
        <v/>
      </c>
    </row>
    <row r="690" spans="1:13" x14ac:dyDescent="0.2">
      <c r="A690" s="21" t="s">
        <v>717</v>
      </c>
      <c r="B690" s="21" t="str">
        <f t="shared" si="70"/>
        <v>Friday</v>
      </c>
      <c r="C690" s="9">
        <f t="shared" si="71"/>
        <v>44344</v>
      </c>
      <c r="D690">
        <v>121.098</v>
      </c>
      <c r="E690">
        <v>121.406998</v>
      </c>
      <c r="F690">
        <v>120.38449900000001</v>
      </c>
      <c r="G690">
        <v>120.578003</v>
      </c>
      <c r="H690">
        <v>24108000</v>
      </c>
      <c r="I690">
        <f t="shared" si="72"/>
        <v>0</v>
      </c>
      <c r="J690">
        <f t="shared" si="73"/>
        <v>0.45</v>
      </c>
      <c r="K690" t="str">
        <f t="shared" si="74"/>
        <v>Positive</v>
      </c>
      <c r="L690" s="10">
        <f t="shared" si="75"/>
        <v>3.7527491643727828E-3</v>
      </c>
      <c r="M690" t="str">
        <f t="shared" si="76"/>
        <v/>
      </c>
    </row>
    <row r="691" spans="1:13" x14ac:dyDescent="0.2">
      <c r="A691" s="21" t="s">
        <v>718</v>
      </c>
      <c r="B691" s="21" t="str">
        <f t="shared" si="70"/>
        <v>Tuesday</v>
      </c>
      <c r="C691" s="9">
        <f t="shared" si="71"/>
        <v>44348</v>
      </c>
      <c r="D691">
        <v>121.099998</v>
      </c>
      <c r="E691">
        <v>121.898552</v>
      </c>
      <c r="F691">
        <v>120.24400300000001</v>
      </c>
      <c r="G691">
        <v>121.49050099999999</v>
      </c>
      <c r="H691">
        <v>19166000</v>
      </c>
      <c r="I691">
        <f t="shared" si="72"/>
        <v>0</v>
      </c>
      <c r="J691">
        <f t="shared" si="73"/>
        <v>0.91</v>
      </c>
      <c r="K691" t="str">
        <f t="shared" si="74"/>
        <v>Positive</v>
      </c>
      <c r="L691" s="10">
        <f t="shared" si="75"/>
        <v>7.510858811916492E-3</v>
      </c>
      <c r="M691" t="str">
        <f t="shared" si="76"/>
        <v/>
      </c>
    </row>
    <row r="692" spans="1:13" x14ac:dyDescent="0.2">
      <c r="A692" s="21" t="s">
        <v>719</v>
      </c>
      <c r="B692" s="21" t="str">
        <f t="shared" si="70"/>
        <v>Wednesday</v>
      </c>
      <c r="C692" s="9">
        <f t="shared" si="71"/>
        <v>44349</v>
      </c>
      <c r="D692">
        <v>121.765503</v>
      </c>
      <c r="E692">
        <v>122.099998</v>
      </c>
      <c r="F692">
        <v>120.209999</v>
      </c>
      <c r="G692">
        <v>121.064003</v>
      </c>
      <c r="H692">
        <v>17158000</v>
      </c>
      <c r="I692">
        <f t="shared" si="72"/>
        <v>0</v>
      </c>
      <c r="J692">
        <f t="shared" si="73"/>
        <v>-0.43</v>
      </c>
      <c r="K692" t="str">
        <f t="shared" si="74"/>
        <v>Negative</v>
      </c>
      <c r="L692" s="10">
        <f t="shared" si="75"/>
        <v>-3.5229134129985372E-3</v>
      </c>
      <c r="M692" t="str">
        <f t="shared" si="76"/>
        <v/>
      </c>
    </row>
    <row r="693" spans="1:13" x14ac:dyDescent="0.2">
      <c r="A693" s="21" t="s">
        <v>720</v>
      </c>
      <c r="B693" s="21" t="str">
        <f t="shared" si="70"/>
        <v>Thursday</v>
      </c>
      <c r="C693" s="9">
        <f t="shared" si="71"/>
        <v>44350</v>
      </c>
      <c r="D693">
        <v>119.75099899999999</v>
      </c>
      <c r="E693">
        <v>120.487251</v>
      </c>
      <c r="F693">
        <v>119.141502</v>
      </c>
      <c r="G693">
        <v>120.23049899999999</v>
      </c>
      <c r="H693">
        <v>18346000</v>
      </c>
      <c r="I693">
        <f t="shared" si="72"/>
        <v>0</v>
      </c>
      <c r="J693">
        <f t="shared" si="73"/>
        <v>-0.83</v>
      </c>
      <c r="K693" t="str">
        <f t="shared" si="74"/>
        <v>Negative</v>
      </c>
      <c r="L693" s="10">
        <f t="shared" si="75"/>
        <v>-6.9325504504477269E-3</v>
      </c>
      <c r="M693" t="str">
        <f t="shared" si="76"/>
        <v/>
      </c>
    </row>
    <row r="694" spans="1:13" x14ac:dyDescent="0.2">
      <c r="A694" s="21" t="s">
        <v>721</v>
      </c>
      <c r="B694" s="21" t="str">
        <f t="shared" si="70"/>
        <v>Friday</v>
      </c>
      <c r="C694" s="9">
        <f t="shared" si="71"/>
        <v>44351</v>
      </c>
      <c r="D694">
        <v>121.12599899999999</v>
      </c>
      <c r="E694">
        <v>122.692947</v>
      </c>
      <c r="F694">
        <v>120.888496</v>
      </c>
      <c r="G694">
        <v>122.587997</v>
      </c>
      <c r="H694">
        <v>25948000</v>
      </c>
      <c r="I694">
        <f t="shared" si="72"/>
        <v>0</v>
      </c>
      <c r="J694">
        <f t="shared" si="73"/>
        <v>2.36</v>
      </c>
      <c r="K694" t="str">
        <f t="shared" si="74"/>
        <v>Positive</v>
      </c>
      <c r="L694" s="10">
        <f t="shared" si="75"/>
        <v>1.9231067132942932E-2</v>
      </c>
      <c r="M694" t="str">
        <f t="shared" si="76"/>
        <v/>
      </c>
    </row>
    <row r="695" spans="1:13" x14ac:dyDescent="0.2">
      <c r="A695" s="21" t="s">
        <v>722</v>
      </c>
      <c r="B695" s="21" t="str">
        <f t="shared" si="70"/>
        <v>Monday</v>
      </c>
      <c r="C695" s="9">
        <f t="shared" si="71"/>
        <v>44354</v>
      </c>
      <c r="D695">
        <v>122.566002</v>
      </c>
      <c r="E695">
        <v>123.400002</v>
      </c>
      <c r="F695">
        <v>122.05365</v>
      </c>
      <c r="G695">
        <v>123.304497</v>
      </c>
      <c r="H695">
        <v>23850000</v>
      </c>
      <c r="I695">
        <f t="shared" si="72"/>
        <v>0</v>
      </c>
      <c r="J695">
        <f t="shared" si="73"/>
        <v>0.72</v>
      </c>
      <c r="K695" t="str">
        <f t="shared" si="74"/>
        <v>Positive</v>
      </c>
      <c r="L695" s="10">
        <f t="shared" si="75"/>
        <v>5.8108180758403025E-3</v>
      </c>
      <c r="M695" t="str">
        <f t="shared" si="76"/>
        <v/>
      </c>
    </row>
    <row r="696" spans="1:13" x14ac:dyDescent="0.2">
      <c r="A696" s="21" t="s">
        <v>723</v>
      </c>
      <c r="B696" s="21" t="str">
        <f t="shared" si="70"/>
        <v>Tuesday</v>
      </c>
      <c r="C696" s="9">
        <f t="shared" si="71"/>
        <v>44355</v>
      </c>
      <c r="D696">
        <v>123.995003</v>
      </c>
      <c r="E696">
        <v>124.72474699999999</v>
      </c>
      <c r="F696">
        <v>123.412003</v>
      </c>
      <c r="G696">
        <v>124.14250199999999</v>
      </c>
      <c r="H696">
        <v>25060000</v>
      </c>
      <c r="I696">
        <f t="shared" si="72"/>
        <v>0</v>
      </c>
      <c r="J696">
        <f t="shared" si="73"/>
        <v>0.84</v>
      </c>
      <c r="K696" t="str">
        <f t="shared" si="74"/>
        <v>Positive</v>
      </c>
      <c r="L696" s="10">
        <f t="shared" si="75"/>
        <v>6.7503472742960783E-3</v>
      </c>
      <c r="M696" t="str">
        <f t="shared" si="76"/>
        <v/>
      </c>
    </row>
    <row r="697" spans="1:13" x14ac:dyDescent="0.2">
      <c r="A697" s="21" t="s">
        <v>724</v>
      </c>
      <c r="B697" s="21" t="str">
        <f t="shared" si="70"/>
        <v>Wednesday</v>
      </c>
      <c r="C697" s="9">
        <f t="shared" si="71"/>
        <v>44356</v>
      </c>
      <c r="D697">
        <v>124.974998</v>
      </c>
      <c r="E697">
        <v>125.25</v>
      </c>
      <c r="F697">
        <v>124.366501</v>
      </c>
      <c r="G697">
        <v>124.57</v>
      </c>
      <c r="H697">
        <v>20126000</v>
      </c>
      <c r="I697">
        <f t="shared" si="72"/>
        <v>0</v>
      </c>
      <c r="J697">
        <f t="shared" si="73"/>
        <v>0.43</v>
      </c>
      <c r="K697" t="str">
        <f t="shared" si="74"/>
        <v>Positive</v>
      </c>
      <c r="L697" s="10">
        <f t="shared" si="75"/>
        <v>3.4317893553825157E-3</v>
      </c>
      <c r="M697" t="str">
        <f t="shared" si="76"/>
        <v/>
      </c>
    </row>
    <row r="698" spans="1:13" x14ac:dyDescent="0.2">
      <c r="A698" s="21" t="s">
        <v>725</v>
      </c>
      <c r="B698" s="21" t="str">
        <f t="shared" si="70"/>
        <v>Thursday</v>
      </c>
      <c r="C698" s="9">
        <f t="shared" si="71"/>
        <v>44357</v>
      </c>
      <c r="D698">
        <v>124.70050000000001</v>
      </c>
      <c r="E698">
        <v>126.16300200000001</v>
      </c>
      <c r="F698">
        <v>124.699997</v>
      </c>
      <c r="G698">
        <v>126.08000199999999</v>
      </c>
      <c r="H698">
        <v>31234000</v>
      </c>
      <c r="I698">
        <f t="shared" si="72"/>
        <v>0</v>
      </c>
      <c r="J698">
        <f t="shared" si="73"/>
        <v>1.51</v>
      </c>
      <c r="K698" t="str">
        <f t="shared" si="74"/>
        <v>Positive</v>
      </c>
      <c r="L698" s="10">
        <f t="shared" si="75"/>
        <v>1.1976538515600595E-2</v>
      </c>
      <c r="M698" t="str">
        <f t="shared" si="76"/>
        <v/>
      </c>
    </row>
    <row r="699" spans="1:13" x14ac:dyDescent="0.2">
      <c r="A699" s="21" t="s">
        <v>726</v>
      </c>
      <c r="B699" s="21" t="str">
        <f t="shared" si="70"/>
        <v>Friday</v>
      </c>
      <c r="C699" s="9">
        <f t="shared" si="71"/>
        <v>44358</v>
      </c>
      <c r="D699">
        <v>126.246002</v>
      </c>
      <c r="E699">
        <v>126.349503</v>
      </c>
      <c r="F699">
        <v>124.914497</v>
      </c>
      <c r="G699">
        <v>125.69650300000001</v>
      </c>
      <c r="H699">
        <v>25240000</v>
      </c>
      <c r="I699">
        <f t="shared" si="72"/>
        <v>0</v>
      </c>
      <c r="J699">
        <f t="shared" si="73"/>
        <v>-0.38</v>
      </c>
      <c r="K699" t="str">
        <f t="shared" si="74"/>
        <v>Negative</v>
      </c>
      <c r="L699" s="10">
        <f t="shared" si="75"/>
        <v>-3.0509918004639021E-3</v>
      </c>
      <c r="M699" t="str">
        <f t="shared" si="76"/>
        <v/>
      </c>
    </row>
    <row r="700" spans="1:13" x14ac:dyDescent="0.2">
      <c r="A700" s="21" t="s">
        <v>727</v>
      </c>
      <c r="B700" s="21" t="str">
        <f t="shared" si="70"/>
        <v>Monday</v>
      </c>
      <c r="C700" s="9">
        <f t="shared" si="71"/>
        <v>44361</v>
      </c>
      <c r="D700">
        <v>125.66950199999999</v>
      </c>
      <c r="E700">
        <v>126.41149900000001</v>
      </c>
      <c r="F700">
        <v>125.046997</v>
      </c>
      <c r="G700">
        <v>126.351997</v>
      </c>
      <c r="H700">
        <v>22550000</v>
      </c>
      <c r="I700">
        <f t="shared" si="72"/>
        <v>0</v>
      </c>
      <c r="J700">
        <f t="shared" si="73"/>
        <v>0.66</v>
      </c>
      <c r="K700" t="str">
        <f t="shared" si="74"/>
        <v>Positive</v>
      </c>
      <c r="L700" s="10">
        <f t="shared" si="75"/>
        <v>5.1878404422843454E-3</v>
      </c>
      <c r="M700" t="str">
        <f t="shared" si="76"/>
        <v/>
      </c>
    </row>
    <row r="701" spans="1:13" x14ac:dyDescent="0.2">
      <c r="A701" s="21" t="s">
        <v>728</v>
      </c>
      <c r="B701" s="21" t="str">
        <f t="shared" si="70"/>
        <v>Tuesday</v>
      </c>
      <c r="C701" s="9">
        <f t="shared" si="71"/>
        <v>44362</v>
      </c>
      <c r="D701">
        <v>126.522003</v>
      </c>
      <c r="E701">
        <v>126.86199999999999</v>
      </c>
      <c r="F701">
        <v>125.648499</v>
      </c>
      <c r="G701">
        <v>126.03299699999999</v>
      </c>
      <c r="H701">
        <v>22182000</v>
      </c>
      <c r="I701">
        <f t="shared" si="72"/>
        <v>0</v>
      </c>
      <c r="J701">
        <f t="shared" si="73"/>
        <v>-0.32</v>
      </c>
      <c r="K701" t="str">
        <f t="shared" si="74"/>
        <v>Negative</v>
      </c>
      <c r="L701" s="10">
        <f t="shared" si="75"/>
        <v>-2.5310831892698914E-3</v>
      </c>
      <c r="M701" t="str">
        <f t="shared" si="76"/>
        <v/>
      </c>
    </row>
    <row r="702" spans="1:13" x14ac:dyDescent="0.2">
      <c r="A702" s="21" t="s">
        <v>729</v>
      </c>
      <c r="B702" s="21" t="str">
        <f t="shared" si="70"/>
        <v>Wednesday</v>
      </c>
      <c r="C702" s="9">
        <f t="shared" si="71"/>
        <v>44363</v>
      </c>
      <c r="D702">
        <v>126.24749799999999</v>
      </c>
      <c r="E702">
        <v>126.523499</v>
      </c>
      <c r="F702">
        <v>124.14994799999999</v>
      </c>
      <c r="G702">
        <v>125.69650300000001</v>
      </c>
      <c r="H702">
        <v>26316000</v>
      </c>
      <c r="I702">
        <f t="shared" si="72"/>
        <v>0</v>
      </c>
      <c r="J702">
        <f t="shared" si="73"/>
        <v>-0.34</v>
      </c>
      <c r="K702" t="str">
        <f t="shared" si="74"/>
        <v>Negative</v>
      </c>
      <c r="L702" s="10">
        <f t="shared" si="75"/>
        <v>-2.6770354939786001E-3</v>
      </c>
      <c r="M702" t="str">
        <f t="shared" si="76"/>
        <v/>
      </c>
    </row>
    <row r="703" spans="1:13" x14ac:dyDescent="0.2">
      <c r="A703" s="21" t="s">
        <v>730</v>
      </c>
      <c r="B703" s="21" t="str">
        <f t="shared" si="70"/>
        <v>Thursday</v>
      </c>
      <c r="C703" s="9">
        <f t="shared" si="71"/>
        <v>44364</v>
      </c>
      <c r="D703">
        <v>125.523003</v>
      </c>
      <c r="E703">
        <v>127.19650300000001</v>
      </c>
      <c r="F703">
        <v>125.514999</v>
      </c>
      <c r="G703">
        <v>126.371002</v>
      </c>
      <c r="H703">
        <v>25756000</v>
      </c>
      <c r="I703">
        <f t="shared" si="72"/>
        <v>0</v>
      </c>
      <c r="J703">
        <f t="shared" si="73"/>
        <v>0.67</v>
      </c>
      <c r="K703" t="str">
        <f t="shared" si="74"/>
        <v>Positive</v>
      </c>
      <c r="L703" s="10">
        <f t="shared" si="75"/>
        <v>5.3374507547229643E-3</v>
      </c>
      <c r="M703" t="str">
        <f t="shared" si="76"/>
        <v/>
      </c>
    </row>
    <row r="704" spans="1:13" x14ac:dyDescent="0.2">
      <c r="A704" s="21" t="s">
        <v>731</v>
      </c>
      <c r="B704" s="21" t="str">
        <f t="shared" si="70"/>
        <v>Friday</v>
      </c>
      <c r="C704" s="9">
        <f t="shared" si="71"/>
        <v>44365</v>
      </c>
      <c r="D704">
        <v>125.70549800000001</v>
      </c>
      <c r="E704">
        <v>126.389</v>
      </c>
      <c r="F704">
        <v>124.602997</v>
      </c>
      <c r="G704">
        <v>125.567497</v>
      </c>
      <c r="H704">
        <v>53306000</v>
      </c>
      <c r="I704">
        <f t="shared" si="72"/>
        <v>0</v>
      </c>
      <c r="J704">
        <f t="shared" si="73"/>
        <v>-0.8</v>
      </c>
      <c r="K704" t="str">
        <f t="shared" si="74"/>
        <v>Negative</v>
      </c>
      <c r="L704" s="10">
        <f t="shared" si="75"/>
        <v>-6.3989887446749159E-3</v>
      </c>
      <c r="M704" t="str">
        <f t="shared" si="76"/>
        <v/>
      </c>
    </row>
    <row r="705" spans="1:13" x14ac:dyDescent="0.2">
      <c r="A705" s="21" t="s">
        <v>732</v>
      </c>
      <c r="B705" s="21" t="str">
        <f t="shared" si="70"/>
        <v>Monday</v>
      </c>
      <c r="C705" s="9">
        <f t="shared" si="71"/>
        <v>44368</v>
      </c>
      <c r="D705">
        <v>125.739998</v>
      </c>
      <c r="E705">
        <v>127.036751</v>
      </c>
      <c r="F705">
        <v>125.134247</v>
      </c>
      <c r="G705">
        <v>126.45500199999999</v>
      </c>
      <c r="H705">
        <v>26256000</v>
      </c>
      <c r="I705">
        <f t="shared" si="72"/>
        <v>0</v>
      </c>
      <c r="J705">
        <f t="shared" si="73"/>
        <v>0.89</v>
      </c>
      <c r="K705" t="str">
        <f t="shared" si="74"/>
        <v>Positive</v>
      </c>
      <c r="L705" s="10">
        <f t="shared" si="75"/>
        <v>7.0183463363512524E-3</v>
      </c>
      <c r="M705" t="str">
        <f t="shared" si="76"/>
        <v/>
      </c>
    </row>
    <row r="706" spans="1:13" x14ac:dyDescent="0.2">
      <c r="A706" s="21" t="s">
        <v>733</v>
      </c>
      <c r="B706" s="21" t="str">
        <f t="shared" si="70"/>
        <v>Tuesday</v>
      </c>
      <c r="C706" s="9">
        <f t="shared" si="71"/>
        <v>44369</v>
      </c>
      <c r="D706">
        <v>126.449997</v>
      </c>
      <c r="E706">
        <v>127.269997</v>
      </c>
      <c r="F706">
        <v>126.02649700000001</v>
      </c>
      <c r="G706">
        <v>126.99949599999999</v>
      </c>
      <c r="H706">
        <v>20984000</v>
      </c>
      <c r="I706">
        <f t="shared" si="72"/>
        <v>0</v>
      </c>
      <c r="J706">
        <f t="shared" si="73"/>
        <v>0.54</v>
      </c>
      <c r="K706" t="str">
        <f t="shared" si="74"/>
        <v>Positive</v>
      </c>
      <c r="L706" s="10">
        <f t="shared" si="75"/>
        <v>4.2873713451587261E-3</v>
      </c>
      <c r="M706" t="str">
        <f t="shared" si="76"/>
        <v/>
      </c>
    </row>
    <row r="707" spans="1:13" x14ac:dyDescent="0.2">
      <c r="A707" s="21" t="s">
        <v>734</v>
      </c>
      <c r="B707" s="21" t="str">
        <f t="shared" ref="B707:B770" si="77">LEFT(A707,SEARCH(",",A707)-1)</f>
        <v>Wednesday</v>
      </c>
      <c r="C707" s="9">
        <f t="shared" ref="C707:C770" si="78">DATEVALUE(RIGHT(A707,LEN(A707) - SEARCH(",",A707)))</f>
        <v>44370</v>
      </c>
      <c r="D707">
        <v>126.550003</v>
      </c>
      <c r="E707">
        <v>127.795998</v>
      </c>
      <c r="F707">
        <v>126.251999</v>
      </c>
      <c r="G707">
        <v>126.461502</v>
      </c>
      <c r="H707">
        <v>19694000</v>
      </c>
      <c r="I707">
        <f t="shared" ref="I707:I770" si="79">COUNTBLANK(A707:H707)</f>
        <v>0</v>
      </c>
      <c r="J707">
        <f t="shared" ref="J707:J770" si="80">ROUND(IF(ISNUMBER(G706),G707-G706,0),2)</f>
        <v>-0.54</v>
      </c>
      <c r="K707" t="str">
        <f t="shared" ref="K707:K770" si="81">IF(J707=0,"Neutral",IF(J707&gt;0,"Positive","Negative"))</f>
        <v>Negative</v>
      </c>
      <c r="L707" s="10">
        <f t="shared" ref="L707:L770" si="82">IF(ISNUMBER(G706),((G707-G706)/G707),0)</f>
        <v>-4.2542116888663684E-3</v>
      </c>
      <c r="M707" t="str">
        <f t="shared" ref="M707:M770" si="83">IF(L707&gt;0.05,L707,"")</f>
        <v/>
      </c>
    </row>
    <row r="708" spans="1:13" x14ac:dyDescent="0.2">
      <c r="A708" s="21" t="s">
        <v>735</v>
      </c>
      <c r="B708" s="21" t="str">
        <f t="shared" si="77"/>
        <v>Thursday</v>
      </c>
      <c r="C708" s="9">
        <f t="shared" si="78"/>
        <v>44371</v>
      </c>
      <c r="D708">
        <v>127.05349699999999</v>
      </c>
      <c r="E708">
        <v>127.5355</v>
      </c>
      <c r="F708">
        <v>126.959999</v>
      </c>
      <c r="G708">
        <v>127.281998</v>
      </c>
      <c r="H708">
        <v>18934000</v>
      </c>
      <c r="I708">
        <f t="shared" si="79"/>
        <v>0</v>
      </c>
      <c r="J708">
        <f t="shared" si="80"/>
        <v>0.82</v>
      </c>
      <c r="K708" t="str">
        <f t="shared" si="81"/>
        <v>Positive</v>
      </c>
      <c r="L708" s="10">
        <f t="shared" si="82"/>
        <v>6.4462847291256826E-3</v>
      </c>
      <c r="M708" t="str">
        <f t="shared" si="83"/>
        <v/>
      </c>
    </row>
    <row r="709" spans="1:13" x14ac:dyDescent="0.2">
      <c r="A709" s="21" t="s">
        <v>736</v>
      </c>
      <c r="B709" s="21" t="str">
        <f t="shared" si="77"/>
        <v>Friday</v>
      </c>
      <c r="C709" s="9">
        <f t="shared" si="78"/>
        <v>44372</v>
      </c>
      <c r="D709">
        <v>126.95700100000001</v>
      </c>
      <c r="E709">
        <v>127.504997</v>
      </c>
      <c r="F709">
        <v>126.444</v>
      </c>
      <c r="G709">
        <v>126.995003</v>
      </c>
      <c r="H709">
        <v>33484000</v>
      </c>
      <c r="I709">
        <f t="shared" si="79"/>
        <v>0</v>
      </c>
      <c r="J709">
        <f t="shared" si="80"/>
        <v>-0.28999999999999998</v>
      </c>
      <c r="K709" t="str">
        <f t="shared" si="81"/>
        <v>Negative</v>
      </c>
      <c r="L709" s="10">
        <f t="shared" si="82"/>
        <v>-2.259892068351733E-3</v>
      </c>
      <c r="M709" t="str">
        <f t="shared" si="83"/>
        <v/>
      </c>
    </row>
    <row r="710" spans="1:13" x14ac:dyDescent="0.2">
      <c r="A710" s="21" t="s">
        <v>737</v>
      </c>
      <c r="B710" s="21" t="str">
        <f t="shared" si="77"/>
        <v>Monday</v>
      </c>
      <c r="C710" s="9">
        <f t="shared" si="78"/>
        <v>44375</v>
      </c>
      <c r="D710">
        <v>127</v>
      </c>
      <c r="E710">
        <v>127.33699799999999</v>
      </c>
      <c r="F710">
        <v>125.97380099999999</v>
      </c>
      <c r="G710">
        <v>126.81950399999999</v>
      </c>
      <c r="H710">
        <v>28110000</v>
      </c>
      <c r="I710">
        <f t="shared" si="79"/>
        <v>0</v>
      </c>
      <c r="J710">
        <f t="shared" si="80"/>
        <v>-0.18</v>
      </c>
      <c r="K710" t="str">
        <f t="shared" si="81"/>
        <v>Negative</v>
      </c>
      <c r="L710" s="10">
        <f t="shared" si="82"/>
        <v>-1.3838486546990602E-3</v>
      </c>
      <c r="M710" t="str">
        <f t="shared" si="83"/>
        <v/>
      </c>
    </row>
    <row r="711" spans="1:13" x14ac:dyDescent="0.2">
      <c r="A711" s="21" t="s">
        <v>738</v>
      </c>
      <c r="B711" s="21" t="str">
        <f t="shared" si="77"/>
        <v>Tuesday</v>
      </c>
      <c r="C711" s="9">
        <f t="shared" si="78"/>
        <v>44376</v>
      </c>
      <c r="D711">
        <v>126.772499</v>
      </c>
      <c r="E711">
        <v>127</v>
      </c>
      <c r="F711">
        <v>125.43699599999999</v>
      </c>
      <c r="G711">
        <v>126.018501</v>
      </c>
      <c r="H711">
        <v>20950000</v>
      </c>
      <c r="I711">
        <f t="shared" si="79"/>
        <v>0</v>
      </c>
      <c r="J711">
        <f t="shared" si="80"/>
        <v>-0.8</v>
      </c>
      <c r="K711" t="str">
        <f t="shared" si="81"/>
        <v>Negative</v>
      </c>
      <c r="L711" s="10">
        <f t="shared" si="82"/>
        <v>-6.3562333597349677E-3</v>
      </c>
      <c r="M711" t="str">
        <f t="shared" si="83"/>
        <v/>
      </c>
    </row>
    <row r="712" spans="1:13" x14ac:dyDescent="0.2">
      <c r="A712" s="21" t="s">
        <v>739</v>
      </c>
      <c r="B712" s="21" t="str">
        <f t="shared" si="77"/>
        <v>Wednesday</v>
      </c>
      <c r="C712" s="9">
        <f t="shared" si="78"/>
        <v>44377</v>
      </c>
      <c r="D712">
        <v>125.653549</v>
      </c>
      <c r="E712">
        <v>125.800003</v>
      </c>
      <c r="F712">
        <v>124.75749999999999</v>
      </c>
      <c r="G712">
        <v>125.316002</v>
      </c>
      <c r="H712">
        <v>24006000</v>
      </c>
      <c r="I712">
        <f t="shared" si="79"/>
        <v>0</v>
      </c>
      <c r="J712">
        <f t="shared" si="80"/>
        <v>-0.7</v>
      </c>
      <c r="K712" t="str">
        <f t="shared" si="81"/>
        <v>Negative</v>
      </c>
      <c r="L712" s="10">
        <f t="shared" si="82"/>
        <v>-5.6058203963449387E-3</v>
      </c>
      <c r="M712" t="str">
        <f t="shared" si="83"/>
        <v/>
      </c>
    </row>
    <row r="713" spans="1:13" x14ac:dyDescent="0.2">
      <c r="A713" s="21" t="s">
        <v>740</v>
      </c>
      <c r="B713" s="21" t="str">
        <f t="shared" si="77"/>
        <v>Thursday</v>
      </c>
      <c r="C713" s="9">
        <f t="shared" si="78"/>
        <v>44378</v>
      </c>
      <c r="D713">
        <v>124.84974699999999</v>
      </c>
      <c r="E713">
        <v>126.462502</v>
      </c>
      <c r="F713">
        <v>124.84974699999999</v>
      </c>
      <c r="G713">
        <v>126.3685</v>
      </c>
      <c r="H713">
        <v>17120000</v>
      </c>
      <c r="I713">
        <f t="shared" si="79"/>
        <v>0</v>
      </c>
      <c r="J713">
        <f t="shared" si="80"/>
        <v>1.05</v>
      </c>
      <c r="K713" t="str">
        <f t="shared" si="81"/>
        <v>Positive</v>
      </c>
      <c r="L713" s="10">
        <f t="shared" si="82"/>
        <v>8.3288002943771589E-3</v>
      </c>
      <c r="M713" t="str">
        <f t="shared" si="83"/>
        <v/>
      </c>
    </row>
    <row r="714" spans="1:13" x14ac:dyDescent="0.2">
      <c r="A714" s="21" t="s">
        <v>741</v>
      </c>
      <c r="B714" s="21" t="str">
        <f t="shared" si="77"/>
        <v>Friday</v>
      </c>
      <c r="C714" s="9">
        <f t="shared" si="78"/>
        <v>44379</v>
      </c>
      <c r="D714">
        <v>126.8395</v>
      </c>
      <c r="E714">
        <v>128.848007</v>
      </c>
      <c r="F714">
        <v>126.768997</v>
      </c>
      <c r="G714">
        <v>128.71899400000001</v>
      </c>
      <c r="H714">
        <v>21160000</v>
      </c>
      <c r="I714">
        <f t="shared" si="79"/>
        <v>0</v>
      </c>
      <c r="J714">
        <f t="shared" si="80"/>
        <v>2.35</v>
      </c>
      <c r="K714" t="str">
        <f t="shared" si="81"/>
        <v>Positive</v>
      </c>
      <c r="L714" s="10">
        <f t="shared" si="82"/>
        <v>1.8260661670491393E-2</v>
      </c>
      <c r="M714" t="str">
        <f t="shared" si="83"/>
        <v/>
      </c>
    </row>
    <row r="715" spans="1:13" x14ac:dyDescent="0.2">
      <c r="A715" s="21" t="s">
        <v>742</v>
      </c>
      <c r="B715" s="21" t="str">
        <f t="shared" si="77"/>
        <v>Tuesday</v>
      </c>
      <c r="C715" s="9">
        <f t="shared" si="78"/>
        <v>44383</v>
      </c>
      <c r="D715">
        <v>129.44949299999999</v>
      </c>
      <c r="E715">
        <v>129.88450599999999</v>
      </c>
      <c r="F715">
        <v>128.408997</v>
      </c>
      <c r="G715">
        <v>129.770996</v>
      </c>
      <c r="H715">
        <v>21350000</v>
      </c>
      <c r="I715">
        <f t="shared" si="79"/>
        <v>0</v>
      </c>
      <c r="J715">
        <f t="shared" si="80"/>
        <v>1.05</v>
      </c>
      <c r="K715" t="str">
        <f t="shared" si="81"/>
        <v>Positive</v>
      </c>
      <c r="L715" s="10">
        <f t="shared" si="82"/>
        <v>8.106603420073832E-3</v>
      </c>
      <c r="M715" t="str">
        <f t="shared" si="83"/>
        <v/>
      </c>
    </row>
    <row r="716" spans="1:13" x14ac:dyDescent="0.2">
      <c r="A716" s="21" t="s">
        <v>743</v>
      </c>
      <c r="B716" s="21" t="str">
        <f t="shared" si="77"/>
        <v>Wednesday</v>
      </c>
      <c r="C716" s="9">
        <f t="shared" si="78"/>
        <v>44384</v>
      </c>
      <c r="D716">
        <v>130.341003</v>
      </c>
      <c r="E716">
        <v>130.639893</v>
      </c>
      <c r="F716">
        <v>129.759995</v>
      </c>
      <c r="G716">
        <v>130.07749899999999</v>
      </c>
      <c r="H716">
        <v>16680000</v>
      </c>
      <c r="I716">
        <f t="shared" si="79"/>
        <v>0</v>
      </c>
      <c r="J716">
        <f t="shared" si="80"/>
        <v>0.31</v>
      </c>
      <c r="K716" t="str">
        <f t="shared" si="81"/>
        <v>Positive</v>
      </c>
      <c r="L716" s="10">
        <f t="shared" si="82"/>
        <v>2.3563106790667324E-3</v>
      </c>
      <c r="M716" t="str">
        <f t="shared" si="83"/>
        <v/>
      </c>
    </row>
    <row r="717" spans="1:13" x14ac:dyDescent="0.2">
      <c r="A717" s="21" t="s">
        <v>744</v>
      </c>
      <c r="B717" s="21" t="str">
        <f t="shared" si="77"/>
        <v>Thursday</v>
      </c>
      <c r="C717" s="9">
        <f t="shared" si="78"/>
        <v>44385</v>
      </c>
      <c r="D717">
        <v>128.25</v>
      </c>
      <c r="E717">
        <v>130.032501</v>
      </c>
      <c r="F717">
        <v>128.03999300000001</v>
      </c>
      <c r="G717">
        <v>129.17700199999999</v>
      </c>
      <c r="H717">
        <v>19780000</v>
      </c>
      <c r="I717">
        <f t="shared" si="79"/>
        <v>0</v>
      </c>
      <c r="J717">
        <f t="shared" si="80"/>
        <v>-0.9</v>
      </c>
      <c r="K717" t="str">
        <f t="shared" si="81"/>
        <v>Negative</v>
      </c>
      <c r="L717" s="10">
        <f t="shared" si="82"/>
        <v>-6.9710318869298541E-3</v>
      </c>
      <c r="M717" t="str">
        <f t="shared" si="83"/>
        <v/>
      </c>
    </row>
    <row r="718" spans="1:13" x14ac:dyDescent="0.2">
      <c r="A718" s="21" t="s">
        <v>745</v>
      </c>
      <c r="B718" s="21" t="str">
        <f t="shared" si="77"/>
        <v>Friday</v>
      </c>
      <c r="C718" s="9">
        <f t="shared" si="78"/>
        <v>44386</v>
      </c>
      <c r="D718">
        <v>128.94450399999999</v>
      </c>
      <c r="E718">
        <v>129.849503</v>
      </c>
      <c r="F718">
        <v>128.94349700000001</v>
      </c>
      <c r="G718">
        <v>129.57449299999999</v>
      </c>
      <c r="H718">
        <v>15106000</v>
      </c>
      <c r="I718">
        <f t="shared" si="79"/>
        <v>0</v>
      </c>
      <c r="J718">
        <f t="shared" si="80"/>
        <v>0.4</v>
      </c>
      <c r="K718" t="str">
        <f t="shared" si="81"/>
        <v>Positive</v>
      </c>
      <c r="L718" s="10">
        <f t="shared" si="82"/>
        <v>3.0676639421618442E-3</v>
      </c>
      <c r="M718" t="str">
        <f t="shared" si="83"/>
        <v/>
      </c>
    </row>
    <row r="719" spans="1:13" x14ac:dyDescent="0.2">
      <c r="A719" s="21" t="s">
        <v>746</v>
      </c>
      <c r="B719" s="21" t="str">
        <f t="shared" si="77"/>
        <v>Monday</v>
      </c>
      <c r="C719" s="9">
        <f t="shared" si="78"/>
        <v>44389</v>
      </c>
      <c r="D719">
        <v>129.833496</v>
      </c>
      <c r="E719">
        <v>130.770004</v>
      </c>
      <c r="F719">
        <v>129.60000600000001</v>
      </c>
      <c r="G719">
        <v>130.56399500000001</v>
      </c>
      <c r="H719">
        <v>16944000</v>
      </c>
      <c r="I719">
        <f t="shared" si="79"/>
        <v>0</v>
      </c>
      <c r="J719">
        <f t="shared" si="80"/>
        <v>0.99</v>
      </c>
      <c r="K719" t="str">
        <f t="shared" si="81"/>
        <v>Positive</v>
      </c>
      <c r="L719" s="10">
        <f t="shared" si="82"/>
        <v>7.5786743504594493E-3</v>
      </c>
      <c r="M719" t="str">
        <f t="shared" si="83"/>
        <v/>
      </c>
    </row>
    <row r="720" spans="1:13" x14ac:dyDescent="0.2">
      <c r="A720" s="21" t="s">
        <v>747</v>
      </c>
      <c r="B720" s="21" t="str">
        <f t="shared" si="77"/>
        <v>Tuesday</v>
      </c>
      <c r="C720" s="9">
        <f t="shared" si="78"/>
        <v>44390</v>
      </c>
      <c r="D720">
        <v>130.88149999999999</v>
      </c>
      <c r="E720">
        <v>132.04200700000001</v>
      </c>
      <c r="F720">
        <v>130.63699299999999</v>
      </c>
      <c r="G720">
        <v>130.994507</v>
      </c>
      <c r="H720">
        <v>16618000</v>
      </c>
      <c r="I720">
        <f t="shared" si="79"/>
        <v>0</v>
      </c>
      <c r="J720">
        <f t="shared" si="80"/>
        <v>0.43</v>
      </c>
      <c r="K720" t="str">
        <f t="shared" si="81"/>
        <v>Positive</v>
      </c>
      <c r="L720" s="10">
        <f t="shared" si="82"/>
        <v>3.2864889517847731E-3</v>
      </c>
      <c r="M720" t="str">
        <f t="shared" si="83"/>
        <v/>
      </c>
    </row>
    <row r="721" spans="1:13" x14ac:dyDescent="0.2">
      <c r="A721" s="21" t="s">
        <v>748</v>
      </c>
      <c r="B721" s="21" t="str">
        <f t="shared" si="77"/>
        <v>Wednesday</v>
      </c>
      <c r="C721" s="9">
        <f t="shared" si="78"/>
        <v>44391</v>
      </c>
      <c r="D721">
        <v>131.90150499999999</v>
      </c>
      <c r="E721">
        <v>132.996002</v>
      </c>
      <c r="F721">
        <v>131.89799500000001</v>
      </c>
      <c r="G721">
        <v>132.082504</v>
      </c>
      <c r="H721">
        <v>17912000</v>
      </c>
      <c r="I721">
        <f t="shared" si="79"/>
        <v>0</v>
      </c>
      <c r="J721">
        <f t="shared" si="80"/>
        <v>1.0900000000000001</v>
      </c>
      <c r="K721" t="str">
        <f t="shared" si="81"/>
        <v>Positive</v>
      </c>
      <c r="L721" s="10">
        <f t="shared" si="82"/>
        <v>8.2372529824237851E-3</v>
      </c>
      <c r="M721" t="str">
        <f t="shared" si="83"/>
        <v/>
      </c>
    </row>
    <row r="722" spans="1:13" x14ac:dyDescent="0.2">
      <c r="A722" s="21" t="s">
        <v>749</v>
      </c>
      <c r="B722" s="21" t="str">
        <f t="shared" si="77"/>
        <v>Thursday</v>
      </c>
      <c r="C722" s="9">
        <f t="shared" si="78"/>
        <v>44392</v>
      </c>
      <c r="D722">
        <v>132.5</v>
      </c>
      <c r="E722">
        <v>132.595001</v>
      </c>
      <c r="F722">
        <v>130.598007</v>
      </c>
      <c r="G722">
        <v>131.26649499999999</v>
      </c>
      <c r="H722">
        <v>16586000</v>
      </c>
      <c r="I722">
        <f t="shared" si="79"/>
        <v>0</v>
      </c>
      <c r="J722">
        <f t="shared" si="80"/>
        <v>-0.82</v>
      </c>
      <c r="K722" t="str">
        <f t="shared" si="81"/>
        <v>Negative</v>
      </c>
      <c r="L722" s="10">
        <f t="shared" si="82"/>
        <v>-6.2164301713091997E-3</v>
      </c>
      <c r="M722" t="str">
        <f t="shared" si="83"/>
        <v/>
      </c>
    </row>
    <row r="723" spans="1:13" x14ac:dyDescent="0.2">
      <c r="A723" s="21" t="s">
        <v>750</v>
      </c>
      <c r="B723" s="21" t="str">
        <f t="shared" si="77"/>
        <v>Friday</v>
      </c>
      <c r="C723" s="9">
        <f t="shared" si="78"/>
        <v>44393</v>
      </c>
      <c r="D723">
        <v>131.641006</v>
      </c>
      <c r="E723">
        <v>132.182999</v>
      </c>
      <c r="F723">
        <v>130.82150300000001</v>
      </c>
      <c r="G723">
        <v>131.845505</v>
      </c>
      <c r="H723">
        <v>14856000</v>
      </c>
      <c r="I723">
        <f t="shared" si="79"/>
        <v>0</v>
      </c>
      <c r="J723">
        <f t="shared" si="80"/>
        <v>0.57999999999999996</v>
      </c>
      <c r="K723" t="str">
        <f t="shared" si="81"/>
        <v>Positive</v>
      </c>
      <c r="L723" s="10">
        <f t="shared" si="82"/>
        <v>4.3915793716290206E-3</v>
      </c>
      <c r="M723" t="str">
        <f t="shared" si="83"/>
        <v/>
      </c>
    </row>
    <row r="724" spans="1:13" x14ac:dyDescent="0.2">
      <c r="A724" s="21" t="s">
        <v>751</v>
      </c>
      <c r="B724" s="21" t="str">
        <f t="shared" si="77"/>
        <v>Monday</v>
      </c>
      <c r="C724" s="9">
        <f t="shared" si="78"/>
        <v>44396</v>
      </c>
      <c r="D724">
        <v>131.15550200000001</v>
      </c>
      <c r="E724">
        <v>131.246994</v>
      </c>
      <c r="F724">
        <v>128.537003</v>
      </c>
      <c r="G724">
        <v>129.253998</v>
      </c>
      <c r="H724">
        <v>25710000</v>
      </c>
      <c r="I724">
        <f t="shared" si="79"/>
        <v>0</v>
      </c>
      <c r="J724">
        <f t="shared" si="80"/>
        <v>-2.59</v>
      </c>
      <c r="K724" t="str">
        <f t="shared" si="81"/>
        <v>Negative</v>
      </c>
      <c r="L724" s="10">
        <f t="shared" si="82"/>
        <v>-2.0049724109887937E-2</v>
      </c>
      <c r="M724" t="str">
        <f t="shared" si="83"/>
        <v/>
      </c>
    </row>
    <row r="725" spans="1:13" x14ac:dyDescent="0.2">
      <c r="A725" s="21" t="s">
        <v>752</v>
      </c>
      <c r="B725" s="21" t="str">
        <f t="shared" si="77"/>
        <v>Tuesday</v>
      </c>
      <c r="C725" s="9">
        <f t="shared" si="78"/>
        <v>44397</v>
      </c>
      <c r="D725">
        <v>130.003998</v>
      </c>
      <c r="E725">
        <v>132.00134299999999</v>
      </c>
      <c r="F725">
        <v>129.1884</v>
      </c>
      <c r="G725">
        <v>131.10150100000001</v>
      </c>
      <c r="H725">
        <v>19084000</v>
      </c>
      <c r="I725">
        <f t="shared" si="79"/>
        <v>0</v>
      </c>
      <c r="J725">
        <f t="shared" si="80"/>
        <v>1.85</v>
      </c>
      <c r="K725" t="str">
        <f t="shared" si="81"/>
        <v>Positive</v>
      </c>
      <c r="L725" s="10">
        <f t="shared" si="82"/>
        <v>1.4092157495588226E-2</v>
      </c>
      <c r="M725" t="str">
        <f t="shared" si="83"/>
        <v/>
      </c>
    </row>
    <row r="726" spans="1:13" x14ac:dyDescent="0.2">
      <c r="A726" s="21" t="s">
        <v>753</v>
      </c>
      <c r="B726" s="21" t="str">
        <f t="shared" si="77"/>
        <v>Wednesday</v>
      </c>
      <c r="C726" s="9">
        <f t="shared" si="78"/>
        <v>44398</v>
      </c>
      <c r="D726">
        <v>130.787003</v>
      </c>
      <c r="E726">
        <v>132.61724899999999</v>
      </c>
      <c r="F726">
        <v>130.60150100000001</v>
      </c>
      <c r="G726">
        <v>132.600494</v>
      </c>
      <c r="H726">
        <v>14742000</v>
      </c>
      <c r="I726">
        <f t="shared" si="79"/>
        <v>0</v>
      </c>
      <c r="J726">
        <f t="shared" si="80"/>
        <v>1.5</v>
      </c>
      <c r="K726" t="str">
        <f t="shared" si="81"/>
        <v>Positive</v>
      </c>
      <c r="L726" s="10">
        <f t="shared" si="82"/>
        <v>1.1304580810988415E-2</v>
      </c>
      <c r="M726" t="str">
        <f t="shared" si="83"/>
        <v/>
      </c>
    </row>
    <row r="727" spans="1:13" x14ac:dyDescent="0.2">
      <c r="A727" s="21" t="s">
        <v>754</v>
      </c>
      <c r="B727" s="21" t="str">
        <f t="shared" si="77"/>
        <v>Thursday</v>
      </c>
      <c r="C727" s="9">
        <f t="shared" si="78"/>
        <v>44399</v>
      </c>
      <c r="D727">
        <v>132.64999399999999</v>
      </c>
      <c r="E727">
        <v>133.504501</v>
      </c>
      <c r="F727">
        <v>132.39999399999999</v>
      </c>
      <c r="G727">
        <v>133.328506</v>
      </c>
      <c r="H727">
        <v>13608000</v>
      </c>
      <c r="I727">
        <f t="shared" si="79"/>
        <v>0</v>
      </c>
      <c r="J727">
        <f t="shared" si="80"/>
        <v>0.73</v>
      </c>
      <c r="K727" t="str">
        <f t="shared" si="81"/>
        <v>Positive</v>
      </c>
      <c r="L727" s="10">
        <f t="shared" si="82"/>
        <v>5.4602876897158568E-3</v>
      </c>
      <c r="M727" t="str">
        <f t="shared" si="83"/>
        <v/>
      </c>
    </row>
    <row r="728" spans="1:13" x14ac:dyDescent="0.2">
      <c r="A728" s="21" t="s">
        <v>755</v>
      </c>
      <c r="B728" s="21" t="str">
        <f t="shared" si="77"/>
        <v>Friday</v>
      </c>
      <c r="C728" s="9">
        <f t="shared" si="78"/>
        <v>44400</v>
      </c>
      <c r="D728">
        <v>135.259995</v>
      </c>
      <c r="E728">
        <v>138.808502</v>
      </c>
      <c r="F728">
        <v>134.70050000000001</v>
      </c>
      <c r="G728">
        <v>137.81599399999999</v>
      </c>
      <c r="H728">
        <v>26378000</v>
      </c>
      <c r="I728">
        <f t="shared" si="79"/>
        <v>0</v>
      </c>
      <c r="J728">
        <f t="shared" si="80"/>
        <v>4.49</v>
      </c>
      <c r="K728" t="str">
        <f t="shared" si="81"/>
        <v>Positive</v>
      </c>
      <c r="L728" s="10">
        <f t="shared" si="82"/>
        <v>3.2561445662104976E-2</v>
      </c>
      <c r="M728" t="str">
        <f t="shared" si="83"/>
        <v/>
      </c>
    </row>
    <row r="729" spans="1:13" x14ac:dyDescent="0.2">
      <c r="A729" s="21" t="s">
        <v>756</v>
      </c>
      <c r="B729" s="21" t="str">
        <f t="shared" si="77"/>
        <v>Monday</v>
      </c>
      <c r="C729" s="9">
        <f t="shared" si="78"/>
        <v>44403</v>
      </c>
      <c r="D729">
        <v>138.25</v>
      </c>
      <c r="E729">
        <v>139.712997</v>
      </c>
      <c r="F729">
        <v>137.65100100000001</v>
      </c>
      <c r="G729">
        <v>139.64450099999999</v>
      </c>
      <c r="H729">
        <v>23052000</v>
      </c>
      <c r="I729">
        <f t="shared" si="79"/>
        <v>0</v>
      </c>
      <c r="J729">
        <f t="shared" si="80"/>
        <v>1.83</v>
      </c>
      <c r="K729" t="str">
        <f t="shared" si="81"/>
        <v>Positive</v>
      </c>
      <c r="L729" s="10">
        <f t="shared" si="82"/>
        <v>1.309401363394898E-2</v>
      </c>
      <c r="M729" t="str">
        <f t="shared" si="83"/>
        <v/>
      </c>
    </row>
    <row r="730" spans="1:13" x14ac:dyDescent="0.2">
      <c r="A730" s="21" t="s">
        <v>757</v>
      </c>
      <c r="B730" s="21" t="str">
        <f t="shared" si="77"/>
        <v>Tuesday</v>
      </c>
      <c r="C730" s="9">
        <f t="shared" si="78"/>
        <v>44404</v>
      </c>
      <c r="D730">
        <v>140.01100199999999</v>
      </c>
      <c r="E730">
        <v>140.01100199999999</v>
      </c>
      <c r="F730">
        <v>135.10000600000001</v>
      </c>
      <c r="G730">
        <v>136.796494</v>
      </c>
      <c r="H730">
        <v>42164000</v>
      </c>
      <c r="I730">
        <f t="shared" si="79"/>
        <v>0</v>
      </c>
      <c r="J730">
        <f t="shared" si="80"/>
        <v>-2.85</v>
      </c>
      <c r="K730" t="str">
        <f t="shared" si="81"/>
        <v>Negative</v>
      </c>
      <c r="L730" s="10">
        <f t="shared" si="82"/>
        <v>-2.0819298190493066E-2</v>
      </c>
      <c r="M730" t="str">
        <f t="shared" si="83"/>
        <v/>
      </c>
    </row>
    <row r="731" spans="1:13" x14ac:dyDescent="0.2">
      <c r="A731" s="21" t="s">
        <v>758</v>
      </c>
      <c r="B731" s="21" t="str">
        <f t="shared" si="77"/>
        <v>Wednesday</v>
      </c>
      <c r="C731" s="9">
        <f t="shared" si="78"/>
        <v>44405</v>
      </c>
      <c r="D731">
        <v>138.56199599999999</v>
      </c>
      <c r="E731">
        <v>139.675995</v>
      </c>
      <c r="F731">
        <v>136.35000600000001</v>
      </c>
      <c r="G731">
        <v>136.38149999999999</v>
      </c>
      <c r="H731">
        <v>54688000</v>
      </c>
      <c r="I731">
        <f t="shared" si="79"/>
        <v>0</v>
      </c>
      <c r="J731">
        <f t="shared" si="80"/>
        <v>-0.41</v>
      </c>
      <c r="K731" t="str">
        <f t="shared" si="81"/>
        <v>Negative</v>
      </c>
      <c r="L731" s="10">
        <f t="shared" si="82"/>
        <v>-3.0428907146497672E-3</v>
      </c>
      <c r="M731" t="str">
        <f t="shared" si="83"/>
        <v/>
      </c>
    </row>
    <row r="732" spans="1:13" x14ac:dyDescent="0.2">
      <c r="A732" s="21" t="s">
        <v>759</v>
      </c>
      <c r="B732" s="21" t="str">
        <f t="shared" si="77"/>
        <v>Thursday</v>
      </c>
      <c r="C732" s="9">
        <f t="shared" si="78"/>
        <v>44406</v>
      </c>
      <c r="D732">
        <v>136.38059999999999</v>
      </c>
      <c r="E732">
        <v>137.15150499999999</v>
      </c>
      <c r="F732">
        <v>136.13800000000001</v>
      </c>
      <c r="G732">
        <v>136.54049699999999</v>
      </c>
      <c r="H732">
        <v>19284000</v>
      </c>
      <c r="I732">
        <f t="shared" si="79"/>
        <v>0</v>
      </c>
      <c r="J732">
        <f t="shared" si="80"/>
        <v>0.16</v>
      </c>
      <c r="K732" t="str">
        <f t="shared" si="81"/>
        <v>Positive</v>
      </c>
      <c r="L732" s="10">
        <f t="shared" si="82"/>
        <v>1.164467710997122E-3</v>
      </c>
      <c r="M732" t="str">
        <f t="shared" si="83"/>
        <v/>
      </c>
    </row>
    <row r="733" spans="1:13" x14ac:dyDescent="0.2">
      <c r="A733" s="21" t="s">
        <v>760</v>
      </c>
      <c r="B733" s="21" t="str">
        <f t="shared" si="77"/>
        <v>Friday</v>
      </c>
      <c r="C733" s="9">
        <f t="shared" si="78"/>
        <v>44407</v>
      </c>
      <c r="D733">
        <v>135.51100199999999</v>
      </c>
      <c r="E733">
        <v>135.77134699999999</v>
      </c>
      <c r="F733">
        <v>134.81419399999999</v>
      </c>
      <c r="G733">
        <v>135.22099299999999</v>
      </c>
      <c r="H733">
        <v>23954000</v>
      </c>
      <c r="I733">
        <f t="shared" si="79"/>
        <v>0</v>
      </c>
      <c r="J733">
        <f t="shared" si="80"/>
        <v>-1.32</v>
      </c>
      <c r="K733" t="str">
        <f t="shared" si="81"/>
        <v>Negative</v>
      </c>
      <c r="L733" s="10">
        <f t="shared" si="82"/>
        <v>-9.758129789802646E-3</v>
      </c>
      <c r="M733" t="str">
        <f t="shared" si="83"/>
        <v/>
      </c>
    </row>
    <row r="734" spans="1:13" x14ac:dyDescent="0.2">
      <c r="A734" s="21" t="s">
        <v>761</v>
      </c>
      <c r="B734" s="21" t="str">
        <f t="shared" si="77"/>
        <v>Monday</v>
      </c>
      <c r="C734" s="9">
        <f t="shared" si="78"/>
        <v>44410</v>
      </c>
      <c r="D734">
        <v>135.484497</v>
      </c>
      <c r="E734">
        <v>136.02049299999999</v>
      </c>
      <c r="F734">
        <v>134.66949500000001</v>
      </c>
      <c r="G734">
        <v>135.98950199999999</v>
      </c>
      <c r="H734">
        <v>20140000</v>
      </c>
      <c r="I734">
        <f t="shared" si="79"/>
        <v>0</v>
      </c>
      <c r="J734">
        <f t="shared" si="80"/>
        <v>0.77</v>
      </c>
      <c r="K734" t="str">
        <f t="shared" si="81"/>
        <v>Positive</v>
      </c>
      <c r="L734" s="10">
        <f t="shared" si="82"/>
        <v>5.6512376962744859E-3</v>
      </c>
      <c r="M734" t="str">
        <f t="shared" si="83"/>
        <v/>
      </c>
    </row>
    <row r="735" spans="1:13" x14ac:dyDescent="0.2">
      <c r="A735" s="21" t="s">
        <v>762</v>
      </c>
      <c r="B735" s="21" t="str">
        <f t="shared" si="77"/>
        <v>Tuesday</v>
      </c>
      <c r="C735" s="9">
        <f t="shared" si="78"/>
        <v>44411</v>
      </c>
      <c r="D735">
        <v>136</v>
      </c>
      <c r="E735">
        <v>136.33549500000001</v>
      </c>
      <c r="F735">
        <v>134.183502</v>
      </c>
      <c r="G735">
        <v>136.279999</v>
      </c>
      <c r="H735">
        <v>19064000</v>
      </c>
      <c r="I735">
        <f t="shared" si="79"/>
        <v>0</v>
      </c>
      <c r="J735">
        <f t="shared" si="80"/>
        <v>0.28999999999999998</v>
      </c>
      <c r="K735" t="str">
        <f t="shared" si="81"/>
        <v>Positive</v>
      </c>
      <c r="L735" s="10">
        <f t="shared" si="82"/>
        <v>2.1316187417936231E-3</v>
      </c>
      <c r="M735" t="str">
        <f t="shared" si="83"/>
        <v/>
      </c>
    </row>
    <row r="736" spans="1:13" x14ac:dyDescent="0.2">
      <c r="A736" s="21" t="s">
        <v>763</v>
      </c>
      <c r="B736" s="21" t="str">
        <f t="shared" si="77"/>
        <v>Wednesday</v>
      </c>
      <c r="C736" s="9">
        <f t="shared" si="78"/>
        <v>44412</v>
      </c>
      <c r="D736">
        <v>136.24949599999999</v>
      </c>
      <c r="E736">
        <v>136.537994</v>
      </c>
      <c r="F736">
        <v>135.41499300000001</v>
      </c>
      <c r="G736">
        <v>136.028503</v>
      </c>
      <c r="H736">
        <v>16528000</v>
      </c>
      <c r="I736">
        <f t="shared" si="79"/>
        <v>0</v>
      </c>
      <c r="J736">
        <f t="shared" si="80"/>
        <v>-0.25</v>
      </c>
      <c r="K736" t="str">
        <f t="shared" si="81"/>
        <v>Negative</v>
      </c>
      <c r="L736" s="10">
        <f t="shared" si="82"/>
        <v>-1.8488478109621117E-3</v>
      </c>
      <c r="M736" t="str">
        <f t="shared" si="83"/>
        <v/>
      </c>
    </row>
    <row r="737" spans="1:13" x14ac:dyDescent="0.2">
      <c r="A737" s="21" t="s">
        <v>764</v>
      </c>
      <c r="B737" s="21" t="str">
        <f t="shared" si="77"/>
        <v>Thursday</v>
      </c>
      <c r="C737" s="9">
        <f t="shared" si="78"/>
        <v>44413</v>
      </c>
      <c r="D737">
        <v>136.028503</v>
      </c>
      <c r="E737">
        <v>136.949997</v>
      </c>
      <c r="F737">
        <v>135.60000600000001</v>
      </c>
      <c r="G737">
        <v>136.94000199999999</v>
      </c>
      <c r="H737">
        <v>11866000</v>
      </c>
      <c r="I737">
        <f t="shared" si="79"/>
        <v>0</v>
      </c>
      <c r="J737">
        <f t="shared" si="80"/>
        <v>0.91</v>
      </c>
      <c r="K737" t="str">
        <f t="shared" si="81"/>
        <v>Positive</v>
      </c>
      <c r="L737" s="10">
        <f t="shared" si="82"/>
        <v>6.6561923958493308E-3</v>
      </c>
      <c r="M737" t="str">
        <f t="shared" si="83"/>
        <v/>
      </c>
    </row>
    <row r="738" spans="1:13" x14ac:dyDescent="0.2">
      <c r="A738" s="21" t="s">
        <v>765</v>
      </c>
      <c r="B738" s="21" t="str">
        <f t="shared" si="77"/>
        <v>Friday</v>
      </c>
      <c r="C738" s="9">
        <f t="shared" si="78"/>
        <v>44414</v>
      </c>
      <c r="D738">
        <v>136.29499799999999</v>
      </c>
      <c r="E738">
        <v>137.08004800000001</v>
      </c>
      <c r="F738">
        <v>136.046494</v>
      </c>
      <c r="G738">
        <v>137.03599500000001</v>
      </c>
      <c r="H738">
        <v>13560000</v>
      </c>
      <c r="I738">
        <f t="shared" si="79"/>
        <v>0</v>
      </c>
      <c r="J738">
        <f t="shared" si="80"/>
        <v>0.1</v>
      </c>
      <c r="K738" t="str">
        <f t="shared" si="81"/>
        <v>Positive</v>
      </c>
      <c r="L738" s="10">
        <f t="shared" si="82"/>
        <v>7.0049478605983264E-4</v>
      </c>
      <c r="M738" t="str">
        <f t="shared" si="83"/>
        <v/>
      </c>
    </row>
    <row r="739" spans="1:13" x14ac:dyDescent="0.2">
      <c r="A739" s="21" t="s">
        <v>766</v>
      </c>
      <c r="B739" s="21" t="str">
        <f t="shared" si="77"/>
        <v>Monday</v>
      </c>
      <c r="C739" s="9">
        <f t="shared" si="78"/>
        <v>44417</v>
      </c>
      <c r="D739">
        <v>136.949005</v>
      </c>
      <c r="E739">
        <v>138.32150300000001</v>
      </c>
      <c r="F739">
        <v>136.42875699999999</v>
      </c>
      <c r="G739">
        <v>138.00199900000001</v>
      </c>
      <c r="H739">
        <v>12374000</v>
      </c>
      <c r="I739">
        <f t="shared" si="79"/>
        <v>0</v>
      </c>
      <c r="J739">
        <f t="shared" si="80"/>
        <v>0.97</v>
      </c>
      <c r="K739" t="str">
        <f t="shared" si="81"/>
        <v>Positive</v>
      </c>
      <c r="L739" s="10">
        <f t="shared" si="82"/>
        <v>6.9999275880054321E-3</v>
      </c>
      <c r="M739" t="str">
        <f t="shared" si="83"/>
        <v/>
      </c>
    </row>
    <row r="740" spans="1:13" x14ac:dyDescent="0.2">
      <c r="A740" s="21" t="s">
        <v>767</v>
      </c>
      <c r="B740" s="21" t="str">
        <f t="shared" si="77"/>
        <v>Tuesday</v>
      </c>
      <c r="C740" s="9">
        <f t="shared" si="78"/>
        <v>44418</v>
      </c>
      <c r="D740">
        <v>138.079498</v>
      </c>
      <c r="E740">
        <v>138.55149800000001</v>
      </c>
      <c r="F740">
        <v>137.22650100000001</v>
      </c>
      <c r="G740">
        <v>138.096497</v>
      </c>
      <c r="H740">
        <v>16034000</v>
      </c>
      <c r="I740">
        <f t="shared" si="79"/>
        <v>0</v>
      </c>
      <c r="J740">
        <f t="shared" si="80"/>
        <v>0.09</v>
      </c>
      <c r="K740" t="str">
        <f t="shared" si="81"/>
        <v>Positive</v>
      </c>
      <c r="L740" s="10">
        <f t="shared" si="82"/>
        <v>6.8428962394308462E-4</v>
      </c>
      <c r="M740" t="str">
        <f t="shared" si="83"/>
        <v/>
      </c>
    </row>
    <row r="741" spans="1:13" x14ac:dyDescent="0.2">
      <c r="A741" s="21" t="s">
        <v>768</v>
      </c>
      <c r="B741" s="21" t="str">
        <f t="shared" si="77"/>
        <v>Wednesday</v>
      </c>
      <c r="C741" s="9">
        <f t="shared" si="78"/>
        <v>44419</v>
      </c>
      <c r="D741">
        <v>138.283005</v>
      </c>
      <c r="E741">
        <v>138.847748</v>
      </c>
      <c r="F741">
        <v>137.35000600000001</v>
      </c>
      <c r="G741">
        <v>137.68949900000001</v>
      </c>
      <c r="H741">
        <v>15204000</v>
      </c>
      <c r="I741">
        <f t="shared" si="79"/>
        <v>0</v>
      </c>
      <c r="J741">
        <f t="shared" si="80"/>
        <v>-0.41</v>
      </c>
      <c r="K741" t="str">
        <f t="shared" si="81"/>
        <v>Negative</v>
      </c>
      <c r="L741" s="10">
        <f t="shared" si="82"/>
        <v>-2.9559116922924333E-3</v>
      </c>
      <c r="M741" t="str">
        <f t="shared" si="83"/>
        <v/>
      </c>
    </row>
    <row r="742" spans="1:13" x14ac:dyDescent="0.2">
      <c r="A742" s="21" t="s">
        <v>769</v>
      </c>
      <c r="B742" s="21" t="str">
        <f t="shared" si="77"/>
        <v>Thursday</v>
      </c>
      <c r="C742" s="9">
        <f t="shared" si="78"/>
        <v>44420</v>
      </c>
      <c r="D742">
        <v>137.712997</v>
      </c>
      <c r="E742">
        <v>138.41799900000001</v>
      </c>
      <c r="F742">
        <v>136.77900700000001</v>
      </c>
      <c r="G742">
        <v>138.38949600000001</v>
      </c>
      <c r="H742">
        <v>14646000</v>
      </c>
      <c r="I742">
        <f t="shared" si="79"/>
        <v>0</v>
      </c>
      <c r="J742">
        <f t="shared" si="80"/>
        <v>0.7</v>
      </c>
      <c r="K742" t="str">
        <f t="shared" si="81"/>
        <v>Positive</v>
      </c>
      <c r="L742" s="10">
        <f t="shared" si="82"/>
        <v>5.0581656862165045E-3</v>
      </c>
      <c r="M742" t="str">
        <f t="shared" si="83"/>
        <v/>
      </c>
    </row>
    <row r="743" spans="1:13" x14ac:dyDescent="0.2">
      <c r="A743" s="21" t="s">
        <v>770</v>
      </c>
      <c r="B743" s="21" t="str">
        <f t="shared" si="77"/>
        <v>Friday</v>
      </c>
      <c r="C743" s="9">
        <f t="shared" si="78"/>
        <v>44421</v>
      </c>
      <c r="D743">
        <v>138.35749799999999</v>
      </c>
      <c r="E743">
        <v>138.67399599999999</v>
      </c>
      <c r="F743">
        <v>138.00500500000001</v>
      </c>
      <c r="G743">
        <v>138.40600599999999</v>
      </c>
      <c r="H743">
        <v>12580000</v>
      </c>
      <c r="I743">
        <f t="shared" si="79"/>
        <v>0</v>
      </c>
      <c r="J743">
        <f t="shared" si="80"/>
        <v>0.02</v>
      </c>
      <c r="K743" t="str">
        <f t="shared" si="81"/>
        <v>Positive</v>
      </c>
      <c r="L743" s="10">
        <f t="shared" si="82"/>
        <v>1.1928673095286403E-4</v>
      </c>
      <c r="M743" t="str">
        <f t="shared" si="83"/>
        <v/>
      </c>
    </row>
    <row r="744" spans="1:13" x14ac:dyDescent="0.2">
      <c r="A744" s="21" t="s">
        <v>771</v>
      </c>
      <c r="B744" s="21" t="str">
        <f t="shared" si="77"/>
        <v>Monday</v>
      </c>
      <c r="C744" s="9">
        <f t="shared" si="78"/>
        <v>44424</v>
      </c>
      <c r="D744">
        <v>138</v>
      </c>
      <c r="E744">
        <v>138.99049400000001</v>
      </c>
      <c r="F744">
        <v>136.16575599999999</v>
      </c>
      <c r="G744">
        <v>138.916</v>
      </c>
      <c r="H744">
        <v>18040000</v>
      </c>
      <c r="I744">
        <f t="shared" si="79"/>
        <v>0</v>
      </c>
      <c r="J744">
        <f t="shared" si="80"/>
        <v>0.51</v>
      </c>
      <c r="K744" t="str">
        <f t="shared" si="81"/>
        <v>Positive</v>
      </c>
      <c r="L744" s="10">
        <f t="shared" si="82"/>
        <v>3.6712401739180949E-3</v>
      </c>
      <c r="M744" t="str">
        <f t="shared" si="83"/>
        <v/>
      </c>
    </row>
    <row r="745" spans="1:13" x14ac:dyDescent="0.2">
      <c r="A745" s="21" t="s">
        <v>772</v>
      </c>
      <c r="B745" s="21" t="str">
        <f t="shared" si="77"/>
        <v>Tuesday</v>
      </c>
      <c r="C745" s="9">
        <f t="shared" si="78"/>
        <v>44425</v>
      </c>
      <c r="D745">
        <v>138.19099399999999</v>
      </c>
      <c r="E745">
        <v>138.71850599999999</v>
      </c>
      <c r="F745">
        <v>136.78750600000001</v>
      </c>
      <c r="G745">
        <v>137.30050700000001</v>
      </c>
      <c r="H745">
        <v>21272000</v>
      </c>
      <c r="I745">
        <f t="shared" si="79"/>
        <v>0</v>
      </c>
      <c r="J745">
        <f t="shared" si="80"/>
        <v>-1.62</v>
      </c>
      <c r="K745" t="str">
        <f t="shared" si="81"/>
        <v>Negative</v>
      </c>
      <c r="L745" s="10">
        <f t="shared" si="82"/>
        <v>-1.1766110958352007E-2</v>
      </c>
      <c r="M745" t="str">
        <f t="shared" si="83"/>
        <v/>
      </c>
    </row>
    <row r="746" spans="1:13" x14ac:dyDescent="0.2">
      <c r="A746" s="21" t="s">
        <v>773</v>
      </c>
      <c r="B746" s="21" t="str">
        <f t="shared" si="77"/>
        <v>Wednesday</v>
      </c>
      <c r="C746" s="9">
        <f t="shared" si="78"/>
        <v>44426</v>
      </c>
      <c r="D746">
        <v>137.11549400000001</v>
      </c>
      <c r="E746">
        <v>138.294006</v>
      </c>
      <c r="F746">
        <v>136.42100500000001</v>
      </c>
      <c r="G746">
        <v>136.570007</v>
      </c>
      <c r="H746">
        <v>14934000</v>
      </c>
      <c r="I746">
        <f t="shared" si="79"/>
        <v>0</v>
      </c>
      <c r="J746">
        <f t="shared" si="80"/>
        <v>-0.73</v>
      </c>
      <c r="K746" t="str">
        <f t="shared" si="81"/>
        <v>Negative</v>
      </c>
      <c r="L746" s="10">
        <f t="shared" si="82"/>
        <v>-5.3489050491152598E-3</v>
      </c>
      <c r="M746" t="str">
        <f t="shared" si="83"/>
        <v/>
      </c>
    </row>
    <row r="747" spans="1:13" x14ac:dyDescent="0.2">
      <c r="A747" s="21" t="s">
        <v>774</v>
      </c>
      <c r="B747" s="21" t="str">
        <f t="shared" si="77"/>
        <v>Thursday</v>
      </c>
      <c r="C747" s="9">
        <f t="shared" si="78"/>
        <v>44427</v>
      </c>
      <c r="D747">
        <v>135.467499</v>
      </c>
      <c r="E747">
        <v>137.45199600000001</v>
      </c>
      <c r="F747">
        <v>135.35600299999999</v>
      </c>
      <c r="G747">
        <v>136.913498</v>
      </c>
      <c r="H747">
        <v>18296000</v>
      </c>
      <c r="I747">
        <f t="shared" si="79"/>
        <v>0</v>
      </c>
      <c r="J747">
        <f t="shared" si="80"/>
        <v>0.34</v>
      </c>
      <c r="K747" t="str">
        <f t="shared" si="81"/>
        <v>Positive</v>
      </c>
      <c r="L747" s="10">
        <f t="shared" si="82"/>
        <v>2.5088176477676451E-3</v>
      </c>
      <c r="M747" t="str">
        <f t="shared" si="83"/>
        <v/>
      </c>
    </row>
    <row r="748" spans="1:13" x14ac:dyDescent="0.2">
      <c r="A748" s="21" t="s">
        <v>775</v>
      </c>
      <c r="B748" s="21" t="str">
        <f t="shared" si="77"/>
        <v>Friday</v>
      </c>
      <c r="C748" s="9">
        <f t="shared" si="78"/>
        <v>44428</v>
      </c>
      <c r="D748">
        <v>137.08299299999999</v>
      </c>
      <c r="E748">
        <v>138.61450199999999</v>
      </c>
      <c r="F748">
        <v>136.466995</v>
      </c>
      <c r="G748">
        <v>138.43699599999999</v>
      </c>
      <c r="H748">
        <v>15564000</v>
      </c>
      <c r="I748">
        <f t="shared" si="79"/>
        <v>0</v>
      </c>
      <c r="J748">
        <f t="shared" si="80"/>
        <v>1.52</v>
      </c>
      <c r="K748" t="str">
        <f t="shared" si="81"/>
        <v>Positive</v>
      </c>
      <c r="L748" s="10">
        <f t="shared" si="82"/>
        <v>1.1004991758127932E-2</v>
      </c>
      <c r="M748" t="str">
        <f t="shared" si="83"/>
        <v/>
      </c>
    </row>
    <row r="749" spans="1:13" x14ac:dyDescent="0.2">
      <c r="A749" s="21" t="s">
        <v>776</v>
      </c>
      <c r="B749" s="21" t="str">
        <f t="shared" si="77"/>
        <v>Monday</v>
      </c>
      <c r="C749" s="9">
        <f t="shared" si="78"/>
        <v>44431</v>
      </c>
      <c r="D749">
        <v>138.99850499999999</v>
      </c>
      <c r="E749">
        <v>142.17700199999999</v>
      </c>
      <c r="F749">
        <v>138.74795499999999</v>
      </c>
      <c r="G749">
        <v>141.099503</v>
      </c>
      <c r="H749">
        <v>21090000</v>
      </c>
      <c r="I749">
        <f t="shared" si="79"/>
        <v>0</v>
      </c>
      <c r="J749">
        <f t="shared" si="80"/>
        <v>2.66</v>
      </c>
      <c r="K749" t="str">
        <f t="shared" si="81"/>
        <v>Positive</v>
      </c>
      <c r="L749" s="10">
        <f t="shared" si="82"/>
        <v>1.8869712106640128E-2</v>
      </c>
      <c r="M749" t="str">
        <f t="shared" si="83"/>
        <v/>
      </c>
    </row>
    <row r="750" spans="1:13" x14ac:dyDescent="0.2">
      <c r="A750" s="21" t="s">
        <v>777</v>
      </c>
      <c r="B750" s="21" t="str">
        <f t="shared" si="77"/>
        <v>Tuesday</v>
      </c>
      <c r="C750" s="9">
        <f t="shared" si="78"/>
        <v>44432</v>
      </c>
      <c r="D750">
        <v>141.54350299999999</v>
      </c>
      <c r="E750">
        <v>143.007507</v>
      </c>
      <c r="F750">
        <v>141.3535</v>
      </c>
      <c r="G750">
        <v>142.39849899999999</v>
      </c>
      <c r="H750">
        <v>15126000</v>
      </c>
      <c r="I750">
        <f t="shared" si="79"/>
        <v>0</v>
      </c>
      <c r="J750">
        <f t="shared" si="80"/>
        <v>1.3</v>
      </c>
      <c r="K750" t="str">
        <f t="shared" si="81"/>
        <v>Positive</v>
      </c>
      <c r="L750" s="10">
        <f t="shared" si="82"/>
        <v>9.1222590766212239E-3</v>
      </c>
      <c r="M750" t="str">
        <f t="shared" si="83"/>
        <v/>
      </c>
    </row>
    <row r="751" spans="1:13" x14ac:dyDescent="0.2">
      <c r="A751" s="21" t="s">
        <v>778</v>
      </c>
      <c r="B751" s="21" t="str">
        <f t="shared" si="77"/>
        <v>Wednesday</v>
      </c>
      <c r="C751" s="9">
        <f t="shared" si="78"/>
        <v>44433</v>
      </c>
      <c r="D751">
        <v>142.88299599999999</v>
      </c>
      <c r="E751">
        <v>143.31300400000001</v>
      </c>
      <c r="F751">
        <v>142.43949900000001</v>
      </c>
      <c r="G751">
        <v>142.949997</v>
      </c>
      <c r="H751">
        <v>12838000</v>
      </c>
      <c r="I751">
        <f t="shared" si="79"/>
        <v>0</v>
      </c>
      <c r="J751">
        <f t="shared" si="80"/>
        <v>0.55000000000000004</v>
      </c>
      <c r="K751" t="str">
        <f t="shared" si="81"/>
        <v>Positive</v>
      </c>
      <c r="L751" s="10">
        <f t="shared" si="82"/>
        <v>3.8579783950608224E-3</v>
      </c>
      <c r="M751" t="str">
        <f t="shared" si="83"/>
        <v/>
      </c>
    </row>
    <row r="752" spans="1:13" x14ac:dyDescent="0.2">
      <c r="A752" s="21" t="s">
        <v>779</v>
      </c>
      <c r="B752" s="21" t="str">
        <f t="shared" si="77"/>
        <v>Thursday</v>
      </c>
      <c r="C752" s="9">
        <f t="shared" si="78"/>
        <v>44434</v>
      </c>
      <c r="D752">
        <v>142.61850000000001</v>
      </c>
      <c r="E752">
        <v>143.13479599999999</v>
      </c>
      <c r="F752">
        <v>142.09150700000001</v>
      </c>
      <c r="G752">
        <v>142.12300099999999</v>
      </c>
      <c r="H752">
        <v>14922000</v>
      </c>
      <c r="I752">
        <f t="shared" si="79"/>
        <v>0</v>
      </c>
      <c r="J752">
        <f t="shared" si="80"/>
        <v>-0.83</v>
      </c>
      <c r="K752" t="str">
        <f t="shared" si="81"/>
        <v>Negative</v>
      </c>
      <c r="L752" s="10">
        <f t="shared" si="82"/>
        <v>-5.8188751587085353E-3</v>
      </c>
      <c r="M752" t="str">
        <f t="shared" si="83"/>
        <v/>
      </c>
    </row>
    <row r="753" spans="1:13" x14ac:dyDescent="0.2">
      <c r="A753" s="21" t="s">
        <v>780</v>
      </c>
      <c r="B753" s="21" t="str">
        <f t="shared" si="77"/>
        <v>Friday</v>
      </c>
      <c r="C753" s="9">
        <f t="shared" si="78"/>
        <v>44435</v>
      </c>
      <c r="D753">
        <v>142.112503</v>
      </c>
      <c r="E753">
        <v>145.01100199999999</v>
      </c>
      <c r="F753">
        <v>142.020004</v>
      </c>
      <c r="G753">
        <v>144.55050700000001</v>
      </c>
      <c r="H753">
        <v>24562000</v>
      </c>
      <c r="I753">
        <f t="shared" si="79"/>
        <v>0</v>
      </c>
      <c r="J753">
        <f t="shared" si="80"/>
        <v>2.4300000000000002</v>
      </c>
      <c r="K753" t="str">
        <f t="shared" si="81"/>
        <v>Positive</v>
      </c>
      <c r="L753" s="10">
        <f t="shared" si="82"/>
        <v>1.6793479665899908E-2</v>
      </c>
      <c r="M753" t="str">
        <f t="shared" si="83"/>
        <v/>
      </c>
    </row>
    <row r="754" spans="1:13" x14ac:dyDescent="0.2">
      <c r="A754" s="21" t="s">
        <v>781</v>
      </c>
      <c r="B754" s="21" t="str">
        <f t="shared" si="77"/>
        <v>Monday</v>
      </c>
      <c r="C754" s="9">
        <f t="shared" si="78"/>
        <v>44438</v>
      </c>
      <c r="D754">
        <v>144.704498</v>
      </c>
      <c r="E754">
        <v>146.48950199999999</v>
      </c>
      <c r="F754">
        <v>144.60000600000001</v>
      </c>
      <c r="G754">
        <v>145.46949799999999</v>
      </c>
      <c r="H754">
        <v>16916000</v>
      </c>
      <c r="I754">
        <f t="shared" si="79"/>
        <v>0</v>
      </c>
      <c r="J754">
        <f t="shared" si="80"/>
        <v>0.92</v>
      </c>
      <c r="K754" t="str">
        <f t="shared" si="81"/>
        <v>Positive</v>
      </c>
      <c r="L754" s="10">
        <f t="shared" si="82"/>
        <v>6.3174137027679654E-3</v>
      </c>
      <c r="M754" t="str">
        <f t="shared" si="83"/>
        <v/>
      </c>
    </row>
    <row r="755" spans="1:13" x14ac:dyDescent="0.2">
      <c r="A755" s="21" t="s">
        <v>782</v>
      </c>
      <c r="B755" s="21" t="str">
        <f t="shared" si="77"/>
        <v>Tuesday</v>
      </c>
      <c r="C755" s="9">
        <f t="shared" si="78"/>
        <v>44439</v>
      </c>
      <c r="D755">
        <v>145.88450599999999</v>
      </c>
      <c r="E755">
        <v>146.11199999999999</v>
      </c>
      <c r="F755">
        <v>145</v>
      </c>
      <c r="G755">
        <v>145.462006</v>
      </c>
      <c r="H755">
        <v>26756000</v>
      </c>
      <c r="I755">
        <f t="shared" si="79"/>
        <v>0</v>
      </c>
      <c r="J755">
        <f t="shared" si="80"/>
        <v>-0.01</v>
      </c>
      <c r="K755" t="str">
        <f t="shared" si="81"/>
        <v>Negative</v>
      </c>
      <c r="L755" s="10">
        <f t="shared" si="82"/>
        <v>-5.1504858251335784E-5</v>
      </c>
      <c r="M755" t="str">
        <f t="shared" si="83"/>
        <v/>
      </c>
    </row>
    <row r="756" spans="1:13" x14ac:dyDescent="0.2">
      <c r="A756" s="21" t="s">
        <v>783</v>
      </c>
      <c r="B756" s="21" t="str">
        <f t="shared" si="77"/>
        <v>Wednesday</v>
      </c>
      <c r="C756" s="9">
        <f t="shared" si="78"/>
        <v>44440</v>
      </c>
      <c r="D756">
        <v>145.64999399999999</v>
      </c>
      <c r="E756">
        <v>146.82049599999999</v>
      </c>
      <c r="F756">
        <v>145.61450199999999</v>
      </c>
      <c r="G756">
        <v>145.841995</v>
      </c>
      <c r="H756">
        <v>15824000</v>
      </c>
      <c r="I756">
        <f t="shared" si="79"/>
        <v>0</v>
      </c>
      <c r="J756">
        <f t="shared" si="80"/>
        <v>0.38</v>
      </c>
      <c r="K756" t="str">
        <f t="shared" si="81"/>
        <v>Positive</v>
      </c>
      <c r="L756" s="10">
        <f t="shared" si="82"/>
        <v>2.6054841062753895E-3</v>
      </c>
      <c r="M756" t="str">
        <f t="shared" si="83"/>
        <v/>
      </c>
    </row>
    <row r="757" spans="1:13" x14ac:dyDescent="0.2">
      <c r="A757" s="21" t="s">
        <v>784</v>
      </c>
      <c r="B757" s="21" t="str">
        <f t="shared" si="77"/>
        <v>Thursday</v>
      </c>
      <c r="C757" s="9">
        <f t="shared" si="78"/>
        <v>44441</v>
      </c>
      <c r="D757">
        <v>145.94949299999999</v>
      </c>
      <c r="E757">
        <v>146.324997</v>
      </c>
      <c r="F757">
        <v>144.106506</v>
      </c>
      <c r="G757">
        <v>144.21899400000001</v>
      </c>
      <c r="H757">
        <v>21844000</v>
      </c>
      <c r="I757">
        <f t="shared" si="79"/>
        <v>0</v>
      </c>
      <c r="J757">
        <f t="shared" si="80"/>
        <v>-1.62</v>
      </c>
      <c r="K757" t="str">
        <f t="shared" si="81"/>
        <v>Negative</v>
      </c>
      <c r="L757" s="10">
        <f t="shared" si="82"/>
        <v>-1.1253725705505807E-2</v>
      </c>
      <c r="M757" t="str">
        <f t="shared" si="83"/>
        <v/>
      </c>
    </row>
    <row r="758" spans="1:13" x14ac:dyDescent="0.2">
      <c r="A758" s="21" t="s">
        <v>785</v>
      </c>
      <c r="B758" s="21" t="str">
        <f t="shared" si="77"/>
        <v>Friday</v>
      </c>
      <c r="C758" s="9">
        <f t="shared" si="78"/>
        <v>44442</v>
      </c>
      <c r="D758">
        <v>144.145996</v>
      </c>
      <c r="E758">
        <v>145.37699900000001</v>
      </c>
      <c r="F758">
        <v>143.50500500000001</v>
      </c>
      <c r="G758">
        <v>144.77499399999999</v>
      </c>
      <c r="H758">
        <v>19104000</v>
      </c>
      <c r="I758">
        <f t="shared" si="79"/>
        <v>0</v>
      </c>
      <c r="J758">
        <f t="shared" si="80"/>
        <v>0.56000000000000005</v>
      </c>
      <c r="K758" t="str">
        <f t="shared" si="81"/>
        <v>Positive</v>
      </c>
      <c r="L758" s="10">
        <f t="shared" si="82"/>
        <v>3.8404422244354103E-3</v>
      </c>
      <c r="M758" t="str">
        <f t="shared" si="83"/>
        <v/>
      </c>
    </row>
    <row r="759" spans="1:13" x14ac:dyDescent="0.2">
      <c r="A759" s="21" t="s">
        <v>786</v>
      </c>
      <c r="B759" s="21" t="str">
        <f t="shared" si="77"/>
        <v>Tuesday</v>
      </c>
      <c r="C759" s="9">
        <f t="shared" si="78"/>
        <v>44446</v>
      </c>
      <c r="D759">
        <v>144.74949599999999</v>
      </c>
      <c r="E759">
        <v>145.824005</v>
      </c>
      <c r="F759">
        <v>144.541</v>
      </c>
      <c r="G759">
        <v>145.51899700000001</v>
      </c>
      <c r="H759">
        <v>15170000</v>
      </c>
      <c r="I759">
        <f t="shared" si="79"/>
        <v>0</v>
      </c>
      <c r="J759">
        <f t="shared" si="80"/>
        <v>0.74</v>
      </c>
      <c r="K759" t="str">
        <f t="shared" si="81"/>
        <v>Positive</v>
      </c>
      <c r="L759" s="10">
        <f t="shared" si="82"/>
        <v>5.1127551408289363E-3</v>
      </c>
      <c r="M759" t="str">
        <f t="shared" si="83"/>
        <v/>
      </c>
    </row>
    <row r="760" spans="1:13" x14ac:dyDescent="0.2">
      <c r="A760" s="21" t="s">
        <v>787</v>
      </c>
      <c r="B760" s="21" t="str">
        <f t="shared" si="77"/>
        <v>Wednesday</v>
      </c>
      <c r="C760" s="9">
        <f t="shared" si="78"/>
        <v>44447</v>
      </c>
      <c r="D760">
        <v>145.393494</v>
      </c>
      <c r="E760">
        <v>145.550995</v>
      </c>
      <c r="F760">
        <v>144.199997</v>
      </c>
      <c r="G760">
        <v>144.883499</v>
      </c>
      <c r="H760">
        <v>15486000</v>
      </c>
      <c r="I760">
        <f t="shared" si="79"/>
        <v>0</v>
      </c>
      <c r="J760">
        <f t="shared" si="80"/>
        <v>-0.64</v>
      </c>
      <c r="K760" t="str">
        <f t="shared" si="81"/>
        <v>Negative</v>
      </c>
      <c r="L760" s="10">
        <f t="shared" si="82"/>
        <v>-4.3862689981004153E-3</v>
      </c>
      <c r="M760" t="str">
        <f t="shared" si="83"/>
        <v/>
      </c>
    </row>
    <row r="761" spans="1:13" x14ac:dyDescent="0.2">
      <c r="A761" s="21" t="s">
        <v>788</v>
      </c>
      <c r="B761" s="21" t="str">
        <f t="shared" si="77"/>
        <v>Thursday</v>
      </c>
      <c r="C761" s="9">
        <f t="shared" si="78"/>
        <v>44448</v>
      </c>
      <c r="D761">
        <v>144.883499</v>
      </c>
      <c r="E761">
        <v>145.66949500000001</v>
      </c>
      <c r="F761">
        <v>144.43400600000001</v>
      </c>
      <c r="G761">
        <v>144.913498</v>
      </c>
      <c r="H761">
        <v>14798000</v>
      </c>
      <c r="I761">
        <f t="shared" si="79"/>
        <v>0</v>
      </c>
      <c r="J761">
        <f t="shared" si="80"/>
        <v>0.03</v>
      </c>
      <c r="K761" t="str">
        <f t="shared" si="81"/>
        <v>Positive</v>
      </c>
      <c r="L761" s="10">
        <f t="shared" si="82"/>
        <v>2.0701315208058576E-4</v>
      </c>
      <c r="M761" t="str">
        <f t="shared" si="83"/>
        <v/>
      </c>
    </row>
    <row r="762" spans="1:13" x14ac:dyDescent="0.2">
      <c r="A762" s="21" t="s">
        <v>789</v>
      </c>
      <c r="B762" s="21" t="str">
        <f t="shared" si="77"/>
        <v>Friday</v>
      </c>
      <c r="C762" s="9">
        <f t="shared" si="78"/>
        <v>44449</v>
      </c>
      <c r="D762">
        <v>145.44349700000001</v>
      </c>
      <c r="E762">
        <v>146.01899700000001</v>
      </c>
      <c r="F762">
        <v>141.741501</v>
      </c>
      <c r="G762">
        <v>141.92100500000001</v>
      </c>
      <c r="H762">
        <v>32896000</v>
      </c>
      <c r="I762">
        <f t="shared" si="79"/>
        <v>0</v>
      </c>
      <c r="J762">
        <f t="shared" si="80"/>
        <v>-2.99</v>
      </c>
      <c r="K762" t="str">
        <f t="shared" si="81"/>
        <v>Negative</v>
      </c>
      <c r="L762" s="10">
        <f t="shared" si="82"/>
        <v>-2.1085624358423871E-2</v>
      </c>
      <c r="M762" t="str">
        <f t="shared" si="83"/>
        <v/>
      </c>
    </row>
    <row r="763" spans="1:13" x14ac:dyDescent="0.2">
      <c r="A763" s="21" t="s">
        <v>790</v>
      </c>
      <c r="B763" s="21" t="str">
        <f t="shared" si="77"/>
        <v>Monday</v>
      </c>
      <c r="C763" s="9">
        <f t="shared" si="78"/>
        <v>44452</v>
      </c>
      <c r="D763">
        <v>143.20100400000001</v>
      </c>
      <c r="E763">
        <v>144.19099399999999</v>
      </c>
      <c r="F763">
        <v>142.282501</v>
      </c>
      <c r="G763">
        <v>143.46499600000001</v>
      </c>
      <c r="H763">
        <v>20176000</v>
      </c>
      <c r="I763">
        <f t="shared" si="79"/>
        <v>0</v>
      </c>
      <c r="J763">
        <f t="shared" si="80"/>
        <v>1.54</v>
      </c>
      <c r="K763" t="str">
        <f t="shared" si="81"/>
        <v>Positive</v>
      </c>
      <c r="L763" s="10">
        <f t="shared" si="82"/>
        <v>1.0762144377015876E-2</v>
      </c>
      <c r="M763" t="str">
        <f t="shared" si="83"/>
        <v/>
      </c>
    </row>
    <row r="764" spans="1:13" x14ac:dyDescent="0.2">
      <c r="A764" s="21" t="s">
        <v>791</v>
      </c>
      <c r="B764" s="21" t="str">
        <f t="shared" si="77"/>
        <v>Tuesday</v>
      </c>
      <c r="C764" s="9">
        <f t="shared" si="78"/>
        <v>44453</v>
      </c>
      <c r="D764">
        <v>144.16099500000001</v>
      </c>
      <c r="E764">
        <v>144.72749300000001</v>
      </c>
      <c r="F764">
        <v>142.90550200000001</v>
      </c>
      <c r="G764">
        <v>143.40600599999999</v>
      </c>
      <c r="H764">
        <v>18916000</v>
      </c>
      <c r="I764">
        <f t="shared" si="79"/>
        <v>0</v>
      </c>
      <c r="J764">
        <f t="shared" si="80"/>
        <v>-0.06</v>
      </c>
      <c r="K764" t="str">
        <f t="shared" si="81"/>
        <v>Negative</v>
      </c>
      <c r="L764" s="10">
        <f t="shared" si="82"/>
        <v>-4.1134957764616043E-4</v>
      </c>
      <c r="M764" t="str">
        <f t="shared" si="83"/>
        <v/>
      </c>
    </row>
    <row r="765" spans="1:13" x14ac:dyDescent="0.2">
      <c r="A765" s="21" t="s">
        <v>792</v>
      </c>
      <c r="B765" s="21" t="str">
        <f t="shared" si="77"/>
        <v>Wednesday</v>
      </c>
      <c r="C765" s="9">
        <f t="shared" si="78"/>
        <v>44454</v>
      </c>
      <c r="D765">
        <v>143.75900300000001</v>
      </c>
      <c r="E765">
        <v>145.58149700000001</v>
      </c>
      <c r="F765">
        <v>142.25599700000001</v>
      </c>
      <c r="G765">
        <v>145.205994</v>
      </c>
      <c r="H765">
        <v>20648000</v>
      </c>
      <c r="I765">
        <f t="shared" si="79"/>
        <v>0</v>
      </c>
      <c r="J765">
        <f t="shared" si="80"/>
        <v>1.8</v>
      </c>
      <c r="K765" t="str">
        <f t="shared" si="81"/>
        <v>Positive</v>
      </c>
      <c r="L765" s="10">
        <f t="shared" si="82"/>
        <v>1.2396099846952689E-2</v>
      </c>
      <c r="M765" t="str">
        <f t="shared" si="83"/>
        <v/>
      </c>
    </row>
    <row r="766" spans="1:13" x14ac:dyDescent="0.2">
      <c r="A766" s="21" t="s">
        <v>793</v>
      </c>
      <c r="B766" s="21" t="str">
        <f t="shared" si="77"/>
        <v>Thursday</v>
      </c>
      <c r="C766" s="9">
        <f t="shared" si="78"/>
        <v>44455</v>
      </c>
      <c r="D766">
        <v>145.121002</v>
      </c>
      <c r="E766">
        <v>145.199997</v>
      </c>
      <c r="F766">
        <v>143.41635099999999</v>
      </c>
      <c r="G766">
        <v>144.37350499999999</v>
      </c>
      <c r="H766">
        <v>20292000</v>
      </c>
      <c r="I766">
        <f t="shared" si="79"/>
        <v>0</v>
      </c>
      <c r="J766">
        <f t="shared" si="80"/>
        <v>-0.83</v>
      </c>
      <c r="K766" t="str">
        <f t="shared" si="81"/>
        <v>Negative</v>
      </c>
      <c r="L766" s="10">
        <f t="shared" si="82"/>
        <v>-5.7662172848128163E-3</v>
      </c>
      <c r="M766" t="str">
        <f t="shared" si="83"/>
        <v/>
      </c>
    </row>
    <row r="767" spans="1:13" x14ac:dyDescent="0.2">
      <c r="A767" s="21" t="s">
        <v>794</v>
      </c>
      <c r="B767" s="21" t="str">
        <f t="shared" si="77"/>
        <v>Friday</v>
      </c>
      <c r="C767" s="9">
        <f t="shared" si="78"/>
        <v>44456</v>
      </c>
      <c r="D767">
        <v>143.79849200000001</v>
      </c>
      <c r="E767">
        <v>144.24949599999999</v>
      </c>
      <c r="F767">
        <v>141.06149300000001</v>
      </c>
      <c r="G767">
        <v>141.46350100000001</v>
      </c>
      <c r="H767">
        <v>60040000</v>
      </c>
      <c r="I767">
        <f t="shared" si="79"/>
        <v>0</v>
      </c>
      <c r="J767">
        <f t="shared" si="80"/>
        <v>-2.91</v>
      </c>
      <c r="K767" t="str">
        <f t="shared" si="81"/>
        <v>Negative</v>
      </c>
      <c r="L767" s="10">
        <f t="shared" si="82"/>
        <v>-2.0570705372264089E-2</v>
      </c>
      <c r="M767" t="str">
        <f t="shared" si="83"/>
        <v/>
      </c>
    </row>
    <row r="768" spans="1:13" x14ac:dyDescent="0.2">
      <c r="A768" s="21" t="s">
        <v>795</v>
      </c>
      <c r="B768" s="21" t="str">
        <f t="shared" si="77"/>
        <v>Monday</v>
      </c>
      <c r="C768" s="9">
        <f t="shared" si="78"/>
        <v>44459</v>
      </c>
      <c r="D768">
        <v>139.00019800000001</v>
      </c>
      <c r="E768">
        <v>139.362503</v>
      </c>
      <c r="F768">
        <v>137.05299400000001</v>
      </c>
      <c r="G768">
        <v>139.016998</v>
      </c>
      <c r="H768">
        <v>34918000</v>
      </c>
      <c r="I768">
        <f t="shared" si="79"/>
        <v>0</v>
      </c>
      <c r="J768">
        <f t="shared" si="80"/>
        <v>-2.4500000000000002</v>
      </c>
      <c r="K768" t="str">
        <f t="shared" si="81"/>
        <v>Negative</v>
      </c>
      <c r="L768" s="10">
        <f t="shared" si="82"/>
        <v>-1.7598588915004529E-2</v>
      </c>
      <c r="M768" t="str">
        <f t="shared" si="83"/>
        <v/>
      </c>
    </row>
    <row r="769" spans="1:13" x14ac:dyDescent="0.2">
      <c r="A769" s="21" t="s">
        <v>796</v>
      </c>
      <c r="B769" s="21" t="str">
        <f t="shared" si="77"/>
        <v>Tuesday</v>
      </c>
      <c r="C769" s="9">
        <f t="shared" si="78"/>
        <v>44460</v>
      </c>
      <c r="D769">
        <v>140.11700400000001</v>
      </c>
      <c r="E769">
        <v>140.8116</v>
      </c>
      <c r="F769">
        <v>138.90550200000001</v>
      </c>
      <c r="G769">
        <v>139.6465</v>
      </c>
      <c r="H769">
        <v>18130000</v>
      </c>
      <c r="I769">
        <f t="shared" si="79"/>
        <v>0</v>
      </c>
      <c r="J769">
        <f t="shared" si="80"/>
        <v>0.63</v>
      </c>
      <c r="K769" t="str">
        <f t="shared" si="81"/>
        <v>Positive</v>
      </c>
      <c r="L769" s="10">
        <f t="shared" si="82"/>
        <v>4.5078251155596608E-3</v>
      </c>
      <c r="M769" t="str">
        <f t="shared" si="83"/>
        <v/>
      </c>
    </row>
    <row r="770" spans="1:13" x14ac:dyDescent="0.2">
      <c r="A770" s="21" t="s">
        <v>797</v>
      </c>
      <c r="B770" s="21" t="str">
        <f t="shared" si="77"/>
        <v>Wednesday</v>
      </c>
      <c r="C770" s="9">
        <f t="shared" si="78"/>
        <v>44461</v>
      </c>
      <c r="D770">
        <v>140.05050700000001</v>
      </c>
      <c r="E770">
        <v>141.583496</v>
      </c>
      <c r="F770">
        <v>139.471756</v>
      </c>
      <c r="G770">
        <v>140.93850699999999</v>
      </c>
      <c r="H770">
        <v>22068000</v>
      </c>
      <c r="I770">
        <f t="shared" si="79"/>
        <v>0</v>
      </c>
      <c r="J770">
        <f t="shared" si="80"/>
        <v>1.29</v>
      </c>
      <c r="K770" t="str">
        <f t="shared" si="81"/>
        <v>Positive</v>
      </c>
      <c r="L770" s="10">
        <f t="shared" si="82"/>
        <v>9.1671682033639262E-3</v>
      </c>
      <c r="M770" t="str">
        <f t="shared" si="83"/>
        <v/>
      </c>
    </row>
    <row r="771" spans="1:13" x14ac:dyDescent="0.2">
      <c r="A771" s="21" t="s">
        <v>798</v>
      </c>
      <c r="B771" s="21" t="str">
        <f t="shared" ref="B771:B834" si="84">LEFT(A771,SEARCH(",",A771)-1)</f>
        <v>Thursday</v>
      </c>
      <c r="C771" s="9">
        <f t="shared" ref="C771:C834" si="85">DATEVALUE(RIGHT(A771,LEN(A771) - SEARCH(",",A771)))</f>
        <v>44462</v>
      </c>
      <c r="D771">
        <v>141.609497</v>
      </c>
      <c r="E771">
        <v>142.25245699999999</v>
      </c>
      <c r="F771">
        <v>141.096497</v>
      </c>
      <c r="G771">
        <v>141.82650799999999</v>
      </c>
      <c r="H771">
        <v>17272000</v>
      </c>
      <c r="I771">
        <f t="shared" ref="I771:I834" si="86">COUNTBLANK(A771:H771)</f>
        <v>0</v>
      </c>
      <c r="J771">
        <f t="shared" ref="J771:J834" si="87">ROUND(IF(ISNUMBER(G770),G771-G770,0),2)</f>
        <v>0.89</v>
      </c>
      <c r="K771" t="str">
        <f t="shared" ref="K771:K834" si="88">IF(J771=0,"Neutral",IF(J771&gt;0,"Positive","Negative"))</f>
        <v>Positive</v>
      </c>
      <c r="L771" s="10">
        <f t="shared" ref="L771:L834" si="89">IF(ISNUMBER(G770),((G771-G770)/G771),0)</f>
        <v>6.2611779174595681E-3</v>
      </c>
      <c r="M771" t="str">
        <f t="shared" ref="M771:M834" si="90">IF(L771&gt;0.05,L771,"")</f>
        <v/>
      </c>
    </row>
    <row r="772" spans="1:13" x14ac:dyDescent="0.2">
      <c r="A772" s="21" t="s">
        <v>799</v>
      </c>
      <c r="B772" s="21" t="str">
        <f t="shared" si="84"/>
        <v>Friday</v>
      </c>
      <c r="C772" s="9">
        <f t="shared" si="85"/>
        <v>44463</v>
      </c>
      <c r="D772">
        <v>140.945999</v>
      </c>
      <c r="E772">
        <v>142.903503</v>
      </c>
      <c r="F772">
        <v>140.850494</v>
      </c>
      <c r="G772">
        <v>142.63299599999999</v>
      </c>
      <c r="H772">
        <v>14950000</v>
      </c>
      <c r="I772">
        <f t="shared" si="86"/>
        <v>0</v>
      </c>
      <c r="J772">
        <f t="shared" si="87"/>
        <v>0.81</v>
      </c>
      <c r="K772" t="str">
        <f t="shared" si="88"/>
        <v>Positive</v>
      </c>
      <c r="L772" s="10">
        <f t="shared" si="89"/>
        <v>5.6542877357775032E-3</v>
      </c>
      <c r="M772" t="str">
        <f t="shared" si="90"/>
        <v/>
      </c>
    </row>
    <row r="773" spans="1:13" x14ac:dyDescent="0.2">
      <c r="A773" s="21" t="s">
        <v>800</v>
      </c>
      <c r="B773" s="21" t="str">
        <f t="shared" si="84"/>
        <v>Monday</v>
      </c>
      <c r="C773" s="9">
        <f t="shared" si="85"/>
        <v>44466</v>
      </c>
      <c r="D773">
        <v>141.58549500000001</v>
      </c>
      <c r="E773">
        <v>142.5</v>
      </c>
      <c r="F773">
        <v>140.5</v>
      </c>
      <c r="G773">
        <v>141.50100699999999</v>
      </c>
      <c r="H773">
        <v>18844000</v>
      </c>
      <c r="I773">
        <f t="shared" si="86"/>
        <v>0</v>
      </c>
      <c r="J773">
        <f t="shared" si="87"/>
        <v>-1.1299999999999999</v>
      </c>
      <c r="K773" t="str">
        <f t="shared" si="88"/>
        <v>Negative</v>
      </c>
      <c r="L773" s="10">
        <f t="shared" si="89"/>
        <v>-7.9998653295803353E-3</v>
      </c>
      <c r="M773" t="str">
        <f t="shared" si="90"/>
        <v/>
      </c>
    </row>
    <row r="774" spans="1:13" x14ac:dyDescent="0.2">
      <c r="A774" s="21" t="s">
        <v>801</v>
      </c>
      <c r="B774" s="21" t="str">
        <f t="shared" si="84"/>
        <v>Tuesday</v>
      </c>
      <c r="C774" s="9">
        <f t="shared" si="85"/>
        <v>44467</v>
      </c>
      <c r="D774">
        <v>139.08850100000001</v>
      </c>
      <c r="E774">
        <v>139.606506</v>
      </c>
      <c r="F774">
        <v>135.699997</v>
      </c>
      <c r="G774">
        <v>136.18400600000001</v>
      </c>
      <c r="H774">
        <v>42190000</v>
      </c>
      <c r="I774">
        <f t="shared" si="86"/>
        <v>0</v>
      </c>
      <c r="J774">
        <f t="shared" si="87"/>
        <v>-5.32</v>
      </c>
      <c r="K774" t="str">
        <f t="shared" si="88"/>
        <v>Negative</v>
      </c>
      <c r="L774" s="10">
        <f t="shared" si="89"/>
        <v>-3.9042771292834316E-2</v>
      </c>
      <c r="M774" t="str">
        <f t="shared" si="90"/>
        <v/>
      </c>
    </row>
    <row r="775" spans="1:13" x14ac:dyDescent="0.2">
      <c r="A775" s="21" t="s">
        <v>802</v>
      </c>
      <c r="B775" s="21" t="str">
        <f t="shared" si="84"/>
        <v>Wednesday</v>
      </c>
      <c r="C775" s="9">
        <f t="shared" si="85"/>
        <v>44468</v>
      </c>
      <c r="D775">
        <v>137.10969499999999</v>
      </c>
      <c r="E775">
        <v>137.39849899999999</v>
      </c>
      <c r="F775">
        <v>134.25</v>
      </c>
      <c r="G775">
        <v>134.520996</v>
      </c>
      <c r="H775">
        <v>26338000</v>
      </c>
      <c r="I775">
        <f t="shared" si="86"/>
        <v>0</v>
      </c>
      <c r="J775">
        <f t="shared" si="87"/>
        <v>-1.66</v>
      </c>
      <c r="K775" t="str">
        <f t="shared" si="88"/>
        <v>Negative</v>
      </c>
      <c r="L775" s="10">
        <f t="shared" si="89"/>
        <v>-1.2362456787043221E-2</v>
      </c>
      <c r="M775" t="str">
        <f t="shared" si="90"/>
        <v/>
      </c>
    </row>
    <row r="776" spans="1:13" x14ac:dyDescent="0.2">
      <c r="A776" s="21" t="s">
        <v>803</v>
      </c>
      <c r="B776" s="21" t="str">
        <f t="shared" si="84"/>
        <v>Thursday</v>
      </c>
      <c r="C776" s="9">
        <f t="shared" si="85"/>
        <v>44469</v>
      </c>
      <c r="D776">
        <v>134.324997</v>
      </c>
      <c r="E776">
        <v>135.58999600000001</v>
      </c>
      <c r="F776">
        <v>133</v>
      </c>
      <c r="G776">
        <v>133.265503</v>
      </c>
      <c r="H776">
        <v>35294000</v>
      </c>
      <c r="I776">
        <f t="shared" si="86"/>
        <v>0</v>
      </c>
      <c r="J776">
        <f t="shared" si="87"/>
        <v>-1.26</v>
      </c>
      <c r="K776" t="str">
        <f t="shared" si="88"/>
        <v>Negative</v>
      </c>
      <c r="L776" s="10">
        <f t="shared" si="89"/>
        <v>-9.4209902168005278E-3</v>
      </c>
      <c r="M776" t="str">
        <f t="shared" si="90"/>
        <v/>
      </c>
    </row>
    <row r="777" spans="1:13" x14ac:dyDescent="0.2">
      <c r="A777" s="21" t="s">
        <v>804</v>
      </c>
      <c r="B777" s="21" t="str">
        <f t="shared" si="84"/>
        <v>Friday</v>
      </c>
      <c r="C777" s="9">
        <f t="shared" si="85"/>
        <v>44470</v>
      </c>
      <c r="D777">
        <v>133.55450400000001</v>
      </c>
      <c r="E777">
        <v>137.070999</v>
      </c>
      <c r="F777">
        <v>133.37750199999999</v>
      </c>
      <c r="G777">
        <v>136.46249399999999</v>
      </c>
      <c r="H777">
        <v>28388000</v>
      </c>
      <c r="I777">
        <f t="shared" si="86"/>
        <v>0</v>
      </c>
      <c r="J777">
        <f t="shared" si="87"/>
        <v>3.2</v>
      </c>
      <c r="K777" t="str">
        <f t="shared" si="88"/>
        <v>Positive</v>
      </c>
      <c r="L777" s="10">
        <f t="shared" si="89"/>
        <v>2.3427616675392119E-2</v>
      </c>
      <c r="M777" t="str">
        <f t="shared" si="90"/>
        <v/>
      </c>
    </row>
    <row r="778" spans="1:13" x14ac:dyDescent="0.2">
      <c r="A778" s="21" t="s">
        <v>805</v>
      </c>
      <c r="B778" s="21" t="str">
        <f t="shared" si="84"/>
        <v>Monday</v>
      </c>
      <c r="C778" s="9">
        <f t="shared" si="85"/>
        <v>44473</v>
      </c>
      <c r="D778">
        <v>135.69949299999999</v>
      </c>
      <c r="E778">
        <v>135.699997</v>
      </c>
      <c r="F778">
        <v>131.166504</v>
      </c>
      <c r="G778">
        <v>133.76499899999999</v>
      </c>
      <c r="H778">
        <v>31530000</v>
      </c>
      <c r="I778">
        <f t="shared" si="86"/>
        <v>0</v>
      </c>
      <c r="J778">
        <f t="shared" si="87"/>
        <v>-2.7</v>
      </c>
      <c r="K778" t="str">
        <f t="shared" si="88"/>
        <v>Negative</v>
      </c>
      <c r="L778" s="10">
        <f t="shared" si="89"/>
        <v>-2.0165925467543297E-2</v>
      </c>
      <c r="M778" t="str">
        <f t="shared" si="90"/>
        <v/>
      </c>
    </row>
    <row r="779" spans="1:13" x14ac:dyDescent="0.2">
      <c r="A779" s="21" t="s">
        <v>806</v>
      </c>
      <c r="B779" s="21" t="str">
        <f t="shared" si="84"/>
        <v>Tuesday</v>
      </c>
      <c r="C779" s="9">
        <f t="shared" si="85"/>
        <v>44474</v>
      </c>
      <c r="D779">
        <v>134</v>
      </c>
      <c r="E779">
        <v>137.36199999999999</v>
      </c>
      <c r="F779">
        <v>134</v>
      </c>
      <c r="G779">
        <v>136.17700199999999</v>
      </c>
      <c r="H779">
        <v>24126000</v>
      </c>
      <c r="I779">
        <f t="shared" si="86"/>
        <v>0</v>
      </c>
      <c r="J779">
        <f t="shared" si="87"/>
        <v>2.41</v>
      </c>
      <c r="K779" t="str">
        <f t="shared" si="88"/>
        <v>Positive</v>
      </c>
      <c r="L779" s="10">
        <f t="shared" si="89"/>
        <v>1.771226392544608E-2</v>
      </c>
      <c r="M779" t="str">
        <f t="shared" si="90"/>
        <v/>
      </c>
    </row>
    <row r="780" spans="1:13" x14ac:dyDescent="0.2">
      <c r="A780" s="21" t="s">
        <v>807</v>
      </c>
      <c r="B780" s="21" t="str">
        <f t="shared" si="84"/>
        <v>Wednesday</v>
      </c>
      <c r="C780" s="9">
        <f t="shared" si="85"/>
        <v>44475</v>
      </c>
      <c r="D780">
        <v>134.62550400000001</v>
      </c>
      <c r="E780">
        <v>137.85200499999999</v>
      </c>
      <c r="F780">
        <v>134.48649599999999</v>
      </c>
      <c r="G780">
        <v>137.354004</v>
      </c>
      <c r="H780">
        <v>19764000</v>
      </c>
      <c r="I780">
        <f t="shared" si="86"/>
        <v>0</v>
      </c>
      <c r="J780">
        <f t="shared" si="87"/>
        <v>1.18</v>
      </c>
      <c r="K780" t="str">
        <f t="shared" si="88"/>
        <v>Positive</v>
      </c>
      <c r="L780" s="10">
        <f t="shared" si="89"/>
        <v>8.5691131363015514E-3</v>
      </c>
      <c r="M780" t="str">
        <f t="shared" si="90"/>
        <v/>
      </c>
    </row>
    <row r="781" spans="1:13" x14ac:dyDescent="0.2">
      <c r="A781" s="21" t="s">
        <v>808</v>
      </c>
      <c r="B781" s="21" t="str">
        <f t="shared" si="84"/>
        <v>Thursday</v>
      </c>
      <c r="C781" s="9">
        <f t="shared" si="85"/>
        <v>44476</v>
      </c>
      <c r="D781">
        <v>138.86300700000001</v>
      </c>
      <c r="E781">
        <v>140.154449</v>
      </c>
      <c r="F781">
        <v>138.56300400000001</v>
      </c>
      <c r="G781">
        <v>139.18550099999999</v>
      </c>
      <c r="H781">
        <v>18250000</v>
      </c>
      <c r="I781">
        <f t="shared" si="86"/>
        <v>0</v>
      </c>
      <c r="J781">
        <f t="shared" si="87"/>
        <v>1.83</v>
      </c>
      <c r="K781" t="str">
        <f t="shared" si="88"/>
        <v>Positive</v>
      </c>
      <c r="L781" s="10">
        <f t="shared" si="89"/>
        <v>1.3158676635434784E-2</v>
      </c>
      <c r="M781" t="str">
        <f t="shared" si="90"/>
        <v/>
      </c>
    </row>
    <row r="782" spans="1:13" x14ac:dyDescent="0.2">
      <c r="A782" s="21" t="s">
        <v>809</v>
      </c>
      <c r="B782" s="21" t="str">
        <f t="shared" si="84"/>
        <v>Friday</v>
      </c>
      <c r="C782" s="9">
        <f t="shared" si="85"/>
        <v>44477</v>
      </c>
      <c r="D782">
        <v>139.90600599999999</v>
      </c>
      <c r="E782">
        <v>140.317001</v>
      </c>
      <c r="F782">
        <v>139.42935199999999</v>
      </c>
      <c r="G782">
        <v>140.05600000000001</v>
      </c>
      <c r="H782">
        <v>18924000</v>
      </c>
      <c r="I782">
        <f t="shared" si="86"/>
        <v>0</v>
      </c>
      <c r="J782">
        <f t="shared" si="87"/>
        <v>0.87</v>
      </c>
      <c r="K782" t="str">
        <f t="shared" si="88"/>
        <v>Positive</v>
      </c>
      <c r="L782" s="10">
        <f t="shared" si="89"/>
        <v>6.2153638544583849E-3</v>
      </c>
      <c r="M782" t="str">
        <f t="shared" si="90"/>
        <v/>
      </c>
    </row>
    <row r="783" spans="1:13" x14ac:dyDescent="0.2">
      <c r="A783" s="21" t="s">
        <v>810</v>
      </c>
      <c r="B783" s="21" t="str">
        <f t="shared" si="84"/>
        <v>Monday</v>
      </c>
      <c r="C783" s="9">
        <f t="shared" si="85"/>
        <v>44480</v>
      </c>
      <c r="D783">
        <v>139.800003</v>
      </c>
      <c r="E783">
        <v>140.76365699999999</v>
      </c>
      <c r="F783">
        <v>138.80650299999999</v>
      </c>
      <c r="G783">
        <v>138.84750399999999</v>
      </c>
      <c r="H783">
        <v>16584000</v>
      </c>
      <c r="I783">
        <f t="shared" si="86"/>
        <v>0</v>
      </c>
      <c r="J783">
        <f t="shared" si="87"/>
        <v>-1.21</v>
      </c>
      <c r="K783" t="str">
        <f t="shared" si="88"/>
        <v>Negative</v>
      </c>
      <c r="L783" s="10">
        <f t="shared" si="89"/>
        <v>-8.7037646712037776E-3</v>
      </c>
      <c r="M783" t="str">
        <f t="shared" si="90"/>
        <v/>
      </c>
    </row>
    <row r="784" spans="1:13" x14ac:dyDescent="0.2">
      <c r="A784" s="21" t="s">
        <v>811</v>
      </c>
      <c r="B784" s="21" t="str">
        <f t="shared" si="84"/>
        <v>Tuesday</v>
      </c>
      <c r="C784" s="9">
        <f t="shared" si="85"/>
        <v>44481</v>
      </c>
      <c r="D784">
        <v>139.637497</v>
      </c>
      <c r="E784">
        <v>139.695007</v>
      </c>
      <c r="F784">
        <v>136.25</v>
      </c>
      <c r="G784">
        <v>136.712997</v>
      </c>
      <c r="H784">
        <v>22536000</v>
      </c>
      <c r="I784">
        <f t="shared" si="86"/>
        <v>0</v>
      </c>
      <c r="J784">
        <f t="shared" si="87"/>
        <v>-2.13</v>
      </c>
      <c r="K784" t="str">
        <f t="shared" si="88"/>
        <v>Negative</v>
      </c>
      <c r="L784" s="10">
        <f t="shared" si="89"/>
        <v>-1.5613051040055724E-2</v>
      </c>
      <c r="M784" t="str">
        <f t="shared" si="90"/>
        <v/>
      </c>
    </row>
    <row r="785" spans="1:13" x14ac:dyDescent="0.2">
      <c r="A785" s="21" t="s">
        <v>812</v>
      </c>
      <c r="B785" s="21" t="str">
        <f t="shared" si="84"/>
        <v>Wednesday</v>
      </c>
      <c r="C785" s="9">
        <f t="shared" si="85"/>
        <v>44482</v>
      </c>
      <c r="D785">
        <v>137.75</v>
      </c>
      <c r="E785">
        <v>138.550003</v>
      </c>
      <c r="F785">
        <v>136.97650100000001</v>
      </c>
      <c r="G785">
        <v>137.89999399999999</v>
      </c>
      <c r="H785">
        <v>16380000</v>
      </c>
      <c r="I785">
        <f t="shared" si="86"/>
        <v>0</v>
      </c>
      <c r="J785">
        <f t="shared" si="87"/>
        <v>1.19</v>
      </c>
      <c r="K785" t="str">
        <f t="shared" si="88"/>
        <v>Positive</v>
      </c>
      <c r="L785" s="10">
        <f t="shared" si="89"/>
        <v>8.6076653491369334E-3</v>
      </c>
      <c r="M785" t="str">
        <f t="shared" si="90"/>
        <v/>
      </c>
    </row>
    <row r="786" spans="1:13" x14ac:dyDescent="0.2">
      <c r="A786" s="21" t="s">
        <v>813</v>
      </c>
      <c r="B786" s="21" t="str">
        <f t="shared" si="84"/>
        <v>Thursday</v>
      </c>
      <c r="C786" s="9">
        <f t="shared" si="85"/>
        <v>44483</v>
      </c>
      <c r="D786">
        <v>139.95199600000001</v>
      </c>
      <c r="E786">
        <v>141.65150499999999</v>
      </c>
      <c r="F786">
        <v>139.33900499999999</v>
      </c>
      <c r="G786">
        <v>141.412003</v>
      </c>
      <c r="H786">
        <v>21426000</v>
      </c>
      <c r="I786">
        <f t="shared" si="86"/>
        <v>0</v>
      </c>
      <c r="J786">
        <f t="shared" si="87"/>
        <v>3.51</v>
      </c>
      <c r="K786" t="str">
        <f t="shared" si="88"/>
        <v>Positive</v>
      </c>
      <c r="L786" s="10">
        <f t="shared" si="89"/>
        <v>2.4835296336195776E-2</v>
      </c>
      <c r="M786" t="str">
        <f t="shared" si="90"/>
        <v/>
      </c>
    </row>
    <row r="787" spans="1:13" x14ac:dyDescent="0.2">
      <c r="A787" s="21" t="s">
        <v>814</v>
      </c>
      <c r="B787" s="21" t="str">
        <f t="shared" si="84"/>
        <v>Friday</v>
      </c>
      <c r="C787" s="9">
        <f t="shared" si="85"/>
        <v>44484</v>
      </c>
      <c r="D787">
        <v>142.199997</v>
      </c>
      <c r="E787">
        <v>142.199997</v>
      </c>
      <c r="F787">
        <v>141.06449900000001</v>
      </c>
      <c r="G787">
        <v>141.675003</v>
      </c>
      <c r="H787">
        <v>21250000</v>
      </c>
      <c r="I787">
        <f t="shared" si="86"/>
        <v>0</v>
      </c>
      <c r="J787">
        <f t="shared" si="87"/>
        <v>0.26</v>
      </c>
      <c r="K787" t="str">
        <f t="shared" si="88"/>
        <v>Positive</v>
      </c>
      <c r="L787" s="10">
        <f t="shared" si="89"/>
        <v>1.8563613511976085E-3</v>
      </c>
      <c r="M787" t="str">
        <f t="shared" si="90"/>
        <v/>
      </c>
    </row>
    <row r="788" spans="1:13" x14ac:dyDescent="0.2">
      <c r="A788" s="21" t="s">
        <v>815</v>
      </c>
      <c r="B788" s="21" t="str">
        <f t="shared" si="84"/>
        <v>Monday</v>
      </c>
      <c r="C788" s="9">
        <f t="shared" si="85"/>
        <v>44487</v>
      </c>
      <c r="D788">
        <v>141.21350100000001</v>
      </c>
      <c r="E788">
        <v>142.998749</v>
      </c>
      <c r="F788">
        <v>141.21350100000001</v>
      </c>
      <c r="G788">
        <v>142.96049500000001</v>
      </c>
      <c r="H788">
        <v>16564000</v>
      </c>
      <c r="I788">
        <f t="shared" si="86"/>
        <v>0</v>
      </c>
      <c r="J788">
        <f t="shared" si="87"/>
        <v>1.29</v>
      </c>
      <c r="K788" t="str">
        <f t="shared" si="88"/>
        <v>Positive</v>
      </c>
      <c r="L788" s="10">
        <f t="shared" si="89"/>
        <v>8.9919386471067047E-3</v>
      </c>
      <c r="M788" t="str">
        <f t="shared" si="90"/>
        <v/>
      </c>
    </row>
    <row r="789" spans="1:13" x14ac:dyDescent="0.2">
      <c r="A789" s="21" t="s">
        <v>816</v>
      </c>
      <c r="B789" s="21" t="str">
        <f t="shared" si="84"/>
        <v>Tuesday</v>
      </c>
      <c r="C789" s="9">
        <f t="shared" si="85"/>
        <v>44488</v>
      </c>
      <c r="D789">
        <v>143.291504</v>
      </c>
      <c r="E789">
        <v>144.10699500000001</v>
      </c>
      <c r="F789">
        <v>143.09599299999999</v>
      </c>
      <c r="G789">
        <v>143.82200599999999</v>
      </c>
      <c r="H789">
        <v>15316000</v>
      </c>
      <c r="I789">
        <f t="shared" si="86"/>
        <v>0</v>
      </c>
      <c r="J789">
        <f t="shared" si="87"/>
        <v>0.86</v>
      </c>
      <c r="K789" t="str">
        <f t="shared" si="88"/>
        <v>Positive</v>
      </c>
      <c r="L789" s="10">
        <f t="shared" si="89"/>
        <v>5.9901194814372073E-3</v>
      </c>
      <c r="M789" t="str">
        <f t="shared" si="90"/>
        <v/>
      </c>
    </row>
    <row r="790" spans="1:13" x14ac:dyDescent="0.2">
      <c r="A790" s="21" t="s">
        <v>817</v>
      </c>
      <c r="B790" s="21" t="str">
        <f t="shared" si="84"/>
        <v>Wednesday</v>
      </c>
      <c r="C790" s="9">
        <f t="shared" si="85"/>
        <v>44489</v>
      </c>
      <c r="D790">
        <v>144.22250399999999</v>
      </c>
      <c r="E790">
        <v>144.24775700000001</v>
      </c>
      <c r="F790">
        <v>141.912003</v>
      </c>
      <c r="G790">
        <v>142.41499300000001</v>
      </c>
      <c r="H790">
        <v>17940000</v>
      </c>
      <c r="I790">
        <f t="shared" si="86"/>
        <v>0</v>
      </c>
      <c r="J790">
        <f t="shared" si="87"/>
        <v>-1.41</v>
      </c>
      <c r="K790" t="str">
        <f t="shared" si="88"/>
        <v>Negative</v>
      </c>
      <c r="L790" s="10">
        <f t="shared" si="89"/>
        <v>-9.8796690598438458E-3</v>
      </c>
      <c r="M790" t="str">
        <f t="shared" si="90"/>
        <v/>
      </c>
    </row>
    <row r="791" spans="1:13" x14ac:dyDescent="0.2">
      <c r="A791" s="21" t="s">
        <v>818</v>
      </c>
      <c r="B791" s="21" t="str">
        <f t="shared" si="84"/>
        <v>Thursday</v>
      </c>
      <c r="C791" s="9">
        <f t="shared" si="85"/>
        <v>44490</v>
      </c>
      <c r="D791">
        <v>142.192001</v>
      </c>
      <c r="E791">
        <v>142.849503</v>
      </c>
      <c r="F791">
        <v>141.63699299999999</v>
      </c>
      <c r="G791">
        <v>142.78050200000001</v>
      </c>
      <c r="H791">
        <v>14850000</v>
      </c>
      <c r="I791">
        <f t="shared" si="86"/>
        <v>0</v>
      </c>
      <c r="J791">
        <f t="shared" si="87"/>
        <v>0.37</v>
      </c>
      <c r="K791" t="str">
        <f t="shared" si="88"/>
        <v>Positive</v>
      </c>
      <c r="L791" s="10">
        <f t="shared" si="89"/>
        <v>2.5599363700234291E-3</v>
      </c>
      <c r="M791" t="str">
        <f t="shared" si="90"/>
        <v/>
      </c>
    </row>
    <row r="792" spans="1:13" x14ac:dyDescent="0.2">
      <c r="A792" s="21" t="s">
        <v>819</v>
      </c>
      <c r="B792" s="21" t="str">
        <f t="shared" si="84"/>
        <v>Friday</v>
      </c>
      <c r="C792" s="9">
        <f t="shared" si="85"/>
        <v>44491</v>
      </c>
      <c r="D792">
        <v>140.350998</v>
      </c>
      <c r="E792">
        <v>141.558502</v>
      </c>
      <c r="F792">
        <v>137.170502</v>
      </c>
      <c r="G792">
        <v>138.625</v>
      </c>
      <c r="H792">
        <v>30182000</v>
      </c>
      <c r="I792">
        <f t="shared" si="86"/>
        <v>0</v>
      </c>
      <c r="J792">
        <f t="shared" si="87"/>
        <v>-4.16</v>
      </c>
      <c r="K792" t="str">
        <f t="shared" si="88"/>
        <v>Negative</v>
      </c>
      <c r="L792" s="10">
        <f t="shared" si="89"/>
        <v>-2.9976569882777367E-2</v>
      </c>
      <c r="M792" t="str">
        <f t="shared" si="90"/>
        <v/>
      </c>
    </row>
    <row r="793" spans="1:13" x14ac:dyDescent="0.2">
      <c r="A793" s="21" t="s">
        <v>820</v>
      </c>
      <c r="B793" s="21" t="str">
        <f t="shared" si="84"/>
        <v>Monday</v>
      </c>
      <c r="C793" s="9">
        <f t="shared" si="85"/>
        <v>44494</v>
      </c>
      <c r="D793">
        <v>138.81050099999999</v>
      </c>
      <c r="E793">
        <v>139.20579499999999</v>
      </c>
      <c r="F793">
        <v>136.74850499999999</v>
      </c>
      <c r="G793">
        <v>138.77299500000001</v>
      </c>
      <c r="H793">
        <v>21082000</v>
      </c>
      <c r="I793">
        <f t="shared" si="86"/>
        <v>0</v>
      </c>
      <c r="J793">
        <f t="shared" si="87"/>
        <v>0.15</v>
      </c>
      <c r="K793" t="str">
        <f t="shared" si="88"/>
        <v>Positive</v>
      </c>
      <c r="L793" s="10">
        <f t="shared" si="89"/>
        <v>1.0664538875161465E-3</v>
      </c>
      <c r="M793" t="str">
        <f t="shared" si="90"/>
        <v/>
      </c>
    </row>
    <row r="794" spans="1:13" x14ac:dyDescent="0.2">
      <c r="A794" s="21" t="s">
        <v>821</v>
      </c>
      <c r="B794" s="21" t="str">
        <f t="shared" si="84"/>
        <v>Tuesday</v>
      </c>
      <c r="C794" s="9">
        <f t="shared" si="85"/>
        <v>44495</v>
      </c>
      <c r="D794">
        <v>140.60600299999999</v>
      </c>
      <c r="E794">
        <v>140.839493</v>
      </c>
      <c r="F794">
        <v>139.005493</v>
      </c>
      <c r="G794">
        <v>139.671997</v>
      </c>
      <c r="H794">
        <v>28258000</v>
      </c>
      <c r="I794">
        <f t="shared" si="86"/>
        <v>0</v>
      </c>
      <c r="J794">
        <f t="shared" si="87"/>
        <v>0.9</v>
      </c>
      <c r="K794" t="str">
        <f t="shared" si="88"/>
        <v>Positive</v>
      </c>
      <c r="L794" s="10">
        <f t="shared" si="89"/>
        <v>6.4365228485993211E-3</v>
      </c>
      <c r="M794" t="str">
        <f t="shared" si="90"/>
        <v/>
      </c>
    </row>
    <row r="795" spans="1:13" x14ac:dyDescent="0.2">
      <c r="A795" s="21" t="s">
        <v>822</v>
      </c>
      <c r="B795" s="21" t="str">
        <f t="shared" si="84"/>
        <v>Wednesday</v>
      </c>
      <c r="C795" s="9">
        <f t="shared" si="85"/>
        <v>44496</v>
      </c>
      <c r="D795">
        <v>139.90249600000001</v>
      </c>
      <c r="E795">
        <v>149.11799600000001</v>
      </c>
      <c r="F795">
        <v>139.90249600000001</v>
      </c>
      <c r="G795">
        <v>146.427505</v>
      </c>
      <c r="H795">
        <v>51850000</v>
      </c>
      <c r="I795">
        <f t="shared" si="86"/>
        <v>0</v>
      </c>
      <c r="J795">
        <f t="shared" si="87"/>
        <v>6.76</v>
      </c>
      <c r="K795" t="str">
        <f t="shared" si="88"/>
        <v>Positive</v>
      </c>
      <c r="L795" s="10">
        <f t="shared" si="89"/>
        <v>4.6135512586928197E-2</v>
      </c>
      <c r="M795" t="str">
        <f t="shared" si="90"/>
        <v/>
      </c>
    </row>
    <row r="796" spans="1:13" x14ac:dyDescent="0.2">
      <c r="A796" s="21" t="s">
        <v>823</v>
      </c>
      <c r="B796" s="21" t="str">
        <f t="shared" si="84"/>
        <v>Thursday</v>
      </c>
      <c r="C796" s="9">
        <f t="shared" si="85"/>
        <v>44497</v>
      </c>
      <c r="D796">
        <v>147.29899599999999</v>
      </c>
      <c r="E796">
        <v>147.42449999999999</v>
      </c>
      <c r="F796">
        <v>144.76350400000001</v>
      </c>
      <c r="G796">
        <v>146.128998</v>
      </c>
      <c r="H796">
        <v>32418000</v>
      </c>
      <c r="I796">
        <f t="shared" si="86"/>
        <v>0</v>
      </c>
      <c r="J796">
        <f t="shared" si="87"/>
        <v>-0.3</v>
      </c>
      <c r="K796" t="str">
        <f t="shared" si="88"/>
        <v>Negative</v>
      </c>
      <c r="L796" s="10">
        <f t="shared" si="89"/>
        <v>-2.042763613557391E-3</v>
      </c>
      <c r="M796" t="str">
        <f t="shared" si="90"/>
        <v/>
      </c>
    </row>
    <row r="797" spans="1:13" x14ac:dyDescent="0.2">
      <c r="A797" s="21" t="s">
        <v>824</v>
      </c>
      <c r="B797" s="21" t="str">
        <f t="shared" si="84"/>
        <v>Friday</v>
      </c>
      <c r="C797" s="9">
        <f t="shared" si="85"/>
        <v>44498</v>
      </c>
      <c r="D797">
        <v>145.520004</v>
      </c>
      <c r="E797">
        <v>148.61300700000001</v>
      </c>
      <c r="F797">
        <v>145.166504</v>
      </c>
      <c r="G797">
        <v>148.27049299999999</v>
      </c>
      <c r="H797">
        <v>28954000</v>
      </c>
      <c r="I797">
        <f t="shared" si="86"/>
        <v>0</v>
      </c>
      <c r="J797">
        <f t="shared" si="87"/>
        <v>2.14</v>
      </c>
      <c r="K797" t="str">
        <f t="shared" si="88"/>
        <v>Positive</v>
      </c>
      <c r="L797" s="10">
        <f t="shared" si="89"/>
        <v>1.4443163684631386E-2</v>
      </c>
      <c r="M797" t="str">
        <f t="shared" si="90"/>
        <v/>
      </c>
    </row>
    <row r="798" spans="1:13" x14ac:dyDescent="0.2">
      <c r="A798" s="21" t="s">
        <v>825</v>
      </c>
      <c r="B798" s="21" t="str">
        <f t="shared" si="84"/>
        <v>Monday</v>
      </c>
      <c r="C798" s="9">
        <f t="shared" si="85"/>
        <v>44501</v>
      </c>
      <c r="D798">
        <v>148.16499300000001</v>
      </c>
      <c r="E798">
        <v>148.399506</v>
      </c>
      <c r="F798">
        <v>143.579498</v>
      </c>
      <c r="G798">
        <v>143.774002</v>
      </c>
      <c r="H798">
        <v>32272000</v>
      </c>
      <c r="I798">
        <f t="shared" si="86"/>
        <v>0</v>
      </c>
      <c r="J798">
        <f t="shared" si="87"/>
        <v>-4.5</v>
      </c>
      <c r="K798" t="str">
        <f t="shared" si="88"/>
        <v>Negative</v>
      </c>
      <c r="L798" s="10">
        <f t="shared" si="89"/>
        <v>-3.1274715438469831E-2</v>
      </c>
      <c r="M798" t="str">
        <f t="shared" si="90"/>
        <v/>
      </c>
    </row>
    <row r="799" spans="1:13" x14ac:dyDescent="0.2">
      <c r="A799" s="21" t="s">
        <v>826</v>
      </c>
      <c r="B799" s="21" t="str">
        <f t="shared" si="84"/>
        <v>Tuesday</v>
      </c>
      <c r="C799" s="9">
        <f t="shared" si="85"/>
        <v>44502</v>
      </c>
      <c r="D799">
        <v>144.80940200000001</v>
      </c>
      <c r="E799">
        <v>146.920502</v>
      </c>
      <c r="F799">
        <v>144.641006</v>
      </c>
      <c r="G799">
        <v>145.86300700000001</v>
      </c>
      <c r="H799">
        <v>21150000</v>
      </c>
      <c r="I799">
        <f t="shared" si="86"/>
        <v>0</v>
      </c>
      <c r="J799">
        <f t="shared" si="87"/>
        <v>2.09</v>
      </c>
      <c r="K799" t="str">
        <f t="shared" si="88"/>
        <v>Positive</v>
      </c>
      <c r="L799" s="10">
        <f t="shared" si="89"/>
        <v>1.432169158558492E-2</v>
      </c>
      <c r="M799" t="str">
        <f t="shared" si="90"/>
        <v/>
      </c>
    </row>
    <row r="800" spans="1:13" x14ac:dyDescent="0.2">
      <c r="A800" s="21" t="s">
        <v>827</v>
      </c>
      <c r="B800" s="21" t="str">
        <f t="shared" si="84"/>
        <v>Wednesday</v>
      </c>
      <c r="C800" s="9">
        <f t="shared" si="85"/>
        <v>44503</v>
      </c>
      <c r="D800">
        <v>146.27499399999999</v>
      </c>
      <c r="E800">
        <v>146.910507</v>
      </c>
      <c r="F800">
        <v>145.05349699999999</v>
      </c>
      <c r="G800">
        <v>146.78999300000001</v>
      </c>
      <c r="H800">
        <v>17886000</v>
      </c>
      <c r="I800">
        <f t="shared" si="86"/>
        <v>0</v>
      </c>
      <c r="J800">
        <f t="shared" si="87"/>
        <v>0.93</v>
      </c>
      <c r="K800" t="str">
        <f t="shared" si="88"/>
        <v>Positive</v>
      </c>
      <c r="L800" s="10">
        <f t="shared" si="89"/>
        <v>6.3150490101869499E-3</v>
      </c>
      <c r="M800" t="str">
        <f t="shared" si="90"/>
        <v/>
      </c>
    </row>
    <row r="801" spans="1:13" x14ac:dyDescent="0.2">
      <c r="A801" s="21" t="s">
        <v>828</v>
      </c>
      <c r="B801" s="21" t="str">
        <f t="shared" si="84"/>
        <v>Thursday</v>
      </c>
      <c r="C801" s="9">
        <f t="shared" si="85"/>
        <v>44504</v>
      </c>
      <c r="D801">
        <v>147.199997</v>
      </c>
      <c r="E801">
        <v>149.949997</v>
      </c>
      <c r="F801">
        <v>146.634995</v>
      </c>
      <c r="G801">
        <v>148.682999</v>
      </c>
      <c r="H801">
        <v>24700000</v>
      </c>
      <c r="I801">
        <f t="shared" si="86"/>
        <v>0</v>
      </c>
      <c r="J801">
        <f t="shared" si="87"/>
        <v>1.89</v>
      </c>
      <c r="K801" t="str">
        <f t="shared" si="88"/>
        <v>Positive</v>
      </c>
      <c r="L801" s="10">
        <f t="shared" si="89"/>
        <v>1.2731825512881843E-2</v>
      </c>
      <c r="M801" t="str">
        <f t="shared" si="90"/>
        <v/>
      </c>
    </row>
    <row r="802" spans="1:13" x14ac:dyDescent="0.2">
      <c r="A802" s="21" t="s">
        <v>829</v>
      </c>
      <c r="B802" s="21" t="str">
        <f t="shared" si="84"/>
        <v>Friday</v>
      </c>
      <c r="C802" s="9">
        <f t="shared" si="85"/>
        <v>44505</v>
      </c>
      <c r="D802">
        <v>149.3535</v>
      </c>
      <c r="E802">
        <v>150.57075499999999</v>
      </c>
      <c r="F802">
        <v>148.651993</v>
      </c>
      <c r="G802">
        <v>149.24099699999999</v>
      </c>
      <c r="H802">
        <v>20408000</v>
      </c>
      <c r="I802">
        <f t="shared" si="86"/>
        <v>0</v>
      </c>
      <c r="J802">
        <f t="shared" si="87"/>
        <v>0.56000000000000005</v>
      </c>
      <c r="K802" t="str">
        <f t="shared" si="88"/>
        <v>Positive</v>
      </c>
      <c r="L802" s="10">
        <f t="shared" si="89"/>
        <v>3.738905603799992E-3</v>
      </c>
      <c r="M802" t="str">
        <f t="shared" si="90"/>
        <v/>
      </c>
    </row>
    <row r="803" spans="1:13" x14ac:dyDescent="0.2">
      <c r="A803" s="21" t="s">
        <v>830</v>
      </c>
      <c r="B803" s="21" t="str">
        <f t="shared" si="84"/>
        <v>Monday</v>
      </c>
      <c r="C803" s="9">
        <f t="shared" si="85"/>
        <v>44508</v>
      </c>
      <c r="D803">
        <v>150</v>
      </c>
      <c r="E803">
        <v>151.03450000000001</v>
      </c>
      <c r="F803">
        <v>149.11999499999999</v>
      </c>
      <c r="G803">
        <v>149.35150100000001</v>
      </c>
      <c r="H803">
        <v>18388000</v>
      </c>
      <c r="I803">
        <f t="shared" si="86"/>
        <v>0</v>
      </c>
      <c r="J803">
        <f t="shared" si="87"/>
        <v>0.11</v>
      </c>
      <c r="K803" t="str">
        <f t="shared" si="88"/>
        <v>Positive</v>
      </c>
      <c r="L803" s="10">
        <f t="shared" si="89"/>
        <v>7.3989212870395008E-4</v>
      </c>
      <c r="M803" t="str">
        <f t="shared" si="90"/>
        <v/>
      </c>
    </row>
    <row r="804" spans="1:13" x14ac:dyDescent="0.2">
      <c r="A804" s="21" t="s">
        <v>831</v>
      </c>
      <c r="B804" s="21" t="str">
        <f t="shared" si="84"/>
        <v>Tuesday</v>
      </c>
      <c r="C804" s="9">
        <f t="shared" si="85"/>
        <v>44509</v>
      </c>
      <c r="D804">
        <v>149.746002</v>
      </c>
      <c r="E804">
        <v>150.37849399999999</v>
      </c>
      <c r="F804">
        <v>147.50700399999999</v>
      </c>
      <c r="G804">
        <v>149.24850499999999</v>
      </c>
      <c r="H804">
        <v>16876000</v>
      </c>
      <c r="I804">
        <f t="shared" si="86"/>
        <v>0</v>
      </c>
      <c r="J804">
        <f t="shared" si="87"/>
        <v>-0.1</v>
      </c>
      <c r="K804" t="str">
        <f t="shared" si="88"/>
        <v>Negative</v>
      </c>
      <c r="L804" s="10">
        <f t="shared" si="89"/>
        <v>-6.9009736479449992E-4</v>
      </c>
      <c r="M804" t="str">
        <f t="shared" si="90"/>
        <v/>
      </c>
    </row>
    <row r="805" spans="1:13" x14ac:dyDescent="0.2">
      <c r="A805" s="21" t="s">
        <v>832</v>
      </c>
      <c r="B805" s="21" t="str">
        <f t="shared" si="84"/>
        <v>Wednesday</v>
      </c>
      <c r="C805" s="9">
        <f t="shared" si="85"/>
        <v>44510</v>
      </c>
      <c r="D805">
        <v>148.00975</v>
      </c>
      <c r="E805">
        <v>148.699997</v>
      </c>
      <c r="F805">
        <v>145.324997</v>
      </c>
      <c r="G805">
        <v>146.62600699999999</v>
      </c>
      <c r="H805">
        <v>22708000</v>
      </c>
      <c r="I805">
        <f t="shared" si="86"/>
        <v>0</v>
      </c>
      <c r="J805">
        <f t="shared" si="87"/>
        <v>-2.62</v>
      </c>
      <c r="K805" t="str">
        <f t="shared" si="88"/>
        <v>Negative</v>
      </c>
      <c r="L805" s="10">
        <f t="shared" si="89"/>
        <v>-1.7885626524631524E-2</v>
      </c>
      <c r="M805" t="str">
        <f t="shared" si="90"/>
        <v/>
      </c>
    </row>
    <row r="806" spans="1:13" x14ac:dyDescent="0.2">
      <c r="A806" s="21" t="s">
        <v>833</v>
      </c>
      <c r="B806" s="21" t="str">
        <f t="shared" si="84"/>
        <v>Thursday</v>
      </c>
      <c r="C806" s="9">
        <f t="shared" si="85"/>
        <v>44511</v>
      </c>
      <c r="D806">
        <v>147.10699500000001</v>
      </c>
      <c r="E806">
        <v>148.50224299999999</v>
      </c>
      <c r="F806">
        <v>146.69450399999999</v>
      </c>
      <c r="G806">
        <v>146.74800099999999</v>
      </c>
      <c r="H806">
        <v>12464000</v>
      </c>
      <c r="I806">
        <f t="shared" si="86"/>
        <v>0</v>
      </c>
      <c r="J806">
        <f t="shared" si="87"/>
        <v>0.12</v>
      </c>
      <c r="K806" t="str">
        <f t="shared" si="88"/>
        <v>Positive</v>
      </c>
      <c r="L806" s="10">
        <f t="shared" si="89"/>
        <v>8.3131626440349836E-4</v>
      </c>
      <c r="M806" t="str">
        <f t="shared" si="90"/>
        <v/>
      </c>
    </row>
    <row r="807" spans="1:13" x14ac:dyDescent="0.2">
      <c r="A807" s="21" t="s">
        <v>834</v>
      </c>
      <c r="B807" s="21" t="str">
        <f t="shared" si="84"/>
        <v>Friday</v>
      </c>
      <c r="C807" s="9">
        <f t="shared" si="85"/>
        <v>44512</v>
      </c>
      <c r="D807">
        <v>147.83149700000001</v>
      </c>
      <c r="E807">
        <v>149.859497</v>
      </c>
      <c r="F807">
        <v>146.45399499999999</v>
      </c>
      <c r="G807">
        <v>149.64549299999999</v>
      </c>
      <c r="H807">
        <v>17048000</v>
      </c>
      <c r="I807">
        <f t="shared" si="86"/>
        <v>0</v>
      </c>
      <c r="J807">
        <f t="shared" si="87"/>
        <v>2.9</v>
      </c>
      <c r="K807" t="str">
        <f t="shared" si="88"/>
        <v>Positive</v>
      </c>
      <c r="L807" s="10">
        <f t="shared" si="89"/>
        <v>1.9362373980751964E-2</v>
      </c>
      <c r="M807" t="str">
        <f t="shared" si="90"/>
        <v/>
      </c>
    </row>
    <row r="808" spans="1:13" x14ac:dyDescent="0.2">
      <c r="A808" s="21" t="s">
        <v>835</v>
      </c>
      <c r="B808" s="21" t="str">
        <f t="shared" si="84"/>
        <v>Monday</v>
      </c>
      <c r="C808" s="9">
        <f t="shared" si="85"/>
        <v>44515</v>
      </c>
      <c r="D808">
        <v>150</v>
      </c>
      <c r="E808">
        <v>150.47700499999999</v>
      </c>
      <c r="F808">
        <v>148.65249600000001</v>
      </c>
      <c r="G808">
        <v>149.38800000000001</v>
      </c>
      <c r="H808">
        <v>16248000</v>
      </c>
      <c r="I808">
        <f t="shared" si="86"/>
        <v>0</v>
      </c>
      <c r="J808">
        <f t="shared" si="87"/>
        <v>-0.26</v>
      </c>
      <c r="K808" t="str">
        <f t="shared" si="88"/>
        <v>Negative</v>
      </c>
      <c r="L808" s="10">
        <f t="shared" si="89"/>
        <v>-1.7236525022088951E-3</v>
      </c>
      <c r="M808" t="str">
        <f t="shared" si="90"/>
        <v/>
      </c>
    </row>
    <row r="809" spans="1:13" x14ac:dyDescent="0.2">
      <c r="A809" s="21" t="s">
        <v>836</v>
      </c>
      <c r="B809" s="21" t="str">
        <f t="shared" si="84"/>
        <v>Tuesday</v>
      </c>
      <c r="C809" s="9">
        <f t="shared" si="85"/>
        <v>44516</v>
      </c>
      <c r="D809">
        <v>149.170502</v>
      </c>
      <c r="E809">
        <v>149.832504</v>
      </c>
      <c r="F809">
        <v>148.35000600000001</v>
      </c>
      <c r="G809">
        <v>149.07600400000001</v>
      </c>
      <c r="H809">
        <v>17254000</v>
      </c>
      <c r="I809">
        <f t="shared" si="86"/>
        <v>0</v>
      </c>
      <c r="J809">
        <f t="shared" si="87"/>
        <v>-0.31</v>
      </c>
      <c r="K809" t="str">
        <f t="shared" si="88"/>
        <v>Negative</v>
      </c>
      <c r="L809" s="10">
        <f t="shared" si="89"/>
        <v>-2.0928653279436806E-3</v>
      </c>
      <c r="M809" t="str">
        <f t="shared" si="90"/>
        <v/>
      </c>
    </row>
    <row r="810" spans="1:13" x14ac:dyDescent="0.2">
      <c r="A810" s="21" t="s">
        <v>837</v>
      </c>
      <c r="B810" s="21" t="str">
        <f t="shared" si="84"/>
        <v>Wednesday</v>
      </c>
      <c r="C810" s="9">
        <f t="shared" si="85"/>
        <v>44517</v>
      </c>
      <c r="D810">
        <v>149.229004</v>
      </c>
      <c r="E810">
        <v>149.62600699999999</v>
      </c>
      <c r="F810">
        <v>148.56300400000001</v>
      </c>
      <c r="G810">
        <v>149.06199599999999</v>
      </c>
      <c r="H810">
        <v>15290000</v>
      </c>
      <c r="I810">
        <f t="shared" si="86"/>
        <v>0</v>
      </c>
      <c r="J810">
        <f t="shared" si="87"/>
        <v>-0.01</v>
      </c>
      <c r="K810" t="str">
        <f t="shared" si="88"/>
        <v>Negative</v>
      </c>
      <c r="L810" s="10">
        <f t="shared" si="89"/>
        <v>-9.3974321932588557E-5</v>
      </c>
      <c r="M810" t="str">
        <f t="shared" si="90"/>
        <v/>
      </c>
    </row>
    <row r="811" spans="1:13" x14ac:dyDescent="0.2">
      <c r="A811" s="21" t="s">
        <v>838</v>
      </c>
      <c r="B811" s="21" t="str">
        <f t="shared" si="84"/>
        <v>Thursday</v>
      </c>
      <c r="C811" s="9">
        <f t="shared" si="85"/>
        <v>44518</v>
      </c>
      <c r="D811">
        <v>149.145996</v>
      </c>
      <c r="E811">
        <v>151.61000100000001</v>
      </c>
      <c r="F811">
        <v>148.99850499999999</v>
      </c>
      <c r="G811">
        <v>150.709</v>
      </c>
      <c r="H811">
        <v>26658000</v>
      </c>
      <c r="I811">
        <f t="shared" si="86"/>
        <v>0</v>
      </c>
      <c r="J811">
        <f t="shared" si="87"/>
        <v>1.65</v>
      </c>
      <c r="K811" t="str">
        <f t="shared" si="88"/>
        <v>Positive</v>
      </c>
      <c r="L811" s="10">
        <f t="shared" si="89"/>
        <v>1.0928371895507299E-2</v>
      </c>
      <c r="M811" t="str">
        <f t="shared" si="90"/>
        <v/>
      </c>
    </row>
    <row r="812" spans="1:13" x14ac:dyDescent="0.2">
      <c r="A812" s="21" t="s">
        <v>839</v>
      </c>
      <c r="B812" s="21" t="str">
        <f t="shared" si="84"/>
        <v>Friday</v>
      </c>
      <c r="C812" s="9">
        <f t="shared" si="85"/>
        <v>44519</v>
      </c>
      <c r="D812">
        <v>151</v>
      </c>
      <c r="E812">
        <v>151.85000600000001</v>
      </c>
      <c r="F812">
        <v>149.887497</v>
      </c>
      <c r="G812">
        <v>149.95249899999999</v>
      </c>
      <c r="H812">
        <v>19766000</v>
      </c>
      <c r="I812">
        <f t="shared" si="86"/>
        <v>0</v>
      </c>
      <c r="J812">
        <f t="shared" si="87"/>
        <v>-0.76</v>
      </c>
      <c r="K812" t="str">
        <f t="shared" si="88"/>
        <v>Negative</v>
      </c>
      <c r="L812" s="10">
        <f t="shared" si="89"/>
        <v>-5.0449375972054615E-3</v>
      </c>
      <c r="M812" t="str">
        <f t="shared" si="90"/>
        <v/>
      </c>
    </row>
    <row r="813" spans="1:13" x14ac:dyDescent="0.2">
      <c r="A813" s="21" t="s">
        <v>840</v>
      </c>
      <c r="B813" s="21" t="str">
        <f t="shared" si="84"/>
        <v>Monday</v>
      </c>
      <c r="C813" s="9">
        <f t="shared" si="85"/>
        <v>44522</v>
      </c>
      <c r="D813">
        <v>150.14175399999999</v>
      </c>
      <c r="E813">
        <v>150.744507</v>
      </c>
      <c r="F813">
        <v>147.005493</v>
      </c>
      <c r="G813">
        <v>147.078506</v>
      </c>
      <c r="H813">
        <v>24608000</v>
      </c>
      <c r="I813">
        <f t="shared" si="86"/>
        <v>0</v>
      </c>
      <c r="J813">
        <f t="shared" si="87"/>
        <v>-2.87</v>
      </c>
      <c r="K813" t="str">
        <f t="shared" si="88"/>
        <v>Negative</v>
      </c>
      <c r="L813" s="10">
        <f t="shared" si="89"/>
        <v>-1.9540537078884826E-2</v>
      </c>
      <c r="M813" t="str">
        <f t="shared" si="90"/>
        <v/>
      </c>
    </row>
    <row r="814" spans="1:13" x14ac:dyDescent="0.2">
      <c r="A814" s="21" t="s">
        <v>841</v>
      </c>
      <c r="B814" s="21" t="str">
        <f t="shared" si="84"/>
        <v>Tuesday</v>
      </c>
      <c r="C814" s="9">
        <f t="shared" si="85"/>
        <v>44523</v>
      </c>
      <c r="D814">
        <v>147.11300700000001</v>
      </c>
      <c r="E814">
        <v>147.69399999999999</v>
      </c>
      <c r="F814">
        <v>144.88949600000001</v>
      </c>
      <c r="G814">
        <v>146.75700399999999</v>
      </c>
      <c r="H814">
        <v>18126000</v>
      </c>
      <c r="I814">
        <f t="shared" si="86"/>
        <v>0</v>
      </c>
      <c r="J814">
        <f t="shared" si="87"/>
        <v>-0.32</v>
      </c>
      <c r="K814" t="str">
        <f t="shared" si="88"/>
        <v>Negative</v>
      </c>
      <c r="L814" s="10">
        <f t="shared" si="89"/>
        <v>-2.1907097531100425E-3</v>
      </c>
      <c r="M814" t="str">
        <f t="shared" si="90"/>
        <v/>
      </c>
    </row>
    <row r="815" spans="1:13" x14ac:dyDescent="0.2">
      <c r="A815" s="21" t="s">
        <v>842</v>
      </c>
      <c r="B815" s="21" t="str">
        <f t="shared" si="84"/>
        <v>Wednesday</v>
      </c>
      <c r="C815" s="9">
        <f t="shared" si="85"/>
        <v>44524</v>
      </c>
      <c r="D815">
        <v>146.35000600000001</v>
      </c>
      <c r="E815">
        <v>147</v>
      </c>
      <c r="F815">
        <v>145.199005</v>
      </c>
      <c r="G815">
        <v>146.717499</v>
      </c>
      <c r="H815">
        <v>16464000</v>
      </c>
      <c r="I815">
        <f t="shared" si="86"/>
        <v>0</v>
      </c>
      <c r="J815">
        <f t="shared" si="87"/>
        <v>-0.04</v>
      </c>
      <c r="K815" t="str">
        <f t="shared" si="88"/>
        <v>Negative</v>
      </c>
      <c r="L815" s="10">
        <f t="shared" si="89"/>
        <v>-2.692589518581641E-4</v>
      </c>
      <c r="M815" t="str">
        <f t="shared" si="90"/>
        <v/>
      </c>
    </row>
    <row r="816" spans="1:13" x14ac:dyDescent="0.2">
      <c r="A816" s="21" t="s">
        <v>843</v>
      </c>
      <c r="B816" s="21" t="str">
        <f t="shared" si="84"/>
        <v>Friday</v>
      </c>
      <c r="C816" s="9">
        <f t="shared" si="85"/>
        <v>44526</v>
      </c>
      <c r="D816">
        <v>145.015503</v>
      </c>
      <c r="E816">
        <v>145.296997</v>
      </c>
      <c r="F816">
        <v>142.48550399999999</v>
      </c>
      <c r="G816">
        <v>142.80600000000001</v>
      </c>
      <c r="H816">
        <v>16992000</v>
      </c>
      <c r="I816">
        <f t="shared" si="86"/>
        <v>0</v>
      </c>
      <c r="J816">
        <f t="shared" si="87"/>
        <v>-3.91</v>
      </c>
      <c r="K816" t="str">
        <f t="shared" si="88"/>
        <v>Negative</v>
      </c>
      <c r="L816" s="10">
        <f t="shared" si="89"/>
        <v>-2.7390298726944189E-2</v>
      </c>
      <c r="M816" t="str">
        <f t="shared" si="90"/>
        <v/>
      </c>
    </row>
    <row r="817" spans="1:13" x14ac:dyDescent="0.2">
      <c r="A817" s="21" t="s">
        <v>844</v>
      </c>
      <c r="B817" s="21" t="str">
        <f t="shared" si="84"/>
        <v>Monday</v>
      </c>
      <c r="C817" s="9">
        <f t="shared" si="85"/>
        <v>44529</v>
      </c>
      <c r="D817">
        <v>144.29849200000001</v>
      </c>
      <c r="E817">
        <v>146.86199999999999</v>
      </c>
      <c r="F817">
        <v>144.29849200000001</v>
      </c>
      <c r="G817">
        <v>146.11399800000001</v>
      </c>
      <c r="H817">
        <v>26276000</v>
      </c>
      <c r="I817">
        <f t="shared" si="86"/>
        <v>0</v>
      </c>
      <c r="J817">
        <f t="shared" si="87"/>
        <v>3.31</v>
      </c>
      <c r="K817" t="str">
        <f t="shared" si="88"/>
        <v>Positive</v>
      </c>
      <c r="L817" s="10">
        <f t="shared" si="89"/>
        <v>2.2639843172315342E-2</v>
      </c>
      <c r="M817" t="str">
        <f t="shared" si="90"/>
        <v/>
      </c>
    </row>
    <row r="818" spans="1:13" x14ac:dyDescent="0.2">
      <c r="A818" s="21" t="s">
        <v>845</v>
      </c>
      <c r="B818" s="21" t="str">
        <f t="shared" si="84"/>
        <v>Tuesday</v>
      </c>
      <c r="C818" s="9">
        <f t="shared" si="85"/>
        <v>44530</v>
      </c>
      <c r="D818">
        <v>145.450256</v>
      </c>
      <c r="E818">
        <v>146.62849399999999</v>
      </c>
      <c r="F818">
        <v>142.06599399999999</v>
      </c>
      <c r="G818">
        <v>142.45199600000001</v>
      </c>
      <c r="H818">
        <v>41590000</v>
      </c>
      <c r="I818">
        <f t="shared" si="86"/>
        <v>0</v>
      </c>
      <c r="J818">
        <f t="shared" si="87"/>
        <v>-3.66</v>
      </c>
      <c r="K818" t="str">
        <f t="shared" si="88"/>
        <v>Negative</v>
      </c>
      <c r="L818" s="10">
        <f t="shared" si="89"/>
        <v>-2.5706919543619457E-2</v>
      </c>
      <c r="M818" t="str">
        <f t="shared" si="90"/>
        <v/>
      </c>
    </row>
    <row r="819" spans="1:13" x14ac:dyDescent="0.2">
      <c r="A819" s="21" t="s">
        <v>846</v>
      </c>
      <c r="B819" s="21" t="str">
        <f t="shared" si="84"/>
        <v>Wednesday</v>
      </c>
      <c r="C819" s="9">
        <f t="shared" si="85"/>
        <v>44531</v>
      </c>
      <c r="D819">
        <v>144.21249399999999</v>
      </c>
      <c r="E819">
        <v>146.499146</v>
      </c>
      <c r="F819">
        <v>141.5</v>
      </c>
      <c r="G819">
        <v>141.61799600000001</v>
      </c>
      <c r="H819">
        <v>28476000</v>
      </c>
      <c r="I819">
        <f t="shared" si="86"/>
        <v>0</v>
      </c>
      <c r="J819">
        <f t="shared" si="87"/>
        <v>-0.83</v>
      </c>
      <c r="K819" t="str">
        <f t="shared" si="88"/>
        <v>Negative</v>
      </c>
      <c r="L819" s="10">
        <f t="shared" si="89"/>
        <v>-5.8890820627062338E-3</v>
      </c>
      <c r="M819" t="str">
        <f t="shared" si="90"/>
        <v/>
      </c>
    </row>
    <row r="820" spans="1:13" x14ac:dyDescent="0.2">
      <c r="A820" s="21" t="s">
        <v>847</v>
      </c>
      <c r="B820" s="21" t="str">
        <f t="shared" si="84"/>
        <v>Thursday</v>
      </c>
      <c r="C820" s="9">
        <f t="shared" si="85"/>
        <v>44532</v>
      </c>
      <c r="D820">
        <v>141.824005</v>
      </c>
      <c r="E820">
        <v>144.675003</v>
      </c>
      <c r="F820">
        <v>140.98199500000001</v>
      </c>
      <c r="G820">
        <v>143.77650499999999</v>
      </c>
      <c r="H820">
        <v>21250000</v>
      </c>
      <c r="I820">
        <f t="shared" si="86"/>
        <v>0</v>
      </c>
      <c r="J820">
        <f t="shared" si="87"/>
        <v>2.16</v>
      </c>
      <c r="K820" t="str">
        <f t="shared" si="88"/>
        <v>Positive</v>
      </c>
      <c r="L820" s="10">
        <f t="shared" si="89"/>
        <v>1.501294665633986E-2</v>
      </c>
      <c r="M820" t="str">
        <f t="shared" si="90"/>
        <v/>
      </c>
    </row>
    <row r="821" spans="1:13" x14ac:dyDescent="0.2">
      <c r="A821" s="21" t="s">
        <v>848</v>
      </c>
      <c r="B821" s="21" t="str">
        <f t="shared" si="84"/>
        <v>Friday</v>
      </c>
      <c r="C821" s="9">
        <f t="shared" si="85"/>
        <v>44533</v>
      </c>
      <c r="D821">
        <v>144.495499</v>
      </c>
      <c r="E821">
        <v>145.212997</v>
      </c>
      <c r="F821">
        <v>141.14999399999999</v>
      </c>
      <c r="G821">
        <v>142.52049299999999</v>
      </c>
      <c r="H821">
        <v>26688000</v>
      </c>
      <c r="I821">
        <f t="shared" si="86"/>
        <v>0</v>
      </c>
      <c r="J821">
        <f t="shared" si="87"/>
        <v>-1.26</v>
      </c>
      <c r="K821" t="str">
        <f t="shared" si="88"/>
        <v>Negative</v>
      </c>
      <c r="L821" s="10">
        <f t="shared" si="89"/>
        <v>-8.8128519173730231E-3</v>
      </c>
      <c r="M821" t="str">
        <f t="shared" si="90"/>
        <v/>
      </c>
    </row>
    <row r="822" spans="1:13" x14ac:dyDescent="0.2">
      <c r="A822" s="21" t="s">
        <v>849</v>
      </c>
      <c r="B822" s="21" t="str">
        <f t="shared" si="84"/>
        <v>Monday</v>
      </c>
      <c r="C822" s="9">
        <f t="shared" si="85"/>
        <v>44536</v>
      </c>
      <c r="D822">
        <v>143.574005</v>
      </c>
      <c r="E822">
        <v>144.35150100000001</v>
      </c>
      <c r="F822">
        <v>140.64700300000001</v>
      </c>
      <c r="G822">
        <v>143.796494</v>
      </c>
      <c r="H822">
        <v>22198000</v>
      </c>
      <c r="I822">
        <f t="shared" si="86"/>
        <v>0</v>
      </c>
      <c r="J822">
        <f t="shared" si="87"/>
        <v>1.28</v>
      </c>
      <c r="K822" t="str">
        <f t="shared" si="88"/>
        <v>Positive</v>
      </c>
      <c r="L822" s="10">
        <f t="shared" si="89"/>
        <v>8.873658630369723E-3</v>
      </c>
      <c r="M822" t="str">
        <f t="shared" si="90"/>
        <v/>
      </c>
    </row>
    <row r="823" spans="1:13" x14ac:dyDescent="0.2">
      <c r="A823" s="21" t="s">
        <v>850</v>
      </c>
      <c r="B823" s="21" t="str">
        <f t="shared" si="84"/>
        <v>Tuesday</v>
      </c>
      <c r="C823" s="9">
        <f t="shared" si="85"/>
        <v>44537</v>
      </c>
      <c r="D823">
        <v>145.949997</v>
      </c>
      <c r="E823">
        <v>148.300003</v>
      </c>
      <c r="F823">
        <v>145.70249899999999</v>
      </c>
      <c r="G823">
        <v>148.03649899999999</v>
      </c>
      <c r="H823">
        <v>23258000</v>
      </c>
      <c r="I823">
        <f t="shared" si="86"/>
        <v>0</v>
      </c>
      <c r="J823">
        <f t="shared" si="87"/>
        <v>4.24</v>
      </c>
      <c r="K823" t="str">
        <f t="shared" si="88"/>
        <v>Positive</v>
      </c>
      <c r="L823" s="10">
        <f t="shared" si="89"/>
        <v>2.8641618983437298E-2</v>
      </c>
      <c r="M823" t="str">
        <f t="shared" si="90"/>
        <v/>
      </c>
    </row>
    <row r="824" spans="1:13" x14ac:dyDescent="0.2">
      <c r="A824" s="21" t="s">
        <v>851</v>
      </c>
      <c r="B824" s="21" t="str">
        <f t="shared" si="84"/>
        <v>Wednesday</v>
      </c>
      <c r="C824" s="9">
        <f t="shared" si="85"/>
        <v>44538</v>
      </c>
      <c r="D824">
        <v>148.33149700000001</v>
      </c>
      <c r="E824">
        <v>149.15649400000001</v>
      </c>
      <c r="F824">
        <v>147.199997</v>
      </c>
      <c r="G824">
        <v>148.720505</v>
      </c>
      <c r="H824">
        <v>18964000</v>
      </c>
      <c r="I824">
        <f t="shared" si="86"/>
        <v>0</v>
      </c>
      <c r="J824">
        <f t="shared" si="87"/>
        <v>0.68</v>
      </c>
      <c r="K824" t="str">
        <f t="shared" si="88"/>
        <v>Positive</v>
      </c>
      <c r="L824" s="10">
        <f t="shared" si="89"/>
        <v>4.5992716337267059E-3</v>
      </c>
      <c r="M824" t="str">
        <f t="shared" si="90"/>
        <v/>
      </c>
    </row>
    <row r="825" spans="1:13" x14ac:dyDescent="0.2">
      <c r="A825" s="21" t="s">
        <v>852</v>
      </c>
      <c r="B825" s="21" t="str">
        <f t="shared" si="84"/>
        <v>Thursday</v>
      </c>
      <c r="C825" s="9">
        <f t="shared" si="85"/>
        <v>44539</v>
      </c>
      <c r="D825">
        <v>148.175995</v>
      </c>
      <c r="E825">
        <v>149.604996</v>
      </c>
      <c r="F825">
        <v>147.52900700000001</v>
      </c>
      <c r="G825">
        <v>148.10600299999999</v>
      </c>
      <c r="H825">
        <v>18580000</v>
      </c>
      <c r="I825">
        <f t="shared" si="86"/>
        <v>0</v>
      </c>
      <c r="J825">
        <f t="shared" si="87"/>
        <v>-0.61</v>
      </c>
      <c r="K825" t="str">
        <f t="shared" si="88"/>
        <v>Negative</v>
      </c>
      <c r="L825" s="10">
        <f t="shared" si="89"/>
        <v>-4.1490688260624785E-3</v>
      </c>
      <c r="M825" t="str">
        <f t="shared" si="90"/>
        <v/>
      </c>
    </row>
    <row r="826" spans="1:13" x14ac:dyDescent="0.2">
      <c r="A826" s="21" t="s">
        <v>853</v>
      </c>
      <c r="B826" s="21" t="str">
        <f t="shared" si="84"/>
        <v>Friday</v>
      </c>
      <c r="C826" s="9">
        <f t="shared" si="85"/>
        <v>44540</v>
      </c>
      <c r="D826">
        <v>149.10000600000001</v>
      </c>
      <c r="E826">
        <v>149.39999399999999</v>
      </c>
      <c r="F826">
        <v>147.35749799999999</v>
      </c>
      <c r="G826">
        <v>148.675003</v>
      </c>
      <c r="H826">
        <v>21634000</v>
      </c>
      <c r="I826">
        <f t="shared" si="86"/>
        <v>0</v>
      </c>
      <c r="J826">
        <f t="shared" si="87"/>
        <v>0.56999999999999995</v>
      </c>
      <c r="K826" t="str">
        <f t="shared" si="88"/>
        <v>Positive</v>
      </c>
      <c r="L826" s="10">
        <f t="shared" si="89"/>
        <v>3.8271396570949915E-3</v>
      </c>
      <c r="M826" t="str">
        <f t="shared" si="90"/>
        <v/>
      </c>
    </row>
    <row r="827" spans="1:13" x14ac:dyDescent="0.2">
      <c r="A827" s="21" t="s">
        <v>854</v>
      </c>
      <c r="B827" s="21" t="str">
        <f t="shared" si="84"/>
        <v>Monday</v>
      </c>
      <c r="C827" s="9">
        <f t="shared" si="85"/>
        <v>44543</v>
      </c>
      <c r="D827">
        <v>148.44399999999999</v>
      </c>
      <c r="E827">
        <v>148.5625</v>
      </c>
      <c r="F827">
        <v>146.36000100000001</v>
      </c>
      <c r="G827">
        <v>146.704498</v>
      </c>
      <c r="H827">
        <v>24104000</v>
      </c>
      <c r="I827">
        <f t="shared" si="86"/>
        <v>0</v>
      </c>
      <c r="J827">
        <f t="shared" si="87"/>
        <v>-1.97</v>
      </c>
      <c r="K827" t="str">
        <f t="shared" si="88"/>
        <v>Negative</v>
      </c>
      <c r="L827" s="10">
        <f t="shared" si="89"/>
        <v>-1.3431796753770991E-2</v>
      </c>
      <c r="M827" t="str">
        <f t="shared" si="90"/>
        <v/>
      </c>
    </row>
    <row r="828" spans="1:13" x14ac:dyDescent="0.2">
      <c r="A828" s="21" t="s">
        <v>855</v>
      </c>
      <c r="B828" s="21" t="str">
        <f t="shared" si="84"/>
        <v>Tuesday</v>
      </c>
      <c r="C828" s="9">
        <f t="shared" si="85"/>
        <v>44544</v>
      </c>
      <c r="D828">
        <v>144.770004</v>
      </c>
      <c r="E828">
        <v>145.442001</v>
      </c>
      <c r="F828">
        <v>142.242493</v>
      </c>
      <c r="G828">
        <v>144.970505</v>
      </c>
      <c r="H828">
        <v>24778000</v>
      </c>
      <c r="I828">
        <f t="shared" si="86"/>
        <v>0</v>
      </c>
      <c r="J828">
        <f t="shared" si="87"/>
        <v>-1.73</v>
      </c>
      <c r="K828" t="str">
        <f t="shared" si="88"/>
        <v>Negative</v>
      </c>
      <c r="L828" s="10">
        <f t="shared" si="89"/>
        <v>-1.1961005447280453E-2</v>
      </c>
      <c r="M828" t="str">
        <f t="shared" si="90"/>
        <v/>
      </c>
    </row>
    <row r="829" spans="1:13" x14ac:dyDescent="0.2">
      <c r="A829" s="21" t="s">
        <v>856</v>
      </c>
      <c r="B829" s="21" t="str">
        <f t="shared" si="84"/>
        <v>Wednesday</v>
      </c>
      <c r="C829" s="9">
        <f t="shared" si="85"/>
        <v>44545</v>
      </c>
      <c r="D829">
        <v>144.36599699999999</v>
      </c>
      <c r="E829">
        <v>147.51724200000001</v>
      </c>
      <c r="F829">
        <v>142.70550499999999</v>
      </c>
      <c r="G829">
        <v>147.36850000000001</v>
      </c>
      <c r="H829">
        <v>27280000</v>
      </c>
      <c r="I829">
        <f t="shared" si="86"/>
        <v>0</v>
      </c>
      <c r="J829">
        <f t="shared" si="87"/>
        <v>2.4</v>
      </c>
      <c r="K829" t="str">
        <f t="shared" si="88"/>
        <v>Positive</v>
      </c>
      <c r="L829" s="10">
        <f t="shared" si="89"/>
        <v>1.6272100211374946E-2</v>
      </c>
      <c r="M829" t="str">
        <f t="shared" si="90"/>
        <v/>
      </c>
    </row>
    <row r="830" spans="1:13" x14ac:dyDescent="0.2">
      <c r="A830" s="21" t="s">
        <v>857</v>
      </c>
      <c r="B830" s="21" t="str">
        <f t="shared" si="84"/>
        <v>Thursday</v>
      </c>
      <c r="C830" s="9">
        <f t="shared" si="85"/>
        <v>44546</v>
      </c>
      <c r="D830">
        <v>148.07699600000001</v>
      </c>
      <c r="E830">
        <v>148.55149800000001</v>
      </c>
      <c r="F830">
        <v>144.092499</v>
      </c>
      <c r="G830">
        <v>144.83850100000001</v>
      </c>
      <c r="H830">
        <v>27400000</v>
      </c>
      <c r="I830">
        <f t="shared" si="86"/>
        <v>0</v>
      </c>
      <c r="J830">
        <f t="shared" si="87"/>
        <v>-2.5299999999999998</v>
      </c>
      <c r="K830" t="str">
        <f t="shared" si="88"/>
        <v>Negative</v>
      </c>
      <c r="L830" s="10">
        <f t="shared" si="89"/>
        <v>-1.7467724275881613E-2</v>
      </c>
      <c r="M830" t="str">
        <f t="shared" si="90"/>
        <v/>
      </c>
    </row>
    <row r="831" spans="1:13" x14ac:dyDescent="0.2">
      <c r="A831" s="21" t="s">
        <v>858</v>
      </c>
      <c r="B831" s="21" t="str">
        <f t="shared" si="84"/>
        <v>Friday</v>
      </c>
      <c r="C831" s="9">
        <f t="shared" si="85"/>
        <v>44547</v>
      </c>
      <c r="D831">
        <v>142.714493</v>
      </c>
      <c r="E831">
        <v>144.46009799999999</v>
      </c>
      <c r="F831">
        <v>141.787994</v>
      </c>
      <c r="G831">
        <v>142.80299400000001</v>
      </c>
      <c r="H831">
        <v>43404000</v>
      </c>
      <c r="I831">
        <f t="shared" si="86"/>
        <v>0</v>
      </c>
      <c r="J831">
        <f t="shared" si="87"/>
        <v>-2.04</v>
      </c>
      <c r="K831" t="str">
        <f t="shared" si="88"/>
        <v>Negative</v>
      </c>
      <c r="L831" s="10">
        <f t="shared" si="89"/>
        <v>-1.4253951846415737E-2</v>
      </c>
      <c r="M831" t="str">
        <f t="shared" si="90"/>
        <v/>
      </c>
    </row>
    <row r="832" spans="1:13" x14ac:dyDescent="0.2">
      <c r="A832" s="21" t="s">
        <v>859</v>
      </c>
      <c r="B832" s="21" t="str">
        <f t="shared" si="84"/>
        <v>Monday</v>
      </c>
      <c r="C832" s="9">
        <f t="shared" si="85"/>
        <v>44550</v>
      </c>
      <c r="D832">
        <v>140.679596</v>
      </c>
      <c r="E832">
        <v>142.61050399999999</v>
      </c>
      <c r="F832">
        <v>140.25</v>
      </c>
      <c r="G832">
        <v>142.40150499999999</v>
      </c>
      <c r="H832">
        <v>20264000</v>
      </c>
      <c r="I832">
        <f t="shared" si="86"/>
        <v>0</v>
      </c>
      <c r="J832">
        <f t="shared" si="87"/>
        <v>-0.4</v>
      </c>
      <c r="K832" t="str">
        <f t="shared" si="88"/>
        <v>Negative</v>
      </c>
      <c r="L832" s="10">
        <f t="shared" si="89"/>
        <v>-2.819415426824502E-3</v>
      </c>
      <c r="M832" t="str">
        <f t="shared" si="90"/>
        <v/>
      </c>
    </row>
    <row r="833" spans="1:13" x14ac:dyDescent="0.2">
      <c r="A833" s="21" t="s">
        <v>860</v>
      </c>
      <c r="B833" s="21" t="str">
        <f t="shared" si="84"/>
        <v>Tuesday</v>
      </c>
      <c r="C833" s="9">
        <f t="shared" si="85"/>
        <v>44551</v>
      </c>
      <c r="D833">
        <v>143.14999399999999</v>
      </c>
      <c r="E833">
        <v>144.692047</v>
      </c>
      <c r="F833">
        <v>141.73500100000001</v>
      </c>
      <c r="G833">
        <v>144.220505</v>
      </c>
      <c r="H833">
        <v>19548000</v>
      </c>
      <c r="I833">
        <f t="shared" si="86"/>
        <v>0</v>
      </c>
      <c r="J833">
        <f t="shared" si="87"/>
        <v>1.82</v>
      </c>
      <c r="K833" t="str">
        <f t="shared" si="88"/>
        <v>Positive</v>
      </c>
      <c r="L833" s="10">
        <f t="shared" si="89"/>
        <v>1.2612630915416756E-2</v>
      </c>
      <c r="M833" t="str">
        <f t="shared" si="90"/>
        <v/>
      </c>
    </row>
    <row r="834" spans="1:13" x14ac:dyDescent="0.2">
      <c r="A834" s="21" t="s">
        <v>861</v>
      </c>
      <c r="B834" s="21" t="str">
        <f t="shared" si="84"/>
        <v>Wednesday</v>
      </c>
      <c r="C834" s="9">
        <f t="shared" si="85"/>
        <v>44552</v>
      </c>
      <c r="D834">
        <v>144.10000600000001</v>
      </c>
      <c r="E834">
        <v>147.30299400000001</v>
      </c>
      <c r="F834">
        <v>143.962997</v>
      </c>
      <c r="G834">
        <v>146.949005</v>
      </c>
      <c r="H834">
        <v>18438000</v>
      </c>
      <c r="I834">
        <f t="shared" si="86"/>
        <v>0</v>
      </c>
      <c r="J834">
        <f t="shared" si="87"/>
        <v>2.73</v>
      </c>
      <c r="K834" t="str">
        <f t="shared" si="88"/>
        <v>Positive</v>
      </c>
      <c r="L834" s="10">
        <f t="shared" si="89"/>
        <v>1.8567665701445184E-2</v>
      </c>
      <c r="M834" t="str">
        <f t="shared" si="90"/>
        <v/>
      </c>
    </row>
    <row r="835" spans="1:13" x14ac:dyDescent="0.2">
      <c r="A835" s="21" t="s">
        <v>862</v>
      </c>
      <c r="B835" s="21" t="str">
        <f t="shared" ref="B835:B898" si="91">LEFT(A835,SEARCH(",",A835)-1)</f>
        <v>Thursday</v>
      </c>
      <c r="C835" s="9">
        <f t="shared" ref="C835:C898" si="92">DATEVALUE(RIGHT(A835,LEN(A835) - SEARCH(",",A835)))</f>
        <v>44553</v>
      </c>
      <c r="D835">
        <v>147.089493</v>
      </c>
      <c r="E835">
        <v>148.57260099999999</v>
      </c>
      <c r="F835">
        <v>146.950851</v>
      </c>
      <c r="G835">
        <v>147.14250200000001</v>
      </c>
      <c r="H835">
        <v>13818000</v>
      </c>
      <c r="I835">
        <f t="shared" ref="I835:I898" si="93">COUNTBLANK(A835:H835)</f>
        <v>0</v>
      </c>
      <c r="J835">
        <f t="shared" ref="J835:J898" si="94">ROUND(IF(ISNUMBER(G834),G835-G834,0),2)</f>
        <v>0.19</v>
      </c>
      <c r="K835" t="str">
        <f t="shared" ref="K835:K898" si="95">IF(J835=0,"Neutral",IF(J835&gt;0,"Positive","Negative"))</f>
        <v>Positive</v>
      </c>
      <c r="L835" s="10">
        <f t="shared" ref="L835:L898" si="96">IF(ISNUMBER(G834),((G835-G834)/G835),0)</f>
        <v>1.3150313292892614E-3</v>
      </c>
      <c r="M835" t="str">
        <f t="shared" ref="M835:M898" si="97">IF(L835&gt;0.05,L835,"")</f>
        <v/>
      </c>
    </row>
    <row r="836" spans="1:13" x14ac:dyDescent="0.2">
      <c r="A836" s="21" t="s">
        <v>863</v>
      </c>
      <c r="B836" s="21" t="str">
        <f t="shared" si="91"/>
        <v>Monday</v>
      </c>
      <c r="C836" s="9">
        <f t="shared" si="92"/>
        <v>44557</v>
      </c>
      <c r="D836">
        <v>147.46350100000001</v>
      </c>
      <c r="E836">
        <v>148.42649800000001</v>
      </c>
      <c r="F836">
        <v>147.25</v>
      </c>
      <c r="G836">
        <v>148.06399500000001</v>
      </c>
      <c r="H836">
        <v>13256000</v>
      </c>
      <c r="I836">
        <f t="shared" si="93"/>
        <v>0</v>
      </c>
      <c r="J836">
        <f t="shared" si="94"/>
        <v>0.92</v>
      </c>
      <c r="K836" t="str">
        <f t="shared" si="95"/>
        <v>Positive</v>
      </c>
      <c r="L836" s="10">
        <f t="shared" si="96"/>
        <v>6.2236129722151434E-3</v>
      </c>
      <c r="M836" t="str">
        <f t="shared" si="97"/>
        <v/>
      </c>
    </row>
    <row r="837" spans="1:13" x14ac:dyDescent="0.2">
      <c r="A837" s="21" t="s">
        <v>864</v>
      </c>
      <c r="B837" s="21" t="str">
        <f t="shared" si="91"/>
        <v>Tuesday</v>
      </c>
      <c r="C837" s="9">
        <f t="shared" si="92"/>
        <v>44558</v>
      </c>
      <c r="D837">
        <v>148.37449599999999</v>
      </c>
      <c r="E837">
        <v>148.37449599999999</v>
      </c>
      <c r="F837">
        <v>145.93550099999999</v>
      </c>
      <c r="G837">
        <v>146.44799800000001</v>
      </c>
      <c r="H837">
        <v>18624000</v>
      </c>
      <c r="I837">
        <f t="shared" si="93"/>
        <v>0</v>
      </c>
      <c r="J837">
        <f t="shared" si="94"/>
        <v>-1.62</v>
      </c>
      <c r="K837" t="str">
        <f t="shared" si="95"/>
        <v>Negative</v>
      </c>
      <c r="L837" s="10">
        <f t="shared" si="96"/>
        <v>-1.1034613119122277E-2</v>
      </c>
      <c r="M837" t="str">
        <f t="shared" si="97"/>
        <v/>
      </c>
    </row>
    <row r="838" spans="1:13" x14ac:dyDescent="0.2">
      <c r="A838" s="21" t="s">
        <v>865</v>
      </c>
      <c r="B838" s="21" t="str">
        <f t="shared" si="91"/>
        <v>Wednesday</v>
      </c>
      <c r="C838" s="9">
        <f t="shared" si="92"/>
        <v>44559</v>
      </c>
      <c r="D838">
        <v>146.42950400000001</v>
      </c>
      <c r="E838">
        <v>147.18374600000001</v>
      </c>
      <c r="F838">
        <v>145.504501</v>
      </c>
      <c r="G838">
        <v>146.504501</v>
      </c>
      <c r="H838">
        <v>17022000</v>
      </c>
      <c r="I838">
        <f t="shared" si="93"/>
        <v>0</v>
      </c>
      <c r="J838">
        <f t="shared" si="94"/>
        <v>0.06</v>
      </c>
      <c r="K838" t="str">
        <f t="shared" si="95"/>
        <v>Positive</v>
      </c>
      <c r="L838" s="10">
        <f t="shared" si="96"/>
        <v>3.8567415754681963E-4</v>
      </c>
      <c r="M838" t="str">
        <f t="shared" si="97"/>
        <v/>
      </c>
    </row>
    <row r="839" spans="1:13" x14ac:dyDescent="0.2">
      <c r="A839" s="21" t="s">
        <v>866</v>
      </c>
      <c r="B839" s="21" t="str">
        <f t="shared" si="91"/>
        <v>Thursday</v>
      </c>
      <c r="C839" s="9">
        <f t="shared" si="92"/>
        <v>44560</v>
      </c>
      <c r="D839">
        <v>146.449997</v>
      </c>
      <c r="E839">
        <v>147.0625</v>
      </c>
      <c r="F839">
        <v>145.758499</v>
      </c>
      <c r="G839">
        <v>146.00250199999999</v>
      </c>
      <c r="H839">
        <v>12978000</v>
      </c>
      <c r="I839">
        <f t="shared" si="93"/>
        <v>0</v>
      </c>
      <c r="J839">
        <f t="shared" si="94"/>
        <v>-0.5</v>
      </c>
      <c r="K839" t="str">
        <f t="shared" si="95"/>
        <v>Negative</v>
      </c>
      <c r="L839" s="10">
        <f t="shared" si="96"/>
        <v>-3.4382903931332088E-3</v>
      </c>
      <c r="M839" t="str">
        <f t="shared" si="97"/>
        <v/>
      </c>
    </row>
    <row r="840" spans="1:13" x14ac:dyDescent="0.2">
      <c r="A840" s="21" t="s">
        <v>867</v>
      </c>
      <c r="B840" s="21" t="str">
        <f t="shared" si="91"/>
        <v>Friday</v>
      </c>
      <c r="C840" s="9">
        <f t="shared" si="92"/>
        <v>44561</v>
      </c>
      <c r="D840">
        <v>145.544006</v>
      </c>
      <c r="E840">
        <v>146.365005</v>
      </c>
      <c r="F840">
        <v>144.677505</v>
      </c>
      <c r="G840">
        <v>144.67950400000001</v>
      </c>
      <c r="H840">
        <v>17298000</v>
      </c>
      <c r="I840">
        <f t="shared" si="93"/>
        <v>0</v>
      </c>
      <c r="J840">
        <f t="shared" si="94"/>
        <v>-1.32</v>
      </c>
      <c r="K840" t="str">
        <f t="shared" si="95"/>
        <v>Negative</v>
      </c>
      <c r="L840" s="10">
        <f t="shared" si="96"/>
        <v>-9.1443360215002125E-3</v>
      </c>
      <c r="M840" t="str">
        <f t="shared" si="97"/>
        <v/>
      </c>
    </row>
    <row r="841" spans="1:13" x14ac:dyDescent="0.2">
      <c r="A841" s="21" t="s">
        <v>868</v>
      </c>
      <c r="B841" s="21" t="str">
        <f t="shared" si="91"/>
        <v>Monday</v>
      </c>
      <c r="C841" s="9">
        <f t="shared" si="92"/>
        <v>44564</v>
      </c>
      <c r="D841">
        <v>144.475494</v>
      </c>
      <c r="E841">
        <v>145.550003</v>
      </c>
      <c r="F841">
        <v>143.50250199999999</v>
      </c>
      <c r="G841">
        <v>145.07449299999999</v>
      </c>
      <c r="H841">
        <v>25214000</v>
      </c>
      <c r="I841">
        <f t="shared" si="93"/>
        <v>0</v>
      </c>
      <c r="J841">
        <f t="shared" si="94"/>
        <v>0.39</v>
      </c>
      <c r="K841" t="str">
        <f t="shared" si="95"/>
        <v>Positive</v>
      </c>
      <c r="L841" s="10">
        <f t="shared" si="96"/>
        <v>2.7226633147701658E-3</v>
      </c>
      <c r="M841" t="str">
        <f t="shared" si="97"/>
        <v/>
      </c>
    </row>
    <row r="842" spans="1:13" x14ac:dyDescent="0.2">
      <c r="A842" s="21" t="s">
        <v>869</v>
      </c>
      <c r="B842" s="21" t="str">
        <f t="shared" si="91"/>
        <v>Tuesday</v>
      </c>
      <c r="C842" s="9">
        <f t="shared" si="92"/>
        <v>44565</v>
      </c>
      <c r="D842">
        <v>145.55050700000001</v>
      </c>
      <c r="E842">
        <v>146.61000100000001</v>
      </c>
      <c r="F842">
        <v>143.816147</v>
      </c>
      <c r="G842">
        <v>144.416504</v>
      </c>
      <c r="H842">
        <v>22928000</v>
      </c>
      <c r="I842">
        <f t="shared" si="93"/>
        <v>0</v>
      </c>
      <c r="J842">
        <f t="shared" si="94"/>
        <v>-0.66</v>
      </c>
      <c r="K842" t="str">
        <f t="shared" si="95"/>
        <v>Negative</v>
      </c>
      <c r="L842" s="10">
        <f t="shared" si="96"/>
        <v>-4.5561897828518714E-3</v>
      </c>
      <c r="M842" t="str">
        <f t="shared" si="97"/>
        <v/>
      </c>
    </row>
    <row r="843" spans="1:13" x14ac:dyDescent="0.2">
      <c r="A843" s="21" t="s">
        <v>870</v>
      </c>
      <c r="B843" s="21" t="str">
        <f t="shared" si="91"/>
        <v>Wednesday</v>
      </c>
      <c r="C843" s="9">
        <f t="shared" si="92"/>
        <v>44566</v>
      </c>
      <c r="D843">
        <v>144.18100000000001</v>
      </c>
      <c r="E843">
        <v>144.29800399999999</v>
      </c>
      <c r="F843">
        <v>137.52349899999999</v>
      </c>
      <c r="G843">
        <v>137.653503</v>
      </c>
      <c r="H843">
        <v>49642000</v>
      </c>
      <c r="I843">
        <f t="shared" si="93"/>
        <v>0</v>
      </c>
      <c r="J843">
        <f t="shared" si="94"/>
        <v>-6.76</v>
      </c>
      <c r="K843" t="str">
        <f t="shared" si="95"/>
        <v>Negative</v>
      </c>
      <c r="L843" s="10">
        <f t="shared" si="96"/>
        <v>-4.9130613116325869E-2</v>
      </c>
      <c r="M843" t="str">
        <f t="shared" si="97"/>
        <v/>
      </c>
    </row>
    <row r="844" spans="1:13" x14ac:dyDescent="0.2">
      <c r="A844" s="21" t="s">
        <v>871</v>
      </c>
      <c r="B844" s="21" t="str">
        <f t="shared" si="91"/>
        <v>Thursday</v>
      </c>
      <c r="C844" s="9">
        <f t="shared" si="92"/>
        <v>44567</v>
      </c>
      <c r="D844">
        <v>137.49749800000001</v>
      </c>
      <c r="E844">
        <v>139.68600499999999</v>
      </c>
      <c r="F844">
        <v>136.76350400000001</v>
      </c>
      <c r="G844">
        <v>137.550995</v>
      </c>
      <c r="H844">
        <v>29050000</v>
      </c>
      <c r="I844">
        <f t="shared" si="93"/>
        <v>0</v>
      </c>
      <c r="J844">
        <f t="shared" si="94"/>
        <v>-0.1</v>
      </c>
      <c r="K844" t="str">
        <f t="shared" si="95"/>
        <v>Negative</v>
      </c>
      <c r="L844" s="10">
        <f t="shared" si="96"/>
        <v>-7.4523633943905871E-4</v>
      </c>
      <c r="M844" t="str">
        <f t="shared" si="97"/>
        <v/>
      </c>
    </row>
    <row r="845" spans="1:13" x14ac:dyDescent="0.2">
      <c r="A845" s="21" t="s">
        <v>872</v>
      </c>
      <c r="B845" s="21" t="str">
        <f t="shared" si="91"/>
        <v>Friday</v>
      </c>
      <c r="C845" s="9">
        <f t="shared" si="92"/>
        <v>44568</v>
      </c>
      <c r="D845">
        <v>137.904999</v>
      </c>
      <c r="E845">
        <v>138.25474500000001</v>
      </c>
      <c r="F845">
        <v>135.78900100000001</v>
      </c>
      <c r="G845">
        <v>137.004501</v>
      </c>
      <c r="H845">
        <v>19408000</v>
      </c>
      <c r="I845">
        <f t="shared" si="93"/>
        <v>0</v>
      </c>
      <c r="J845">
        <f t="shared" si="94"/>
        <v>-0.55000000000000004</v>
      </c>
      <c r="K845" t="str">
        <f t="shared" si="95"/>
        <v>Negative</v>
      </c>
      <c r="L845" s="10">
        <f t="shared" si="96"/>
        <v>-3.9888762486715353E-3</v>
      </c>
      <c r="M845" t="str">
        <f t="shared" si="97"/>
        <v/>
      </c>
    </row>
    <row r="846" spans="1:13" x14ac:dyDescent="0.2">
      <c r="A846" s="21" t="s">
        <v>873</v>
      </c>
      <c r="B846" s="21" t="str">
        <f t="shared" si="91"/>
        <v>Monday</v>
      </c>
      <c r="C846" s="9">
        <f t="shared" si="92"/>
        <v>44571</v>
      </c>
      <c r="D846">
        <v>135.09899899999999</v>
      </c>
      <c r="E846">
        <v>138.63999899999999</v>
      </c>
      <c r="F846">
        <v>133.140503</v>
      </c>
      <c r="G846">
        <v>138.574005</v>
      </c>
      <c r="H846">
        <v>34096000</v>
      </c>
      <c r="I846">
        <f t="shared" si="93"/>
        <v>0</v>
      </c>
      <c r="J846">
        <f t="shared" si="94"/>
        <v>1.57</v>
      </c>
      <c r="K846" t="str">
        <f t="shared" si="95"/>
        <v>Positive</v>
      </c>
      <c r="L846" s="10">
        <f t="shared" si="96"/>
        <v>1.1326106941918832E-2</v>
      </c>
      <c r="M846" t="str">
        <f t="shared" si="97"/>
        <v/>
      </c>
    </row>
    <row r="847" spans="1:13" x14ac:dyDescent="0.2">
      <c r="A847" s="21" t="s">
        <v>874</v>
      </c>
      <c r="B847" s="21" t="str">
        <f t="shared" si="91"/>
        <v>Tuesday</v>
      </c>
      <c r="C847" s="9">
        <f t="shared" si="92"/>
        <v>44572</v>
      </c>
      <c r="D847">
        <v>138.18049600000001</v>
      </c>
      <c r="E847">
        <v>140.329498</v>
      </c>
      <c r="F847">
        <v>136.81350699999999</v>
      </c>
      <c r="G847">
        <v>140.01750200000001</v>
      </c>
      <c r="H847">
        <v>23502000</v>
      </c>
      <c r="I847">
        <f t="shared" si="93"/>
        <v>0</v>
      </c>
      <c r="J847">
        <f t="shared" si="94"/>
        <v>1.44</v>
      </c>
      <c r="K847" t="str">
        <f t="shared" si="95"/>
        <v>Positive</v>
      </c>
      <c r="L847" s="10">
        <f t="shared" si="96"/>
        <v>1.0309404034361416E-2</v>
      </c>
      <c r="M847" t="str">
        <f t="shared" si="97"/>
        <v/>
      </c>
    </row>
    <row r="848" spans="1:13" x14ac:dyDescent="0.2">
      <c r="A848" s="21" t="s">
        <v>875</v>
      </c>
      <c r="B848" s="21" t="str">
        <f t="shared" si="91"/>
        <v>Wednesday</v>
      </c>
      <c r="C848" s="9">
        <f t="shared" si="92"/>
        <v>44573</v>
      </c>
      <c r="D848">
        <v>141.55450400000001</v>
      </c>
      <c r="E848">
        <v>142.814255</v>
      </c>
      <c r="F848">
        <v>141.11199999999999</v>
      </c>
      <c r="G848">
        <v>141.64799500000001</v>
      </c>
      <c r="H848">
        <v>23642000</v>
      </c>
      <c r="I848">
        <f t="shared" si="93"/>
        <v>0</v>
      </c>
      <c r="J848">
        <f t="shared" si="94"/>
        <v>1.63</v>
      </c>
      <c r="K848" t="str">
        <f t="shared" si="95"/>
        <v>Positive</v>
      </c>
      <c r="L848" s="10">
        <f t="shared" si="96"/>
        <v>1.1510879486857552E-2</v>
      </c>
      <c r="M848" t="str">
        <f t="shared" si="97"/>
        <v/>
      </c>
    </row>
    <row r="849" spans="1:13" x14ac:dyDescent="0.2">
      <c r="A849" s="21" t="s">
        <v>876</v>
      </c>
      <c r="B849" s="21" t="str">
        <f t="shared" si="91"/>
        <v>Thursday</v>
      </c>
      <c r="C849" s="9">
        <f t="shared" si="92"/>
        <v>44574</v>
      </c>
      <c r="D849">
        <v>141.84049999999999</v>
      </c>
      <c r="E849">
        <v>143.18550099999999</v>
      </c>
      <c r="F849">
        <v>138.91400100000001</v>
      </c>
      <c r="G849">
        <v>139.13099700000001</v>
      </c>
      <c r="H849">
        <v>26566000</v>
      </c>
      <c r="I849">
        <f t="shared" si="93"/>
        <v>0</v>
      </c>
      <c r="J849">
        <f t="shared" si="94"/>
        <v>-2.52</v>
      </c>
      <c r="K849" t="str">
        <f t="shared" si="95"/>
        <v>Negative</v>
      </c>
      <c r="L849" s="10">
        <f t="shared" si="96"/>
        <v>-1.8090850021005748E-2</v>
      </c>
      <c r="M849" t="str">
        <f t="shared" si="97"/>
        <v/>
      </c>
    </row>
    <row r="850" spans="1:13" x14ac:dyDescent="0.2">
      <c r="A850" s="21" t="s">
        <v>877</v>
      </c>
      <c r="B850" s="21" t="str">
        <f t="shared" si="91"/>
        <v>Friday</v>
      </c>
      <c r="C850" s="9">
        <f t="shared" si="92"/>
        <v>44575</v>
      </c>
      <c r="D850">
        <v>137.5</v>
      </c>
      <c r="E850">
        <v>141.20050000000001</v>
      </c>
      <c r="F850">
        <v>137.5</v>
      </c>
      <c r="G850">
        <v>139.78649899999999</v>
      </c>
      <c r="H850">
        <v>23826000</v>
      </c>
      <c r="I850">
        <f t="shared" si="93"/>
        <v>0</v>
      </c>
      <c r="J850">
        <f t="shared" si="94"/>
        <v>0.66</v>
      </c>
      <c r="K850" t="str">
        <f t="shared" si="95"/>
        <v>Positive</v>
      </c>
      <c r="L850" s="10">
        <f t="shared" si="96"/>
        <v>4.6893083716188092E-3</v>
      </c>
      <c r="M850" t="str">
        <f t="shared" si="97"/>
        <v/>
      </c>
    </row>
    <row r="851" spans="1:13" x14ac:dyDescent="0.2">
      <c r="A851" s="21" t="s">
        <v>878</v>
      </c>
      <c r="B851" s="21" t="str">
        <f t="shared" si="91"/>
        <v>Tuesday</v>
      </c>
      <c r="C851" s="9">
        <f t="shared" si="92"/>
        <v>44579</v>
      </c>
      <c r="D851">
        <v>136.60000600000001</v>
      </c>
      <c r="E851">
        <v>137.39149499999999</v>
      </c>
      <c r="F851">
        <v>135.61700400000001</v>
      </c>
      <c r="G851">
        <v>136.29049699999999</v>
      </c>
      <c r="H851">
        <v>27382000</v>
      </c>
      <c r="I851">
        <f t="shared" si="93"/>
        <v>0</v>
      </c>
      <c r="J851">
        <f t="shared" si="94"/>
        <v>-3.5</v>
      </c>
      <c r="K851" t="str">
        <f t="shared" si="95"/>
        <v>Negative</v>
      </c>
      <c r="L851" s="10">
        <f t="shared" si="96"/>
        <v>-2.5651106107566726E-2</v>
      </c>
      <c r="M851" t="str">
        <f t="shared" si="97"/>
        <v/>
      </c>
    </row>
    <row r="852" spans="1:13" x14ac:dyDescent="0.2">
      <c r="A852" s="21" t="s">
        <v>879</v>
      </c>
      <c r="B852" s="21" t="str">
        <f t="shared" si="91"/>
        <v>Wednesday</v>
      </c>
      <c r="C852" s="9">
        <f t="shared" si="92"/>
        <v>44580</v>
      </c>
      <c r="D852">
        <v>136.93850699999999</v>
      </c>
      <c r="E852">
        <v>138.399506</v>
      </c>
      <c r="F852">
        <v>135.5</v>
      </c>
      <c r="G852">
        <v>135.651993</v>
      </c>
      <c r="H852">
        <v>20796000</v>
      </c>
      <c r="I852">
        <f t="shared" si="93"/>
        <v>0</v>
      </c>
      <c r="J852">
        <f t="shared" si="94"/>
        <v>-0.64</v>
      </c>
      <c r="K852" t="str">
        <f t="shared" si="95"/>
        <v>Negative</v>
      </c>
      <c r="L852" s="10">
        <f t="shared" si="96"/>
        <v>-4.7069267902314074E-3</v>
      </c>
      <c r="M852" t="str">
        <f t="shared" si="97"/>
        <v/>
      </c>
    </row>
    <row r="853" spans="1:13" x14ac:dyDescent="0.2">
      <c r="A853" s="21" t="s">
        <v>880</v>
      </c>
      <c r="B853" s="21" t="str">
        <f t="shared" si="91"/>
        <v>Thursday</v>
      </c>
      <c r="C853" s="9">
        <f t="shared" si="92"/>
        <v>44581</v>
      </c>
      <c r="D853">
        <v>136.51400799999999</v>
      </c>
      <c r="E853">
        <v>137.912003</v>
      </c>
      <c r="F853">
        <v>133.14450099999999</v>
      </c>
      <c r="G853">
        <v>133.50649999999999</v>
      </c>
      <c r="H853">
        <v>21930000</v>
      </c>
      <c r="I853">
        <f t="shared" si="93"/>
        <v>0</v>
      </c>
      <c r="J853">
        <f t="shared" si="94"/>
        <v>-2.15</v>
      </c>
      <c r="K853" t="str">
        <f t="shared" si="95"/>
        <v>Negative</v>
      </c>
      <c r="L853" s="10">
        <f t="shared" si="96"/>
        <v>-1.6070326163894765E-2</v>
      </c>
      <c r="M853" t="str">
        <f t="shared" si="97"/>
        <v/>
      </c>
    </row>
    <row r="854" spans="1:13" x14ac:dyDescent="0.2">
      <c r="A854" s="21" t="s">
        <v>881</v>
      </c>
      <c r="B854" s="21" t="str">
        <f t="shared" si="91"/>
        <v>Friday</v>
      </c>
      <c r="C854" s="9">
        <f t="shared" si="92"/>
        <v>44582</v>
      </c>
      <c r="D854">
        <v>133.01199299999999</v>
      </c>
      <c r="E854">
        <v>134.76049800000001</v>
      </c>
      <c r="F854">
        <v>130.00100699999999</v>
      </c>
      <c r="G854">
        <v>130.091995</v>
      </c>
      <c r="H854">
        <v>41920000</v>
      </c>
      <c r="I854">
        <f t="shared" si="93"/>
        <v>0</v>
      </c>
      <c r="J854">
        <f t="shared" si="94"/>
        <v>-3.41</v>
      </c>
      <c r="K854" t="str">
        <f t="shared" si="95"/>
        <v>Negative</v>
      </c>
      <c r="L854" s="10">
        <f t="shared" si="96"/>
        <v>-2.6246849393000631E-2</v>
      </c>
      <c r="M854" t="str">
        <f t="shared" si="97"/>
        <v/>
      </c>
    </row>
    <row r="855" spans="1:13" x14ac:dyDescent="0.2">
      <c r="A855" s="21" t="s">
        <v>882</v>
      </c>
      <c r="B855" s="21" t="str">
        <f t="shared" si="91"/>
        <v>Monday</v>
      </c>
      <c r="C855" s="9">
        <f t="shared" si="92"/>
        <v>44585</v>
      </c>
      <c r="D855">
        <v>126.027496</v>
      </c>
      <c r="E855">
        <v>130.778503</v>
      </c>
      <c r="F855">
        <v>124.641953</v>
      </c>
      <c r="G855">
        <v>130.371994</v>
      </c>
      <c r="H855">
        <v>55148000</v>
      </c>
      <c r="I855">
        <f t="shared" si="93"/>
        <v>0</v>
      </c>
      <c r="J855">
        <f t="shared" si="94"/>
        <v>0.28000000000000003</v>
      </c>
      <c r="K855" t="str">
        <f t="shared" si="95"/>
        <v>Positive</v>
      </c>
      <c r="L855" s="10">
        <f t="shared" si="96"/>
        <v>2.1476928549547507E-3</v>
      </c>
      <c r="M855" t="str">
        <f t="shared" si="97"/>
        <v/>
      </c>
    </row>
    <row r="856" spans="1:13" x14ac:dyDescent="0.2">
      <c r="A856" s="21" t="s">
        <v>883</v>
      </c>
      <c r="B856" s="21" t="str">
        <f t="shared" si="91"/>
        <v>Tuesday</v>
      </c>
      <c r="C856" s="9">
        <f t="shared" si="92"/>
        <v>44586</v>
      </c>
      <c r="D856">
        <v>128.43550099999999</v>
      </c>
      <c r="E856">
        <v>129.33850100000001</v>
      </c>
      <c r="F856">
        <v>126.37799800000001</v>
      </c>
      <c r="G856">
        <v>126.735497</v>
      </c>
      <c r="H856">
        <v>36008000</v>
      </c>
      <c r="I856">
        <f t="shared" si="93"/>
        <v>0</v>
      </c>
      <c r="J856">
        <f t="shared" si="94"/>
        <v>-3.64</v>
      </c>
      <c r="K856" t="str">
        <f t="shared" si="95"/>
        <v>Negative</v>
      </c>
      <c r="L856" s="10">
        <f t="shared" si="96"/>
        <v>-2.8693594818190563E-2</v>
      </c>
      <c r="M856" t="str">
        <f t="shared" si="97"/>
        <v/>
      </c>
    </row>
    <row r="857" spans="1:13" x14ac:dyDescent="0.2">
      <c r="A857" s="21" t="s">
        <v>884</v>
      </c>
      <c r="B857" s="21" t="str">
        <f t="shared" si="91"/>
        <v>Wednesday</v>
      </c>
      <c r="C857" s="9">
        <f t="shared" si="92"/>
        <v>44587</v>
      </c>
      <c r="D857">
        <v>130.592499</v>
      </c>
      <c r="E857">
        <v>132.80749499999999</v>
      </c>
      <c r="F857">
        <v>127.153503</v>
      </c>
      <c r="G857">
        <v>129.240005</v>
      </c>
      <c r="H857">
        <v>39630000</v>
      </c>
      <c r="I857">
        <f t="shared" si="93"/>
        <v>0</v>
      </c>
      <c r="J857">
        <f t="shared" si="94"/>
        <v>2.5</v>
      </c>
      <c r="K857" t="str">
        <f t="shared" si="95"/>
        <v>Positive</v>
      </c>
      <c r="L857" s="10">
        <f t="shared" si="96"/>
        <v>1.9378736483335803E-2</v>
      </c>
      <c r="M857" t="str">
        <f t="shared" si="97"/>
        <v/>
      </c>
    </row>
    <row r="858" spans="1:13" x14ac:dyDescent="0.2">
      <c r="A858" s="21" t="s">
        <v>885</v>
      </c>
      <c r="B858" s="21" t="str">
        <f t="shared" si="91"/>
        <v>Thursday</v>
      </c>
      <c r="C858" s="9">
        <f t="shared" si="92"/>
        <v>44588</v>
      </c>
      <c r="D858">
        <v>131.36099200000001</v>
      </c>
      <c r="E858">
        <v>132.60995500000001</v>
      </c>
      <c r="F858">
        <v>128.945007</v>
      </c>
      <c r="G858">
        <v>129.121002</v>
      </c>
      <c r="H858">
        <v>30248000</v>
      </c>
      <c r="I858">
        <f t="shared" si="93"/>
        <v>0</v>
      </c>
      <c r="J858">
        <f t="shared" si="94"/>
        <v>-0.12</v>
      </c>
      <c r="K858" t="str">
        <f t="shared" si="95"/>
        <v>Negative</v>
      </c>
      <c r="L858" s="10">
        <f t="shared" si="96"/>
        <v>-9.2163937823214995E-4</v>
      </c>
      <c r="M858" t="str">
        <f t="shared" si="97"/>
        <v/>
      </c>
    </row>
    <row r="859" spans="1:13" x14ac:dyDescent="0.2">
      <c r="A859" s="21" t="s">
        <v>886</v>
      </c>
      <c r="B859" s="21" t="str">
        <f t="shared" si="91"/>
        <v>Friday</v>
      </c>
      <c r="C859" s="9">
        <f t="shared" si="92"/>
        <v>44589</v>
      </c>
      <c r="D859">
        <v>130</v>
      </c>
      <c r="E859">
        <v>133.370499</v>
      </c>
      <c r="F859">
        <v>128.69450399999999</v>
      </c>
      <c r="G859">
        <v>133.28950499999999</v>
      </c>
      <c r="H859">
        <v>30518000</v>
      </c>
      <c r="I859">
        <f t="shared" si="93"/>
        <v>0</v>
      </c>
      <c r="J859">
        <f t="shared" si="94"/>
        <v>4.17</v>
      </c>
      <c r="K859" t="str">
        <f t="shared" si="95"/>
        <v>Positive</v>
      </c>
      <c r="L859" s="10">
        <f t="shared" si="96"/>
        <v>3.1274052672038859E-2</v>
      </c>
      <c r="M859" t="str">
        <f t="shared" si="97"/>
        <v/>
      </c>
    </row>
    <row r="860" spans="1:13" x14ac:dyDescent="0.2">
      <c r="A860" s="21" t="s">
        <v>887</v>
      </c>
      <c r="B860" s="21" t="str">
        <f t="shared" si="91"/>
        <v>Monday</v>
      </c>
      <c r="C860" s="9">
        <f t="shared" si="92"/>
        <v>44592</v>
      </c>
      <c r="D860">
        <v>134.19799800000001</v>
      </c>
      <c r="E860">
        <v>135.84350599999999</v>
      </c>
      <c r="F860">
        <v>132.274002</v>
      </c>
      <c r="G860">
        <v>135.69850199999999</v>
      </c>
      <c r="H860">
        <v>34056000</v>
      </c>
      <c r="I860">
        <f t="shared" si="93"/>
        <v>0</v>
      </c>
      <c r="J860">
        <f t="shared" si="94"/>
        <v>2.41</v>
      </c>
      <c r="K860" t="str">
        <f t="shared" si="95"/>
        <v>Positive</v>
      </c>
      <c r="L860" s="10">
        <f t="shared" si="96"/>
        <v>1.7752568852970829E-2</v>
      </c>
      <c r="M860" t="str">
        <f t="shared" si="97"/>
        <v/>
      </c>
    </row>
    <row r="861" spans="1:13" x14ac:dyDescent="0.2">
      <c r="A861" s="21" t="s">
        <v>888</v>
      </c>
      <c r="B861" s="21" t="str">
        <f t="shared" si="91"/>
        <v>Tuesday</v>
      </c>
      <c r="C861" s="9">
        <f t="shared" si="92"/>
        <v>44593</v>
      </c>
      <c r="D861">
        <v>137.83500699999999</v>
      </c>
      <c r="E861">
        <v>138.199997</v>
      </c>
      <c r="F861">
        <v>134.568253</v>
      </c>
      <c r="G861">
        <v>137.87849399999999</v>
      </c>
      <c r="H861">
        <v>51204000</v>
      </c>
      <c r="I861">
        <f t="shared" si="93"/>
        <v>0</v>
      </c>
      <c r="J861">
        <f t="shared" si="94"/>
        <v>2.1800000000000002</v>
      </c>
      <c r="K861" t="str">
        <f t="shared" si="95"/>
        <v>Positive</v>
      </c>
      <c r="L861" s="10">
        <f t="shared" si="96"/>
        <v>1.581096468895286E-2</v>
      </c>
      <c r="M861" t="str">
        <f t="shared" si="97"/>
        <v/>
      </c>
    </row>
    <row r="862" spans="1:13" x14ac:dyDescent="0.2">
      <c r="A862" s="21" t="s">
        <v>889</v>
      </c>
      <c r="B862" s="21" t="str">
        <f t="shared" si="91"/>
        <v>Wednesday</v>
      </c>
      <c r="C862" s="9">
        <f t="shared" si="92"/>
        <v>44594</v>
      </c>
      <c r="D862">
        <v>151.863495</v>
      </c>
      <c r="E862">
        <v>152.10000600000001</v>
      </c>
      <c r="F862">
        <v>145.55749499999999</v>
      </c>
      <c r="G862">
        <v>148.03649899999999</v>
      </c>
      <c r="H862">
        <v>89750000</v>
      </c>
      <c r="I862">
        <f t="shared" si="93"/>
        <v>0</v>
      </c>
      <c r="J862">
        <f t="shared" si="94"/>
        <v>10.16</v>
      </c>
      <c r="K862" t="str">
        <f t="shared" si="95"/>
        <v>Positive</v>
      </c>
      <c r="L862" s="10">
        <f t="shared" si="96"/>
        <v>6.8618246639296734E-2</v>
      </c>
      <c r="M862">
        <f t="shared" si="97"/>
        <v>6.8618246639296734E-2</v>
      </c>
    </row>
    <row r="863" spans="1:13" x14ac:dyDescent="0.2">
      <c r="A863" s="21" t="s">
        <v>890</v>
      </c>
      <c r="B863" s="21" t="str">
        <f t="shared" si="91"/>
        <v>Thursday</v>
      </c>
      <c r="C863" s="9">
        <f t="shared" si="92"/>
        <v>44595</v>
      </c>
      <c r="D863">
        <v>145.29499799999999</v>
      </c>
      <c r="E863">
        <v>149.117706</v>
      </c>
      <c r="F863">
        <v>142.20500200000001</v>
      </c>
      <c r="G863">
        <v>142.650497</v>
      </c>
      <c r="H863">
        <v>56930000</v>
      </c>
      <c r="I863">
        <f t="shared" si="93"/>
        <v>0</v>
      </c>
      <c r="J863">
        <f t="shared" si="94"/>
        <v>-5.39</v>
      </c>
      <c r="K863" t="str">
        <f t="shared" si="95"/>
        <v>Negative</v>
      </c>
      <c r="L863" s="10">
        <f t="shared" si="96"/>
        <v>-3.7756629757833865E-2</v>
      </c>
      <c r="M863" t="str">
        <f t="shared" si="97"/>
        <v/>
      </c>
    </row>
    <row r="864" spans="1:13" x14ac:dyDescent="0.2">
      <c r="A864" s="21" t="s">
        <v>891</v>
      </c>
      <c r="B864" s="21" t="str">
        <f t="shared" si="91"/>
        <v>Friday</v>
      </c>
      <c r="C864" s="9">
        <f t="shared" si="92"/>
        <v>44596</v>
      </c>
      <c r="D864">
        <v>143.016998</v>
      </c>
      <c r="E864">
        <v>144.535248</v>
      </c>
      <c r="F864">
        <v>139.81750500000001</v>
      </c>
      <c r="G864">
        <v>143.016006</v>
      </c>
      <c r="H864">
        <v>49224000</v>
      </c>
      <c r="I864">
        <f t="shared" si="93"/>
        <v>0</v>
      </c>
      <c r="J864">
        <f t="shared" si="94"/>
        <v>0.37</v>
      </c>
      <c r="K864" t="str">
        <f t="shared" si="95"/>
        <v>Positive</v>
      </c>
      <c r="L864" s="10">
        <f t="shared" si="96"/>
        <v>2.555720930984487E-3</v>
      </c>
      <c r="M864" t="str">
        <f t="shared" si="97"/>
        <v/>
      </c>
    </row>
    <row r="865" spans="1:13" x14ac:dyDescent="0.2">
      <c r="A865" s="21" t="s">
        <v>892</v>
      </c>
      <c r="B865" s="21" t="str">
        <f t="shared" si="91"/>
        <v>Monday</v>
      </c>
      <c r="C865" s="9">
        <f t="shared" si="92"/>
        <v>44599</v>
      </c>
      <c r="D865">
        <v>143.709</v>
      </c>
      <c r="E865">
        <v>143.846497</v>
      </c>
      <c r="F865">
        <v>138.699005</v>
      </c>
      <c r="G865">
        <v>138.93800400000001</v>
      </c>
      <c r="H865">
        <v>44610000</v>
      </c>
      <c r="I865">
        <f t="shared" si="93"/>
        <v>0</v>
      </c>
      <c r="J865">
        <f t="shared" si="94"/>
        <v>-4.08</v>
      </c>
      <c r="K865" t="str">
        <f t="shared" si="95"/>
        <v>Negative</v>
      </c>
      <c r="L865" s="10">
        <f t="shared" si="96"/>
        <v>-2.9351234958003267E-2</v>
      </c>
      <c r="M865" t="str">
        <f t="shared" si="97"/>
        <v/>
      </c>
    </row>
    <row r="866" spans="1:13" x14ac:dyDescent="0.2">
      <c r="A866" s="21" t="s">
        <v>893</v>
      </c>
      <c r="B866" s="21" t="str">
        <f t="shared" si="91"/>
        <v>Tuesday</v>
      </c>
      <c r="C866" s="9">
        <f t="shared" si="92"/>
        <v>44600</v>
      </c>
      <c r="D866">
        <v>138.99125699999999</v>
      </c>
      <c r="E866">
        <v>139.837097</v>
      </c>
      <c r="F866">
        <v>136.87300099999999</v>
      </c>
      <c r="G866">
        <v>139.212997</v>
      </c>
      <c r="H866">
        <v>34256000</v>
      </c>
      <c r="I866">
        <f t="shared" si="93"/>
        <v>0</v>
      </c>
      <c r="J866">
        <f t="shared" si="94"/>
        <v>0.27</v>
      </c>
      <c r="K866" t="str">
        <f t="shared" si="95"/>
        <v>Positive</v>
      </c>
      <c r="L866" s="10">
        <f t="shared" si="96"/>
        <v>1.9753399892683508E-3</v>
      </c>
      <c r="M866" t="str">
        <f t="shared" si="97"/>
        <v/>
      </c>
    </row>
    <row r="867" spans="1:13" x14ac:dyDescent="0.2">
      <c r="A867" s="21" t="s">
        <v>894</v>
      </c>
      <c r="B867" s="21" t="str">
        <f t="shared" si="91"/>
        <v>Wednesday</v>
      </c>
      <c r="C867" s="9">
        <f t="shared" si="92"/>
        <v>44601</v>
      </c>
      <c r="D867">
        <v>140.84974700000001</v>
      </c>
      <c r="E867">
        <v>142.17550700000001</v>
      </c>
      <c r="F867">
        <v>140.37699900000001</v>
      </c>
      <c r="G867">
        <v>141.453003</v>
      </c>
      <c r="H867">
        <v>28628000</v>
      </c>
      <c r="I867">
        <f t="shared" si="93"/>
        <v>0</v>
      </c>
      <c r="J867">
        <f t="shared" si="94"/>
        <v>2.2400000000000002</v>
      </c>
      <c r="K867" t="str">
        <f t="shared" si="95"/>
        <v>Positive</v>
      </c>
      <c r="L867" s="10">
        <f t="shared" si="96"/>
        <v>1.5835690671056266E-2</v>
      </c>
      <c r="M867" t="str">
        <f t="shared" si="97"/>
        <v/>
      </c>
    </row>
    <row r="868" spans="1:13" x14ac:dyDescent="0.2">
      <c r="A868" s="21" t="s">
        <v>895</v>
      </c>
      <c r="B868" s="21" t="str">
        <f t="shared" si="91"/>
        <v>Thursday</v>
      </c>
      <c r="C868" s="9">
        <f t="shared" si="92"/>
        <v>44602</v>
      </c>
      <c r="D868">
        <v>139.5</v>
      </c>
      <c r="E868">
        <v>141.43100000000001</v>
      </c>
      <c r="F868">
        <v>138.050003</v>
      </c>
      <c r="G868">
        <v>138.60249300000001</v>
      </c>
      <c r="H868">
        <v>33018000</v>
      </c>
      <c r="I868">
        <f t="shared" si="93"/>
        <v>0</v>
      </c>
      <c r="J868">
        <f t="shared" si="94"/>
        <v>-2.85</v>
      </c>
      <c r="K868" t="str">
        <f t="shared" si="95"/>
        <v>Negative</v>
      </c>
      <c r="L868" s="10">
        <f t="shared" si="96"/>
        <v>-2.0566080294096768E-2</v>
      </c>
      <c r="M868" t="str">
        <f t="shared" si="97"/>
        <v/>
      </c>
    </row>
    <row r="869" spans="1:13" x14ac:dyDescent="0.2">
      <c r="A869" s="21" t="s">
        <v>896</v>
      </c>
      <c r="B869" s="21" t="str">
        <f t="shared" si="91"/>
        <v>Friday</v>
      </c>
      <c r="C869" s="9">
        <f t="shared" si="92"/>
        <v>44603</v>
      </c>
      <c r="D869">
        <v>138.75</v>
      </c>
      <c r="E869">
        <v>139.28324900000001</v>
      </c>
      <c r="F869">
        <v>133.288498</v>
      </c>
      <c r="G869">
        <v>134.13000500000001</v>
      </c>
      <c r="H869">
        <v>38808000</v>
      </c>
      <c r="I869">
        <f t="shared" si="93"/>
        <v>0</v>
      </c>
      <c r="J869">
        <f t="shared" si="94"/>
        <v>-4.47</v>
      </c>
      <c r="K869" t="str">
        <f t="shared" si="95"/>
        <v>Negative</v>
      </c>
      <c r="L869" s="10">
        <f t="shared" si="96"/>
        <v>-3.3344425805396774E-2</v>
      </c>
      <c r="M869" t="str">
        <f t="shared" si="97"/>
        <v/>
      </c>
    </row>
    <row r="870" spans="1:13" x14ac:dyDescent="0.2">
      <c r="A870" s="21" t="s">
        <v>897</v>
      </c>
      <c r="B870" s="21" t="str">
        <f t="shared" si="91"/>
        <v>Monday</v>
      </c>
      <c r="C870" s="9">
        <f t="shared" si="92"/>
        <v>44606</v>
      </c>
      <c r="D870">
        <v>133.36549400000001</v>
      </c>
      <c r="E870">
        <v>136.166504</v>
      </c>
      <c r="F870">
        <v>133.30200199999999</v>
      </c>
      <c r="G870">
        <v>135.300003</v>
      </c>
      <c r="H870">
        <v>26792000</v>
      </c>
      <c r="I870">
        <f t="shared" si="93"/>
        <v>0</v>
      </c>
      <c r="J870">
        <f t="shared" si="94"/>
        <v>1.17</v>
      </c>
      <c r="K870" t="str">
        <f t="shared" si="95"/>
        <v>Positive</v>
      </c>
      <c r="L870" s="10">
        <f t="shared" si="96"/>
        <v>8.6474351371595495E-3</v>
      </c>
      <c r="M870" t="str">
        <f t="shared" si="97"/>
        <v/>
      </c>
    </row>
    <row r="871" spans="1:13" x14ac:dyDescent="0.2">
      <c r="A871" s="21" t="s">
        <v>898</v>
      </c>
      <c r="B871" s="21" t="str">
        <f t="shared" si="91"/>
        <v>Tuesday</v>
      </c>
      <c r="C871" s="9">
        <f t="shared" si="92"/>
        <v>44607</v>
      </c>
      <c r="D871">
        <v>137.471497</v>
      </c>
      <c r="E871">
        <v>137.89999399999999</v>
      </c>
      <c r="F871">
        <v>135.53950499999999</v>
      </c>
      <c r="G871">
        <v>136.42550700000001</v>
      </c>
      <c r="H871">
        <v>26578000</v>
      </c>
      <c r="I871">
        <f t="shared" si="93"/>
        <v>0</v>
      </c>
      <c r="J871">
        <f t="shared" si="94"/>
        <v>1.1299999999999999</v>
      </c>
      <c r="K871" t="str">
        <f t="shared" si="95"/>
        <v>Positive</v>
      </c>
      <c r="L871" s="10">
        <f t="shared" si="96"/>
        <v>8.2499528478938069E-3</v>
      </c>
      <c r="M871" t="str">
        <f t="shared" si="97"/>
        <v/>
      </c>
    </row>
    <row r="872" spans="1:13" x14ac:dyDescent="0.2">
      <c r="A872" s="21" t="s">
        <v>899</v>
      </c>
      <c r="B872" s="21" t="str">
        <f t="shared" si="91"/>
        <v>Wednesday</v>
      </c>
      <c r="C872" s="9">
        <f t="shared" si="92"/>
        <v>44608</v>
      </c>
      <c r="D872">
        <v>136.43049600000001</v>
      </c>
      <c r="E872">
        <v>137.945999</v>
      </c>
      <c r="F872">
        <v>134.823654</v>
      </c>
      <c r="G872">
        <v>137.487503</v>
      </c>
      <c r="H872">
        <v>25610000</v>
      </c>
      <c r="I872">
        <f t="shared" si="93"/>
        <v>0</v>
      </c>
      <c r="J872">
        <f t="shared" si="94"/>
        <v>1.06</v>
      </c>
      <c r="K872" t="str">
        <f t="shared" si="95"/>
        <v>Positive</v>
      </c>
      <c r="L872" s="10">
        <f t="shared" si="96"/>
        <v>7.7243093141344888E-3</v>
      </c>
      <c r="M872" t="str">
        <f t="shared" si="97"/>
        <v/>
      </c>
    </row>
    <row r="873" spans="1:13" x14ac:dyDescent="0.2">
      <c r="A873" s="21" t="s">
        <v>900</v>
      </c>
      <c r="B873" s="21" t="str">
        <f t="shared" si="91"/>
        <v>Thursday</v>
      </c>
      <c r="C873" s="9">
        <f t="shared" si="92"/>
        <v>44609</v>
      </c>
      <c r="D873">
        <v>136.14999399999999</v>
      </c>
      <c r="E873">
        <v>136.839493</v>
      </c>
      <c r="F873">
        <v>132.20199600000001</v>
      </c>
      <c r="G873">
        <v>132.308502</v>
      </c>
      <c r="H873">
        <v>30968000</v>
      </c>
      <c r="I873">
        <f t="shared" si="93"/>
        <v>0</v>
      </c>
      <c r="J873">
        <f t="shared" si="94"/>
        <v>-5.18</v>
      </c>
      <c r="K873" t="str">
        <f t="shared" si="95"/>
        <v>Negative</v>
      </c>
      <c r="L873" s="10">
        <f t="shared" si="96"/>
        <v>-3.9143372660964744E-2</v>
      </c>
      <c r="M873" t="str">
        <f t="shared" si="97"/>
        <v/>
      </c>
    </row>
    <row r="874" spans="1:13" x14ac:dyDescent="0.2">
      <c r="A874" s="21" t="s">
        <v>901</v>
      </c>
      <c r="B874" s="21" t="str">
        <f t="shared" si="91"/>
        <v>Friday</v>
      </c>
      <c r="C874" s="9">
        <f t="shared" si="92"/>
        <v>44610</v>
      </c>
      <c r="D874">
        <v>133.03750600000001</v>
      </c>
      <c r="E874">
        <v>133.824005</v>
      </c>
      <c r="F874">
        <v>130.307053</v>
      </c>
      <c r="G874">
        <v>130.467499</v>
      </c>
      <c r="H874">
        <v>31858000</v>
      </c>
      <c r="I874">
        <f t="shared" si="93"/>
        <v>0</v>
      </c>
      <c r="J874">
        <f t="shared" si="94"/>
        <v>-1.84</v>
      </c>
      <c r="K874" t="str">
        <f t="shared" si="95"/>
        <v>Negative</v>
      </c>
      <c r="L874" s="10">
        <f t="shared" si="96"/>
        <v>-1.4110816978257555E-2</v>
      </c>
      <c r="M874" t="str">
        <f t="shared" si="97"/>
        <v/>
      </c>
    </row>
    <row r="875" spans="1:13" x14ac:dyDescent="0.2">
      <c r="A875" s="21" t="s">
        <v>902</v>
      </c>
      <c r="B875" s="21" t="str">
        <f t="shared" si="91"/>
        <v>Tuesday</v>
      </c>
      <c r="C875" s="9">
        <f t="shared" si="92"/>
        <v>44614</v>
      </c>
      <c r="D875">
        <v>129.98500100000001</v>
      </c>
      <c r="E875">
        <v>131.900757</v>
      </c>
      <c r="F875">
        <v>127.74099699999999</v>
      </c>
      <c r="G875">
        <v>129.40249600000001</v>
      </c>
      <c r="H875">
        <v>38906000</v>
      </c>
      <c r="I875">
        <f t="shared" si="93"/>
        <v>0</v>
      </c>
      <c r="J875">
        <f t="shared" si="94"/>
        <v>-1.07</v>
      </c>
      <c r="K875" t="str">
        <f t="shared" si="95"/>
        <v>Negative</v>
      </c>
      <c r="L875" s="10">
        <f t="shared" si="96"/>
        <v>-8.2301580952502656E-3</v>
      </c>
      <c r="M875" t="str">
        <f t="shared" si="97"/>
        <v/>
      </c>
    </row>
    <row r="876" spans="1:13" x14ac:dyDescent="0.2">
      <c r="A876" s="21" t="s">
        <v>903</v>
      </c>
      <c r="B876" s="21" t="str">
        <f t="shared" si="91"/>
        <v>Wednesday</v>
      </c>
      <c r="C876" s="9">
        <f t="shared" si="92"/>
        <v>44615</v>
      </c>
      <c r="D876">
        <v>131.078506</v>
      </c>
      <c r="E876">
        <v>131.74899300000001</v>
      </c>
      <c r="F876">
        <v>127.503502</v>
      </c>
      <c r="G876">
        <v>127.584999</v>
      </c>
      <c r="H876">
        <v>26432000</v>
      </c>
      <c r="I876">
        <f t="shared" si="93"/>
        <v>0</v>
      </c>
      <c r="J876">
        <f t="shared" si="94"/>
        <v>-1.82</v>
      </c>
      <c r="K876" t="str">
        <f t="shared" si="95"/>
        <v>Negative</v>
      </c>
      <c r="L876" s="10">
        <f t="shared" si="96"/>
        <v>-1.4245381622019821E-2</v>
      </c>
      <c r="M876" t="str">
        <f t="shared" si="97"/>
        <v/>
      </c>
    </row>
    <row r="877" spans="1:13" x14ac:dyDescent="0.2">
      <c r="A877" s="21" t="s">
        <v>904</v>
      </c>
      <c r="B877" s="21" t="str">
        <f t="shared" si="91"/>
        <v>Thursday</v>
      </c>
      <c r="C877" s="9">
        <f t="shared" si="92"/>
        <v>44616</v>
      </c>
      <c r="D877">
        <v>125</v>
      </c>
      <c r="E877">
        <v>133.037003</v>
      </c>
      <c r="F877">
        <v>124.764503</v>
      </c>
      <c r="G877">
        <v>132.67349200000001</v>
      </c>
      <c r="H877">
        <v>43166000</v>
      </c>
      <c r="I877">
        <f t="shared" si="93"/>
        <v>0</v>
      </c>
      <c r="J877">
        <f t="shared" si="94"/>
        <v>5.09</v>
      </c>
      <c r="K877" t="str">
        <f t="shared" si="95"/>
        <v>Positive</v>
      </c>
      <c r="L877" s="10">
        <f t="shared" si="96"/>
        <v>3.8353501692712011E-2</v>
      </c>
      <c r="M877" t="str">
        <f t="shared" si="97"/>
        <v/>
      </c>
    </row>
    <row r="878" spans="1:13" x14ac:dyDescent="0.2">
      <c r="A878" s="21" t="s">
        <v>905</v>
      </c>
      <c r="B878" s="21" t="str">
        <f t="shared" si="91"/>
        <v>Friday</v>
      </c>
      <c r="C878" s="9">
        <f t="shared" si="92"/>
        <v>44617</v>
      </c>
      <c r="D878">
        <v>133.525497</v>
      </c>
      <c r="E878">
        <v>135.38900799999999</v>
      </c>
      <c r="F878">
        <v>131.76499899999999</v>
      </c>
      <c r="G878">
        <v>134.51950099999999</v>
      </c>
      <c r="H878">
        <v>26236000</v>
      </c>
      <c r="I878">
        <f t="shared" si="93"/>
        <v>0</v>
      </c>
      <c r="J878">
        <f t="shared" si="94"/>
        <v>1.85</v>
      </c>
      <c r="K878" t="str">
        <f t="shared" si="95"/>
        <v>Positive</v>
      </c>
      <c r="L878" s="10">
        <f t="shared" si="96"/>
        <v>1.3722984298016248E-2</v>
      </c>
      <c r="M878" t="str">
        <f t="shared" si="97"/>
        <v/>
      </c>
    </row>
    <row r="879" spans="1:13" x14ac:dyDescent="0.2">
      <c r="A879" s="21" t="s">
        <v>906</v>
      </c>
      <c r="B879" s="21" t="str">
        <f t="shared" si="91"/>
        <v>Monday</v>
      </c>
      <c r="C879" s="9">
        <f t="shared" si="92"/>
        <v>44620</v>
      </c>
      <c r="D879">
        <v>133.28450000000001</v>
      </c>
      <c r="E879">
        <v>135.640503</v>
      </c>
      <c r="F879">
        <v>132.825256</v>
      </c>
      <c r="G879">
        <v>134.891006</v>
      </c>
      <c r="H879">
        <v>29676000</v>
      </c>
      <c r="I879">
        <f t="shared" si="93"/>
        <v>0</v>
      </c>
      <c r="J879">
        <f t="shared" si="94"/>
        <v>0.37</v>
      </c>
      <c r="K879" t="str">
        <f t="shared" si="95"/>
        <v>Positive</v>
      </c>
      <c r="L879" s="10">
        <f t="shared" si="96"/>
        <v>2.7541124572828322E-3</v>
      </c>
      <c r="M879" t="str">
        <f t="shared" si="97"/>
        <v/>
      </c>
    </row>
    <row r="880" spans="1:13" x14ac:dyDescent="0.2">
      <c r="A880" s="21" t="s">
        <v>907</v>
      </c>
      <c r="B880" s="21" t="str">
        <f t="shared" si="91"/>
        <v>Tuesday</v>
      </c>
      <c r="C880" s="9">
        <f t="shared" si="92"/>
        <v>44621</v>
      </c>
      <c r="D880">
        <v>134.479996</v>
      </c>
      <c r="E880">
        <v>136.11099200000001</v>
      </c>
      <c r="F880">
        <v>133.37849399999999</v>
      </c>
      <c r="G880">
        <v>134.16799900000001</v>
      </c>
      <c r="H880">
        <v>24640000</v>
      </c>
      <c r="I880">
        <f t="shared" si="93"/>
        <v>0</v>
      </c>
      <c r="J880">
        <f t="shared" si="94"/>
        <v>-0.72</v>
      </c>
      <c r="K880" t="str">
        <f t="shared" si="95"/>
        <v>Negative</v>
      </c>
      <c r="L880" s="10">
        <f t="shared" si="96"/>
        <v>-5.3888185363783767E-3</v>
      </c>
      <c r="M880" t="str">
        <f t="shared" si="97"/>
        <v/>
      </c>
    </row>
    <row r="881" spans="1:13" x14ac:dyDescent="0.2">
      <c r="A881" s="21" t="s">
        <v>908</v>
      </c>
      <c r="B881" s="21" t="str">
        <f t="shared" si="91"/>
        <v>Wednesday</v>
      </c>
      <c r="C881" s="9">
        <f t="shared" si="92"/>
        <v>44622</v>
      </c>
      <c r="D881">
        <v>134.60824600000001</v>
      </c>
      <c r="E881">
        <v>135.61549400000001</v>
      </c>
      <c r="F881">
        <v>133.43249499999999</v>
      </c>
      <c r="G881">
        <v>134.75149500000001</v>
      </c>
      <c r="H881">
        <v>23966000</v>
      </c>
      <c r="I881">
        <f t="shared" si="93"/>
        <v>0</v>
      </c>
      <c r="J881">
        <f t="shared" si="94"/>
        <v>0.57999999999999996</v>
      </c>
      <c r="K881" t="str">
        <f t="shared" si="95"/>
        <v>Positive</v>
      </c>
      <c r="L881" s="10">
        <f t="shared" si="96"/>
        <v>4.3301634612662116E-3</v>
      </c>
      <c r="M881" t="str">
        <f t="shared" si="97"/>
        <v/>
      </c>
    </row>
    <row r="882" spans="1:13" x14ac:dyDescent="0.2">
      <c r="A882" s="21" t="s">
        <v>909</v>
      </c>
      <c r="B882" s="21" t="str">
        <f t="shared" si="91"/>
        <v>Thursday</v>
      </c>
      <c r="C882" s="9">
        <f t="shared" si="92"/>
        <v>44623</v>
      </c>
      <c r="D882">
        <v>135.9785</v>
      </c>
      <c r="E882">
        <v>136.71380600000001</v>
      </c>
      <c r="F882">
        <v>133.43100000000001</v>
      </c>
      <c r="G882">
        <v>134.307999</v>
      </c>
      <c r="H882">
        <v>19780000</v>
      </c>
      <c r="I882">
        <f t="shared" si="93"/>
        <v>0</v>
      </c>
      <c r="J882">
        <f t="shared" si="94"/>
        <v>-0.44</v>
      </c>
      <c r="K882" t="str">
        <f t="shared" si="95"/>
        <v>Negative</v>
      </c>
      <c r="L882" s="10">
        <f t="shared" si="96"/>
        <v>-3.3020818067582879E-3</v>
      </c>
      <c r="M882" t="str">
        <f t="shared" si="97"/>
        <v/>
      </c>
    </row>
    <row r="883" spans="1:13" x14ac:dyDescent="0.2">
      <c r="A883" s="21" t="s">
        <v>910</v>
      </c>
      <c r="B883" s="21" t="str">
        <f t="shared" si="91"/>
        <v>Friday</v>
      </c>
      <c r="C883" s="9">
        <f t="shared" si="92"/>
        <v>44624</v>
      </c>
      <c r="D883">
        <v>133.382507</v>
      </c>
      <c r="E883">
        <v>134.199005</v>
      </c>
      <c r="F883">
        <v>130.40849299999999</v>
      </c>
      <c r="G883">
        <v>132.121994</v>
      </c>
      <c r="H883">
        <v>24446000</v>
      </c>
      <c r="I883">
        <f t="shared" si="93"/>
        <v>0</v>
      </c>
      <c r="J883">
        <f t="shared" si="94"/>
        <v>-2.19</v>
      </c>
      <c r="K883" t="str">
        <f t="shared" si="95"/>
        <v>Negative</v>
      </c>
      <c r="L883" s="10">
        <f t="shared" si="96"/>
        <v>-1.6545352774497139E-2</v>
      </c>
      <c r="M883" t="str">
        <f t="shared" si="97"/>
        <v/>
      </c>
    </row>
    <row r="884" spans="1:13" x14ac:dyDescent="0.2">
      <c r="A884" s="21" t="s">
        <v>911</v>
      </c>
      <c r="B884" s="21" t="str">
        <f t="shared" si="91"/>
        <v>Monday</v>
      </c>
      <c r="C884" s="9">
        <f t="shared" si="92"/>
        <v>44627</v>
      </c>
      <c r="D884">
        <v>131.90400700000001</v>
      </c>
      <c r="E884">
        <v>131.90400700000001</v>
      </c>
      <c r="F884">
        <v>126.410004</v>
      </c>
      <c r="G884">
        <v>126.4645</v>
      </c>
      <c r="H884">
        <v>39178000</v>
      </c>
      <c r="I884">
        <f t="shared" si="93"/>
        <v>0</v>
      </c>
      <c r="J884">
        <f t="shared" si="94"/>
        <v>-5.66</v>
      </c>
      <c r="K884" t="str">
        <f t="shared" si="95"/>
        <v>Negative</v>
      </c>
      <c r="L884" s="10">
        <f t="shared" si="96"/>
        <v>-4.4735827050278933E-2</v>
      </c>
      <c r="M884" t="str">
        <f t="shared" si="97"/>
        <v/>
      </c>
    </row>
    <row r="885" spans="1:13" x14ac:dyDescent="0.2">
      <c r="A885" s="21" t="s">
        <v>912</v>
      </c>
      <c r="B885" s="21" t="str">
        <f t="shared" si="91"/>
        <v>Tuesday</v>
      </c>
      <c r="C885" s="9">
        <f t="shared" si="92"/>
        <v>44628</v>
      </c>
      <c r="D885">
        <v>126.25050400000001</v>
      </c>
      <c r="E885">
        <v>131.24650600000001</v>
      </c>
      <c r="F885">
        <v>125.860748</v>
      </c>
      <c r="G885">
        <v>127.278503</v>
      </c>
      <c r="H885">
        <v>35250000</v>
      </c>
      <c r="I885">
        <f t="shared" si="93"/>
        <v>0</v>
      </c>
      <c r="J885">
        <f t="shared" si="94"/>
        <v>0.81</v>
      </c>
      <c r="K885" t="str">
        <f t="shared" si="95"/>
        <v>Positive</v>
      </c>
      <c r="L885" s="10">
        <f t="shared" si="96"/>
        <v>6.3954476271613561E-3</v>
      </c>
      <c r="M885" t="str">
        <f t="shared" si="97"/>
        <v/>
      </c>
    </row>
    <row r="886" spans="1:13" x14ac:dyDescent="0.2">
      <c r="A886" s="21" t="s">
        <v>913</v>
      </c>
      <c r="B886" s="21" t="str">
        <f t="shared" si="91"/>
        <v>Wednesday</v>
      </c>
      <c r="C886" s="9">
        <f t="shared" si="92"/>
        <v>44629</v>
      </c>
      <c r="D886">
        <v>131.39999399999999</v>
      </c>
      <c r="E886">
        <v>134.19850199999999</v>
      </c>
      <c r="F886">
        <v>130.087997</v>
      </c>
      <c r="G886">
        <v>133.86599699999999</v>
      </c>
      <c r="H886">
        <v>32258000</v>
      </c>
      <c r="I886">
        <f t="shared" si="93"/>
        <v>0</v>
      </c>
      <c r="J886">
        <f t="shared" si="94"/>
        <v>6.59</v>
      </c>
      <c r="K886" t="str">
        <f t="shared" si="95"/>
        <v>Positive</v>
      </c>
      <c r="L886" s="10">
        <f t="shared" si="96"/>
        <v>4.9209613700482824E-2</v>
      </c>
      <c r="M886" t="str">
        <f t="shared" si="97"/>
        <v/>
      </c>
    </row>
    <row r="887" spans="1:13" x14ac:dyDescent="0.2">
      <c r="A887" s="21" t="s">
        <v>914</v>
      </c>
      <c r="B887" s="21" t="str">
        <f t="shared" si="91"/>
        <v>Thursday</v>
      </c>
      <c r="C887" s="9">
        <f t="shared" si="92"/>
        <v>44630</v>
      </c>
      <c r="D887">
        <v>131.46249399999999</v>
      </c>
      <c r="E887">
        <v>133.538498</v>
      </c>
      <c r="F887">
        <v>131.40100100000001</v>
      </c>
      <c r="G887">
        <v>132.682007</v>
      </c>
      <c r="H887">
        <v>24266000</v>
      </c>
      <c r="I887">
        <f t="shared" si="93"/>
        <v>0</v>
      </c>
      <c r="J887">
        <f t="shared" si="94"/>
        <v>-1.18</v>
      </c>
      <c r="K887" t="str">
        <f t="shared" si="95"/>
        <v>Negative</v>
      </c>
      <c r="L887" s="10">
        <f t="shared" si="96"/>
        <v>-8.9235159067196975E-3</v>
      </c>
      <c r="M887" t="str">
        <f t="shared" si="97"/>
        <v/>
      </c>
    </row>
    <row r="888" spans="1:13" x14ac:dyDescent="0.2">
      <c r="A888" s="21" t="s">
        <v>915</v>
      </c>
      <c r="B888" s="21" t="str">
        <f t="shared" si="91"/>
        <v>Friday</v>
      </c>
      <c r="C888" s="9">
        <f t="shared" si="92"/>
        <v>44631</v>
      </c>
      <c r="D888">
        <v>133.99949599999999</v>
      </c>
      <c r="E888">
        <v>134.199997</v>
      </c>
      <c r="F888">
        <v>130.296494</v>
      </c>
      <c r="G888">
        <v>130.475494</v>
      </c>
      <c r="H888">
        <v>26600000</v>
      </c>
      <c r="I888">
        <f t="shared" si="93"/>
        <v>0</v>
      </c>
      <c r="J888">
        <f t="shared" si="94"/>
        <v>-2.21</v>
      </c>
      <c r="K888" t="str">
        <f t="shared" si="95"/>
        <v>Negative</v>
      </c>
      <c r="L888" s="10">
        <f t="shared" si="96"/>
        <v>-1.6911321293790242E-2</v>
      </c>
      <c r="M888" t="str">
        <f t="shared" si="97"/>
        <v/>
      </c>
    </row>
    <row r="889" spans="1:13" x14ac:dyDescent="0.2">
      <c r="A889" s="21" t="s">
        <v>916</v>
      </c>
      <c r="B889" s="21" t="str">
        <f t="shared" si="91"/>
        <v>Monday</v>
      </c>
      <c r="C889" s="9">
        <f t="shared" si="92"/>
        <v>44634</v>
      </c>
      <c r="D889">
        <v>130.57299800000001</v>
      </c>
      <c r="E889">
        <v>131.02600100000001</v>
      </c>
      <c r="F889">
        <v>126.41300200000001</v>
      </c>
      <c r="G889">
        <v>126.74099699999999</v>
      </c>
      <c r="H889">
        <v>30254000</v>
      </c>
      <c r="I889">
        <f t="shared" si="93"/>
        <v>0</v>
      </c>
      <c r="J889">
        <f t="shared" si="94"/>
        <v>-3.73</v>
      </c>
      <c r="K889" t="str">
        <f t="shared" si="95"/>
        <v>Negative</v>
      </c>
      <c r="L889" s="10">
        <f t="shared" si="96"/>
        <v>-2.9465580107437571E-2</v>
      </c>
      <c r="M889" t="str">
        <f t="shared" si="97"/>
        <v/>
      </c>
    </row>
    <row r="890" spans="1:13" x14ac:dyDescent="0.2">
      <c r="A890" s="21" t="s">
        <v>917</v>
      </c>
      <c r="B890" s="21" t="str">
        <f t="shared" si="91"/>
        <v>Tuesday</v>
      </c>
      <c r="C890" s="9">
        <f t="shared" si="92"/>
        <v>44635</v>
      </c>
      <c r="D890">
        <v>127.741501</v>
      </c>
      <c r="E890">
        <v>130.51724200000001</v>
      </c>
      <c r="F890">
        <v>126.568001</v>
      </c>
      <c r="G890">
        <v>129.660507</v>
      </c>
      <c r="H890">
        <v>30292000</v>
      </c>
      <c r="I890">
        <f t="shared" si="93"/>
        <v>0</v>
      </c>
      <c r="J890">
        <f t="shared" si="94"/>
        <v>2.92</v>
      </c>
      <c r="K890" t="str">
        <f t="shared" si="95"/>
        <v>Positive</v>
      </c>
      <c r="L890" s="10">
        <f t="shared" si="96"/>
        <v>2.2516570909290077E-2</v>
      </c>
      <c r="M890" t="str">
        <f t="shared" si="97"/>
        <v/>
      </c>
    </row>
    <row r="891" spans="1:13" x14ac:dyDescent="0.2">
      <c r="A891" s="21" t="s">
        <v>918</v>
      </c>
      <c r="B891" s="21" t="str">
        <f t="shared" si="91"/>
        <v>Wednesday</v>
      </c>
      <c r="C891" s="9">
        <f t="shared" si="92"/>
        <v>44636</v>
      </c>
      <c r="D891">
        <v>131</v>
      </c>
      <c r="E891">
        <v>133.770996</v>
      </c>
      <c r="F891">
        <v>129.20100400000001</v>
      </c>
      <c r="G891">
        <v>133.690506</v>
      </c>
      <c r="H891">
        <v>32058000</v>
      </c>
      <c r="I891">
        <f t="shared" si="93"/>
        <v>0</v>
      </c>
      <c r="J891">
        <f t="shared" si="94"/>
        <v>4.03</v>
      </c>
      <c r="K891" t="str">
        <f t="shared" si="95"/>
        <v>Positive</v>
      </c>
      <c r="L891" s="10">
        <f t="shared" si="96"/>
        <v>3.0144242254569697E-2</v>
      </c>
      <c r="M891" t="str">
        <f t="shared" si="97"/>
        <v/>
      </c>
    </row>
    <row r="892" spans="1:13" x14ac:dyDescent="0.2">
      <c r="A892" s="21" t="s">
        <v>919</v>
      </c>
      <c r="B892" s="21" t="str">
        <f t="shared" si="91"/>
        <v>Thursday</v>
      </c>
      <c r="C892" s="9">
        <f t="shared" si="92"/>
        <v>44637</v>
      </c>
      <c r="D892">
        <v>133.320999</v>
      </c>
      <c r="E892">
        <v>134.73950199999999</v>
      </c>
      <c r="F892">
        <v>132.71899400000001</v>
      </c>
      <c r="G892">
        <v>134.600494</v>
      </c>
      <c r="H892">
        <v>23994000</v>
      </c>
      <c r="I892">
        <f t="shared" si="93"/>
        <v>0</v>
      </c>
      <c r="J892">
        <f t="shared" si="94"/>
        <v>0.91</v>
      </c>
      <c r="K892" t="str">
        <f t="shared" si="95"/>
        <v>Positive</v>
      </c>
      <c r="L892" s="10">
        <f t="shared" si="96"/>
        <v>6.76065869416496E-3</v>
      </c>
      <c r="M892" t="str">
        <f t="shared" si="97"/>
        <v/>
      </c>
    </row>
    <row r="893" spans="1:13" x14ac:dyDescent="0.2">
      <c r="A893" s="21" t="s">
        <v>920</v>
      </c>
      <c r="B893" s="21" t="str">
        <f t="shared" si="91"/>
        <v>Friday</v>
      </c>
      <c r="C893" s="9">
        <f t="shared" si="92"/>
        <v>44638</v>
      </c>
      <c r="D893">
        <v>133.88400300000001</v>
      </c>
      <c r="E893">
        <v>136.913498</v>
      </c>
      <c r="F893">
        <v>132.932007</v>
      </c>
      <c r="G893">
        <v>136.80149800000001</v>
      </c>
      <c r="H893">
        <v>45900000</v>
      </c>
      <c r="I893">
        <f t="shared" si="93"/>
        <v>0</v>
      </c>
      <c r="J893">
        <f t="shared" si="94"/>
        <v>2.2000000000000002</v>
      </c>
      <c r="K893" t="str">
        <f t="shared" si="95"/>
        <v>Positive</v>
      </c>
      <c r="L893" s="10">
        <f t="shared" si="96"/>
        <v>1.608903434668538E-2</v>
      </c>
      <c r="M893" t="str">
        <f t="shared" si="97"/>
        <v/>
      </c>
    </row>
    <row r="894" spans="1:13" x14ac:dyDescent="0.2">
      <c r="A894" s="21" t="s">
        <v>921</v>
      </c>
      <c r="B894" s="21" t="str">
        <f t="shared" si="91"/>
        <v>Monday</v>
      </c>
      <c r="C894" s="9">
        <f t="shared" si="92"/>
        <v>44641</v>
      </c>
      <c r="D894">
        <v>136.84750399999999</v>
      </c>
      <c r="E894">
        <v>137.582504</v>
      </c>
      <c r="F894">
        <v>134.61149599999999</v>
      </c>
      <c r="G894">
        <v>136.4785</v>
      </c>
      <c r="H894">
        <v>26632000</v>
      </c>
      <c r="I894">
        <f t="shared" si="93"/>
        <v>0</v>
      </c>
      <c r="J894">
        <f t="shared" si="94"/>
        <v>-0.32</v>
      </c>
      <c r="K894" t="str">
        <f t="shared" si="95"/>
        <v>Negative</v>
      </c>
      <c r="L894" s="10">
        <f t="shared" si="96"/>
        <v>-2.3666584846698383E-3</v>
      </c>
      <c r="M894" t="str">
        <f t="shared" si="97"/>
        <v/>
      </c>
    </row>
    <row r="895" spans="1:13" x14ac:dyDescent="0.2">
      <c r="A895" s="21" t="s">
        <v>922</v>
      </c>
      <c r="B895" s="21" t="str">
        <f t="shared" si="91"/>
        <v>Tuesday</v>
      </c>
      <c r="C895" s="9">
        <f t="shared" si="92"/>
        <v>44642</v>
      </c>
      <c r="D895">
        <v>136.5</v>
      </c>
      <c r="E895">
        <v>141.5</v>
      </c>
      <c r="F895">
        <v>136.5</v>
      </c>
      <c r="G895">
        <v>140.27749600000001</v>
      </c>
      <c r="H895">
        <v>29776000</v>
      </c>
      <c r="I895">
        <f t="shared" si="93"/>
        <v>0</v>
      </c>
      <c r="J895">
        <f t="shared" si="94"/>
        <v>3.8</v>
      </c>
      <c r="K895" t="str">
        <f t="shared" si="95"/>
        <v>Positive</v>
      </c>
      <c r="L895" s="10">
        <f t="shared" si="96"/>
        <v>2.7082006083142634E-2</v>
      </c>
      <c r="M895" t="str">
        <f t="shared" si="97"/>
        <v/>
      </c>
    </row>
    <row r="896" spans="1:13" x14ac:dyDescent="0.2">
      <c r="A896" s="21" t="s">
        <v>923</v>
      </c>
      <c r="B896" s="21" t="str">
        <f t="shared" si="91"/>
        <v>Wednesday</v>
      </c>
      <c r="C896" s="9">
        <f t="shared" si="92"/>
        <v>44643</v>
      </c>
      <c r="D896">
        <v>139.13850400000001</v>
      </c>
      <c r="E896">
        <v>140.02499399999999</v>
      </c>
      <c r="F896">
        <v>138.166504</v>
      </c>
      <c r="G896">
        <v>138.50349399999999</v>
      </c>
      <c r="H896">
        <v>25302000</v>
      </c>
      <c r="I896">
        <f t="shared" si="93"/>
        <v>0</v>
      </c>
      <c r="J896">
        <f t="shared" si="94"/>
        <v>-1.77</v>
      </c>
      <c r="K896" t="str">
        <f t="shared" si="95"/>
        <v>Negative</v>
      </c>
      <c r="L896" s="10">
        <f t="shared" si="96"/>
        <v>-1.2808355578380025E-2</v>
      </c>
      <c r="M896" t="str">
        <f t="shared" si="97"/>
        <v/>
      </c>
    </row>
    <row r="897" spans="1:13" x14ac:dyDescent="0.2">
      <c r="A897" s="21" t="s">
        <v>924</v>
      </c>
      <c r="B897" s="21" t="str">
        <f t="shared" si="91"/>
        <v>Thursday</v>
      </c>
      <c r="C897" s="9">
        <f t="shared" si="92"/>
        <v>44644</v>
      </c>
      <c r="D897">
        <v>139.27250699999999</v>
      </c>
      <c r="E897">
        <v>141.3965</v>
      </c>
      <c r="F897">
        <v>138.03939800000001</v>
      </c>
      <c r="G897">
        <v>141.31199599999999</v>
      </c>
      <c r="H897">
        <v>20544000</v>
      </c>
      <c r="I897">
        <f t="shared" si="93"/>
        <v>0</v>
      </c>
      <c r="J897">
        <f t="shared" si="94"/>
        <v>2.81</v>
      </c>
      <c r="K897" t="str">
        <f t="shared" si="95"/>
        <v>Positive</v>
      </c>
      <c r="L897" s="10">
        <f t="shared" si="96"/>
        <v>1.9874476898620867E-2</v>
      </c>
      <c r="M897" t="str">
        <f t="shared" si="97"/>
        <v/>
      </c>
    </row>
    <row r="898" spans="1:13" x14ac:dyDescent="0.2">
      <c r="A898" s="21" t="s">
        <v>925</v>
      </c>
      <c r="B898" s="21" t="str">
        <f t="shared" si="91"/>
        <v>Friday</v>
      </c>
      <c r="C898" s="9">
        <f t="shared" si="92"/>
        <v>44645</v>
      </c>
      <c r="D898">
        <v>141.753998</v>
      </c>
      <c r="E898">
        <v>141.95950300000001</v>
      </c>
      <c r="F898">
        <v>139.69949299999999</v>
      </c>
      <c r="G898">
        <v>141.5215</v>
      </c>
      <c r="H898">
        <v>19270000</v>
      </c>
      <c r="I898">
        <f t="shared" si="93"/>
        <v>0</v>
      </c>
      <c r="J898">
        <f t="shared" si="94"/>
        <v>0.21</v>
      </c>
      <c r="K898" t="str">
        <f t="shared" si="95"/>
        <v>Positive</v>
      </c>
      <c r="L898" s="10">
        <f t="shared" si="96"/>
        <v>1.4803687072282986E-3</v>
      </c>
      <c r="M898" t="str">
        <f t="shared" si="97"/>
        <v/>
      </c>
    </row>
    <row r="899" spans="1:13" x14ac:dyDescent="0.2">
      <c r="A899" s="21" t="s">
        <v>926</v>
      </c>
      <c r="B899" s="21" t="str">
        <f t="shared" ref="B899:B962" si="98">LEFT(A899,SEARCH(",",A899)-1)</f>
        <v>Monday</v>
      </c>
      <c r="C899" s="9">
        <f t="shared" ref="C899:C962" si="99">DATEVALUE(RIGHT(A899,LEN(A899) - SEARCH(",",A899)))</f>
        <v>44648</v>
      </c>
      <c r="D899">
        <v>140.684494</v>
      </c>
      <c r="E899">
        <v>141.97650100000001</v>
      </c>
      <c r="F899">
        <v>139.82815600000001</v>
      </c>
      <c r="G899">
        <v>141.949997</v>
      </c>
      <c r="H899">
        <v>23774000</v>
      </c>
      <c r="I899">
        <f t="shared" ref="I899:I962" si="100">COUNTBLANK(A899:H899)</f>
        <v>0</v>
      </c>
      <c r="J899">
        <f t="shared" ref="J899:J962" si="101">ROUND(IF(ISNUMBER(G898),G899-G898,0),2)</f>
        <v>0.43</v>
      </c>
      <c r="K899" t="str">
        <f t="shared" ref="K899:K962" si="102">IF(J899=0,"Neutral",IF(J899&gt;0,"Positive","Negative"))</f>
        <v>Positive</v>
      </c>
      <c r="L899" s="10">
        <f t="shared" ref="L899:L962" si="103">IF(ISNUMBER(G898),((G899-G898)/G899),0)</f>
        <v>3.0186474748568897E-3</v>
      </c>
      <c r="M899" t="str">
        <f t="shared" ref="M899:M962" si="104">IF(L899&gt;0.05,L899,"")</f>
        <v/>
      </c>
    </row>
    <row r="900" spans="1:13" x14ac:dyDescent="0.2">
      <c r="A900" s="21" t="s">
        <v>927</v>
      </c>
      <c r="B900" s="21" t="str">
        <f t="shared" si="98"/>
        <v>Tuesday</v>
      </c>
      <c r="C900" s="9">
        <f t="shared" si="99"/>
        <v>44649</v>
      </c>
      <c r="D900">
        <v>143.160507</v>
      </c>
      <c r="E900">
        <v>144.16250600000001</v>
      </c>
      <c r="F900">
        <v>142.483994</v>
      </c>
      <c r="G900">
        <v>143.25</v>
      </c>
      <c r="H900">
        <v>28678000</v>
      </c>
      <c r="I900">
        <f t="shared" si="100"/>
        <v>0</v>
      </c>
      <c r="J900">
        <f t="shared" si="101"/>
        <v>1.3</v>
      </c>
      <c r="K900" t="str">
        <f t="shared" si="102"/>
        <v>Positive</v>
      </c>
      <c r="L900" s="10">
        <f t="shared" si="103"/>
        <v>9.0750645724258557E-3</v>
      </c>
      <c r="M900" t="str">
        <f t="shared" si="104"/>
        <v/>
      </c>
    </row>
    <row r="901" spans="1:13" x14ac:dyDescent="0.2">
      <c r="A901" s="21" t="s">
        <v>928</v>
      </c>
      <c r="B901" s="21" t="str">
        <f t="shared" si="98"/>
        <v>Wednesday</v>
      </c>
      <c r="C901" s="9">
        <f t="shared" si="99"/>
        <v>44650</v>
      </c>
      <c r="D901">
        <v>142.86999499999999</v>
      </c>
      <c r="E901">
        <v>143.48049900000001</v>
      </c>
      <c r="F901">
        <v>142.16799900000001</v>
      </c>
      <c r="G901">
        <v>142.64450099999999</v>
      </c>
      <c r="H901">
        <v>21046000</v>
      </c>
      <c r="I901">
        <f t="shared" si="100"/>
        <v>0</v>
      </c>
      <c r="J901">
        <f t="shared" si="101"/>
        <v>-0.61</v>
      </c>
      <c r="K901" t="str">
        <f t="shared" si="102"/>
        <v>Negative</v>
      </c>
      <c r="L901" s="10">
        <f t="shared" si="103"/>
        <v>-4.244811372013625E-3</v>
      </c>
      <c r="M901" t="str">
        <f t="shared" si="104"/>
        <v/>
      </c>
    </row>
    <row r="902" spans="1:13" x14ac:dyDescent="0.2">
      <c r="A902" s="21" t="s">
        <v>929</v>
      </c>
      <c r="B902" s="21" t="str">
        <f t="shared" si="98"/>
        <v>Thursday</v>
      </c>
      <c r="C902" s="9">
        <f t="shared" si="99"/>
        <v>44651</v>
      </c>
      <c r="D902">
        <v>142.44850199999999</v>
      </c>
      <c r="E902">
        <v>142.64450099999999</v>
      </c>
      <c r="F902">
        <v>139.61900299999999</v>
      </c>
      <c r="G902">
        <v>139.649506</v>
      </c>
      <c r="H902">
        <v>29516000</v>
      </c>
      <c r="I902">
        <f t="shared" si="100"/>
        <v>0</v>
      </c>
      <c r="J902">
        <f t="shared" si="101"/>
        <v>-2.99</v>
      </c>
      <c r="K902" t="str">
        <f t="shared" si="102"/>
        <v>Negative</v>
      </c>
      <c r="L902" s="10">
        <f t="shared" si="103"/>
        <v>-2.1446513387594717E-2</v>
      </c>
      <c r="M902" t="str">
        <f t="shared" si="104"/>
        <v/>
      </c>
    </row>
    <row r="903" spans="1:13" x14ac:dyDescent="0.2">
      <c r="A903" s="21" t="s">
        <v>930</v>
      </c>
      <c r="B903" s="21" t="str">
        <f t="shared" si="98"/>
        <v>Friday</v>
      </c>
      <c r="C903" s="9">
        <f t="shared" si="99"/>
        <v>44652</v>
      </c>
      <c r="D903">
        <v>140.009995</v>
      </c>
      <c r="E903">
        <v>140.949997</v>
      </c>
      <c r="F903">
        <v>138.796997</v>
      </c>
      <c r="G903">
        <v>140.699997</v>
      </c>
      <c r="H903">
        <v>23480000</v>
      </c>
      <c r="I903">
        <f t="shared" si="100"/>
        <v>0</v>
      </c>
      <c r="J903">
        <f t="shared" si="101"/>
        <v>1.05</v>
      </c>
      <c r="K903" t="str">
        <f t="shared" si="102"/>
        <v>Positive</v>
      </c>
      <c r="L903" s="10">
        <f t="shared" si="103"/>
        <v>7.4661764207428795E-3</v>
      </c>
      <c r="M903" t="str">
        <f t="shared" si="104"/>
        <v/>
      </c>
    </row>
    <row r="904" spans="1:13" x14ac:dyDescent="0.2">
      <c r="A904" s="21" t="s">
        <v>931</v>
      </c>
      <c r="B904" s="21" t="str">
        <f t="shared" si="98"/>
        <v>Monday</v>
      </c>
      <c r="C904" s="9">
        <f t="shared" si="99"/>
        <v>44655</v>
      </c>
      <c r="D904">
        <v>140.82449299999999</v>
      </c>
      <c r="E904">
        <v>144.043747</v>
      </c>
      <c r="F904">
        <v>140.82449299999999</v>
      </c>
      <c r="G904">
        <v>143.64250200000001</v>
      </c>
      <c r="H904">
        <v>19076000</v>
      </c>
      <c r="I904">
        <f t="shared" si="100"/>
        <v>0</v>
      </c>
      <c r="J904">
        <f t="shared" si="101"/>
        <v>2.94</v>
      </c>
      <c r="K904" t="str">
        <f t="shared" si="102"/>
        <v>Positive</v>
      </c>
      <c r="L904" s="10">
        <f t="shared" si="103"/>
        <v>2.0484918871713966E-2</v>
      </c>
      <c r="M904" t="str">
        <f t="shared" si="104"/>
        <v/>
      </c>
    </row>
    <row r="905" spans="1:13" x14ac:dyDescent="0.2">
      <c r="A905" s="21" t="s">
        <v>932</v>
      </c>
      <c r="B905" s="21" t="str">
        <f t="shared" si="98"/>
        <v>Tuesday</v>
      </c>
      <c r="C905" s="9">
        <f t="shared" si="99"/>
        <v>44656</v>
      </c>
      <c r="D905">
        <v>143.399506</v>
      </c>
      <c r="E905">
        <v>143.58999600000001</v>
      </c>
      <c r="F905">
        <v>140.94349700000001</v>
      </c>
      <c r="G905">
        <v>141.06300400000001</v>
      </c>
      <c r="H905">
        <v>19256000</v>
      </c>
      <c r="I905">
        <f t="shared" si="100"/>
        <v>0</v>
      </c>
      <c r="J905">
        <f t="shared" si="101"/>
        <v>-2.58</v>
      </c>
      <c r="K905" t="str">
        <f t="shared" si="102"/>
        <v>Negative</v>
      </c>
      <c r="L905" s="10">
        <f t="shared" si="103"/>
        <v>-1.8286141134496191E-2</v>
      </c>
      <c r="M905" t="str">
        <f t="shared" si="104"/>
        <v/>
      </c>
    </row>
    <row r="906" spans="1:13" x14ac:dyDescent="0.2">
      <c r="A906" s="21" t="s">
        <v>933</v>
      </c>
      <c r="B906" s="21" t="str">
        <f t="shared" si="98"/>
        <v>Wednesday</v>
      </c>
      <c r="C906" s="9">
        <f t="shared" si="99"/>
        <v>44657</v>
      </c>
      <c r="D906">
        <v>139.16149899999999</v>
      </c>
      <c r="E906">
        <v>139.84849500000001</v>
      </c>
      <c r="F906">
        <v>136.41810599999999</v>
      </c>
      <c r="G906">
        <v>137.175995</v>
      </c>
      <c r="H906">
        <v>23574000</v>
      </c>
      <c r="I906">
        <f t="shared" si="100"/>
        <v>0</v>
      </c>
      <c r="J906">
        <f t="shared" si="101"/>
        <v>-3.89</v>
      </c>
      <c r="K906" t="str">
        <f t="shared" si="102"/>
        <v>Negative</v>
      </c>
      <c r="L906" s="10">
        <f t="shared" si="103"/>
        <v>-2.8335927142354653E-2</v>
      </c>
      <c r="M906" t="str">
        <f t="shared" si="104"/>
        <v/>
      </c>
    </row>
    <row r="907" spans="1:13" x14ac:dyDescent="0.2">
      <c r="A907" s="21" t="s">
        <v>934</v>
      </c>
      <c r="B907" s="21" t="str">
        <f t="shared" si="98"/>
        <v>Thursday</v>
      </c>
      <c r="C907" s="9">
        <f t="shared" si="99"/>
        <v>44658</v>
      </c>
      <c r="D907">
        <v>136.61799600000001</v>
      </c>
      <c r="E907">
        <v>137.70150799999999</v>
      </c>
      <c r="F907">
        <v>134.85725400000001</v>
      </c>
      <c r="G907">
        <v>136.46499600000001</v>
      </c>
      <c r="H907">
        <v>19448000</v>
      </c>
      <c r="I907">
        <f t="shared" si="100"/>
        <v>0</v>
      </c>
      <c r="J907">
        <f t="shared" si="101"/>
        <v>-0.71</v>
      </c>
      <c r="K907" t="str">
        <f t="shared" si="102"/>
        <v>Negative</v>
      </c>
      <c r="L907" s="10">
        <f t="shared" si="103"/>
        <v>-5.2101199636571038E-3</v>
      </c>
      <c r="M907" t="str">
        <f t="shared" si="104"/>
        <v/>
      </c>
    </row>
    <row r="908" spans="1:13" x14ac:dyDescent="0.2">
      <c r="A908" s="21" t="s">
        <v>935</v>
      </c>
      <c r="B908" s="21" t="str">
        <f t="shared" si="98"/>
        <v>Friday</v>
      </c>
      <c r="C908" s="9">
        <f t="shared" si="99"/>
        <v>44659</v>
      </c>
      <c r="D908">
        <v>136.25</v>
      </c>
      <c r="E908">
        <v>136.25</v>
      </c>
      <c r="F908">
        <v>133.75250199999999</v>
      </c>
      <c r="G908">
        <v>134.01049800000001</v>
      </c>
      <c r="H908">
        <v>16434000</v>
      </c>
      <c r="I908">
        <f t="shared" si="100"/>
        <v>0</v>
      </c>
      <c r="J908">
        <f t="shared" si="101"/>
        <v>-2.4500000000000002</v>
      </c>
      <c r="K908" t="str">
        <f t="shared" si="102"/>
        <v>Negative</v>
      </c>
      <c r="L908" s="10">
        <f t="shared" si="103"/>
        <v>-1.8315714340528762E-2</v>
      </c>
      <c r="M908" t="str">
        <f t="shared" si="104"/>
        <v/>
      </c>
    </row>
    <row r="909" spans="1:13" x14ac:dyDescent="0.2">
      <c r="A909" s="21" t="s">
        <v>936</v>
      </c>
      <c r="B909" s="21" t="str">
        <f t="shared" si="98"/>
        <v>Monday</v>
      </c>
      <c r="C909" s="9">
        <f t="shared" si="99"/>
        <v>44662</v>
      </c>
      <c r="D909">
        <v>132.89999399999999</v>
      </c>
      <c r="E909">
        <v>132.93919399999999</v>
      </c>
      <c r="F909">
        <v>129.617493</v>
      </c>
      <c r="G909">
        <v>129.796494</v>
      </c>
      <c r="H909">
        <v>24188000</v>
      </c>
      <c r="I909">
        <f t="shared" si="100"/>
        <v>0</v>
      </c>
      <c r="J909">
        <f t="shared" si="101"/>
        <v>-4.21</v>
      </c>
      <c r="K909" t="str">
        <f t="shared" si="102"/>
        <v>Negative</v>
      </c>
      <c r="L909" s="10">
        <f t="shared" si="103"/>
        <v>-3.2466239034160793E-2</v>
      </c>
      <c r="M909" t="str">
        <f t="shared" si="104"/>
        <v/>
      </c>
    </row>
    <row r="910" spans="1:13" x14ac:dyDescent="0.2">
      <c r="A910" s="21" t="s">
        <v>937</v>
      </c>
      <c r="B910" s="21" t="str">
        <f t="shared" si="98"/>
        <v>Tuesday</v>
      </c>
      <c r="C910" s="9">
        <f t="shared" si="99"/>
        <v>44663</v>
      </c>
      <c r="D910">
        <v>132.42349200000001</v>
      </c>
      <c r="E910">
        <v>132.42349200000001</v>
      </c>
      <c r="F910">
        <v>127.575996</v>
      </c>
      <c r="G910">
        <v>128.37449599999999</v>
      </c>
      <c r="H910">
        <v>23004000</v>
      </c>
      <c r="I910">
        <f t="shared" si="100"/>
        <v>0</v>
      </c>
      <c r="J910">
        <f t="shared" si="101"/>
        <v>-1.42</v>
      </c>
      <c r="K910" t="str">
        <f t="shared" si="102"/>
        <v>Negative</v>
      </c>
      <c r="L910" s="10">
        <f t="shared" si="103"/>
        <v>-1.1076950985653741E-2</v>
      </c>
      <c r="M910" t="str">
        <f t="shared" si="104"/>
        <v/>
      </c>
    </row>
    <row r="911" spans="1:13" x14ac:dyDescent="0.2">
      <c r="A911" s="21" t="s">
        <v>938</v>
      </c>
      <c r="B911" s="21" t="str">
        <f t="shared" si="98"/>
        <v>Wednesday</v>
      </c>
      <c r="C911" s="9">
        <f t="shared" si="99"/>
        <v>44664</v>
      </c>
      <c r="D911">
        <v>128.62649500000001</v>
      </c>
      <c r="E911">
        <v>130.65574599999999</v>
      </c>
      <c r="F911">
        <v>128.43859900000001</v>
      </c>
      <c r="G911">
        <v>130.28599500000001</v>
      </c>
      <c r="H911">
        <v>19542000</v>
      </c>
      <c r="I911">
        <f t="shared" si="100"/>
        <v>0</v>
      </c>
      <c r="J911">
        <f t="shared" si="101"/>
        <v>1.91</v>
      </c>
      <c r="K911" t="str">
        <f t="shared" si="102"/>
        <v>Positive</v>
      </c>
      <c r="L911" s="10">
        <f t="shared" si="103"/>
        <v>1.467156159033072E-2</v>
      </c>
      <c r="M911" t="str">
        <f t="shared" si="104"/>
        <v/>
      </c>
    </row>
    <row r="912" spans="1:13" x14ac:dyDescent="0.2">
      <c r="A912" s="21" t="s">
        <v>939</v>
      </c>
      <c r="B912" s="21" t="str">
        <f t="shared" si="98"/>
        <v>Thursday</v>
      </c>
      <c r="C912" s="9">
        <f t="shared" si="99"/>
        <v>44665</v>
      </c>
      <c r="D912">
        <v>130.649506</v>
      </c>
      <c r="E912">
        <v>130.710251</v>
      </c>
      <c r="F912">
        <v>127.111504</v>
      </c>
      <c r="G912">
        <v>127.25299800000001</v>
      </c>
      <c r="H912">
        <v>23484000</v>
      </c>
      <c r="I912">
        <f t="shared" si="100"/>
        <v>0</v>
      </c>
      <c r="J912">
        <f t="shared" si="101"/>
        <v>-3.03</v>
      </c>
      <c r="K912" t="str">
        <f t="shared" si="102"/>
        <v>Negative</v>
      </c>
      <c r="L912" s="10">
        <f t="shared" si="103"/>
        <v>-2.3834385418566004E-2</v>
      </c>
      <c r="M912" t="str">
        <f t="shared" si="104"/>
        <v/>
      </c>
    </row>
    <row r="913" spans="1:13" x14ac:dyDescent="0.2">
      <c r="A913" s="21" t="s">
        <v>940</v>
      </c>
      <c r="B913" s="21" t="str">
        <f t="shared" si="98"/>
        <v>Monday</v>
      </c>
      <c r="C913" s="9">
        <f t="shared" si="99"/>
        <v>44669</v>
      </c>
      <c r="D913">
        <v>127.410004</v>
      </c>
      <c r="E913">
        <v>128.712006</v>
      </c>
      <c r="F913">
        <v>126.578453</v>
      </c>
      <c r="G913">
        <v>127.960999</v>
      </c>
      <c r="H913">
        <v>14918000</v>
      </c>
      <c r="I913">
        <f t="shared" si="100"/>
        <v>0</v>
      </c>
      <c r="J913">
        <f t="shared" si="101"/>
        <v>0.71</v>
      </c>
      <c r="K913" t="str">
        <f t="shared" si="102"/>
        <v>Positive</v>
      </c>
      <c r="L913" s="10">
        <f t="shared" si="103"/>
        <v>5.5329436745019146E-3</v>
      </c>
      <c r="M913" t="str">
        <f t="shared" si="104"/>
        <v/>
      </c>
    </row>
    <row r="914" spans="1:13" x14ac:dyDescent="0.2">
      <c r="A914" s="21" t="s">
        <v>941</v>
      </c>
      <c r="B914" s="21" t="str">
        <f t="shared" si="98"/>
        <v>Tuesday</v>
      </c>
      <c r="C914" s="9">
        <f t="shared" si="99"/>
        <v>44670</v>
      </c>
      <c r="D914">
        <v>128.07699600000001</v>
      </c>
      <c r="E914">
        <v>130.90374800000001</v>
      </c>
      <c r="F914">
        <v>127.4515</v>
      </c>
      <c r="G914">
        <v>130.53100599999999</v>
      </c>
      <c r="H914">
        <v>22720000</v>
      </c>
      <c r="I914">
        <f t="shared" si="100"/>
        <v>0</v>
      </c>
      <c r="J914">
        <f t="shared" si="101"/>
        <v>2.57</v>
      </c>
      <c r="K914" t="str">
        <f t="shared" si="102"/>
        <v>Positive</v>
      </c>
      <c r="L914" s="10">
        <f t="shared" si="103"/>
        <v>1.9688862276905993E-2</v>
      </c>
      <c r="M914" t="str">
        <f t="shared" si="104"/>
        <v/>
      </c>
    </row>
    <row r="915" spans="1:13" x14ac:dyDescent="0.2">
      <c r="A915" s="21" t="s">
        <v>942</v>
      </c>
      <c r="B915" s="21" t="str">
        <f t="shared" si="98"/>
        <v>Wednesday</v>
      </c>
      <c r="C915" s="9">
        <f t="shared" si="99"/>
        <v>44671</v>
      </c>
      <c r="D915">
        <v>131.283997</v>
      </c>
      <c r="E915">
        <v>131.92349200000001</v>
      </c>
      <c r="F915">
        <v>127.894051</v>
      </c>
      <c r="G915">
        <v>128.245499</v>
      </c>
      <c r="H915">
        <v>22610000</v>
      </c>
      <c r="I915">
        <f t="shared" si="100"/>
        <v>0</v>
      </c>
      <c r="J915">
        <f t="shared" si="101"/>
        <v>-2.29</v>
      </c>
      <c r="K915" t="str">
        <f t="shared" si="102"/>
        <v>Negative</v>
      </c>
      <c r="L915" s="10">
        <f t="shared" si="103"/>
        <v>-1.78213427981593E-2</v>
      </c>
      <c r="M915" t="str">
        <f t="shared" si="104"/>
        <v/>
      </c>
    </row>
    <row r="916" spans="1:13" x14ac:dyDescent="0.2">
      <c r="A916" s="21" t="s">
        <v>943</v>
      </c>
      <c r="B916" s="21" t="str">
        <f t="shared" si="98"/>
        <v>Thursday</v>
      </c>
      <c r="C916" s="9">
        <f t="shared" si="99"/>
        <v>44672</v>
      </c>
      <c r="D916">
        <v>129.35000600000001</v>
      </c>
      <c r="E916">
        <v>130.30749499999999</v>
      </c>
      <c r="F916">
        <v>124.650002</v>
      </c>
      <c r="G916">
        <v>124.9375</v>
      </c>
      <c r="H916">
        <v>30158000</v>
      </c>
      <c r="I916">
        <f t="shared" si="100"/>
        <v>0</v>
      </c>
      <c r="J916">
        <f t="shared" si="101"/>
        <v>-3.31</v>
      </c>
      <c r="K916" t="str">
        <f t="shared" si="102"/>
        <v>Negative</v>
      </c>
      <c r="L916" s="10">
        <f t="shared" si="103"/>
        <v>-2.6477230615307615E-2</v>
      </c>
      <c r="M916" t="str">
        <f t="shared" si="104"/>
        <v/>
      </c>
    </row>
    <row r="917" spans="1:13" x14ac:dyDescent="0.2">
      <c r="A917" s="21" t="s">
        <v>944</v>
      </c>
      <c r="B917" s="21" t="str">
        <f t="shared" si="98"/>
        <v>Friday</v>
      </c>
      <c r="C917" s="9">
        <f t="shared" si="99"/>
        <v>44673</v>
      </c>
      <c r="D917">
        <v>125</v>
      </c>
      <c r="E917">
        <v>125.452003</v>
      </c>
      <c r="F917">
        <v>119.140503</v>
      </c>
      <c r="G917">
        <v>119.613998</v>
      </c>
      <c r="H917">
        <v>46410000</v>
      </c>
      <c r="I917">
        <f t="shared" si="100"/>
        <v>0</v>
      </c>
      <c r="J917">
        <f t="shared" si="101"/>
        <v>-5.32</v>
      </c>
      <c r="K917" t="str">
        <f t="shared" si="102"/>
        <v>Negative</v>
      </c>
      <c r="L917" s="10">
        <f t="shared" si="103"/>
        <v>-4.450567733719598E-2</v>
      </c>
      <c r="M917" t="str">
        <f t="shared" si="104"/>
        <v/>
      </c>
    </row>
    <row r="918" spans="1:13" x14ac:dyDescent="0.2">
      <c r="A918" s="21" t="s">
        <v>945</v>
      </c>
      <c r="B918" s="21" t="str">
        <f t="shared" si="98"/>
        <v>Monday</v>
      </c>
      <c r="C918" s="9">
        <f t="shared" si="99"/>
        <v>44676</v>
      </c>
      <c r="D918">
        <v>119.429497</v>
      </c>
      <c r="E918">
        <v>123.27800000000001</v>
      </c>
      <c r="F918">
        <v>118.769249</v>
      </c>
      <c r="G918">
        <v>123.25</v>
      </c>
      <c r="H918">
        <v>34522000</v>
      </c>
      <c r="I918">
        <f t="shared" si="100"/>
        <v>0</v>
      </c>
      <c r="J918">
        <f t="shared" si="101"/>
        <v>3.64</v>
      </c>
      <c r="K918" t="str">
        <f t="shared" si="102"/>
        <v>Positive</v>
      </c>
      <c r="L918" s="10">
        <f t="shared" si="103"/>
        <v>2.9501030425963529E-2</v>
      </c>
      <c r="M918" t="str">
        <f t="shared" si="104"/>
        <v/>
      </c>
    </row>
    <row r="919" spans="1:13" x14ac:dyDescent="0.2">
      <c r="A919" s="21" t="s">
        <v>946</v>
      </c>
      <c r="B919" s="21" t="str">
        <f t="shared" si="98"/>
        <v>Tuesday</v>
      </c>
      <c r="C919" s="9">
        <f t="shared" si="99"/>
        <v>44677</v>
      </c>
      <c r="D919">
        <v>122.75</v>
      </c>
      <c r="E919">
        <v>122.75</v>
      </c>
      <c r="F919">
        <v>119.16185</v>
      </c>
      <c r="G919">
        <v>119.50599699999999</v>
      </c>
      <c r="H919">
        <v>49394000</v>
      </c>
      <c r="I919">
        <f t="shared" si="100"/>
        <v>0</v>
      </c>
      <c r="J919">
        <f t="shared" si="101"/>
        <v>-3.74</v>
      </c>
      <c r="K919" t="str">
        <f t="shared" si="102"/>
        <v>Negative</v>
      </c>
      <c r="L919" s="10">
        <f t="shared" si="103"/>
        <v>-3.1328996820134528E-2</v>
      </c>
      <c r="M919" t="str">
        <f t="shared" si="104"/>
        <v/>
      </c>
    </row>
    <row r="920" spans="1:13" x14ac:dyDescent="0.2">
      <c r="A920" s="21" t="s">
        <v>947</v>
      </c>
      <c r="B920" s="21" t="str">
        <f t="shared" si="98"/>
        <v>Wednesday</v>
      </c>
      <c r="C920" s="9">
        <f t="shared" si="99"/>
        <v>44678</v>
      </c>
      <c r="D920">
        <v>114.373001</v>
      </c>
      <c r="E920">
        <v>117.5</v>
      </c>
      <c r="F920">
        <v>113.124252</v>
      </c>
      <c r="G920">
        <v>115.0205</v>
      </c>
      <c r="H920">
        <v>62238000</v>
      </c>
      <c r="I920">
        <f t="shared" si="100"/>
        <v>0</v>
      </c>
      <c r="J920">
        <f t="shared" si="101"/>
        <v>-4.49</v>
      </c>
      <c r="K920" t="str">
        <f t="shared" si="102"/>
        <v>Negative</v>
      </c>
      <c r="L920" s="10">
        <f t="shared" si="103"/>
        <v>-3.8997370034037367E-2</v>
      </c>
      <c r="M920" t="str">
        <f t="shared" si="104"/>
        <v/>
      </c>
    </row>
    <row r="921" spans="1:13" x14ac:dyDescent="0.2">
      <c r="A921" s="21" t="s">
        <v>948</v>
      </c>
      <c r="B921" s="21" t="str">
        <f t="shared" si="98"/>
        <v>Thursday</v>
      </c>
      <c r="C921" s="9">
        <f t="shared" si="99"/>
        <v>44679</v>
      </c>
      <c r="D921">
        <v>117.114998</v>
      </c>
      <c r="E921">
        <v>120.43849899999999</v>
      </c>
      <c r="F921">
        <v>115.14389799999999</v>
      </c>
      <c r="G921">
        <v>119.41149900000001</v>
      </c>
      <c r="H921">
        <v>36790000</v>
      </c>
      <c r="I921">
        <f t="shared" si="100"/>
        <v>0</v>
      </c>
      <c r="J921">
        <f t="shared" si="101"/>
        <v>4.3899999999999997</v>
      </c>
      <c r="K921" t="str">
        <f t="shared" si="102"/>
        <v>Positive</v>
      </c>
      <c r="L921" s="10">
        <f t="shared" si="103"/>
        <v>3.6771994630098462E-2</v>
      </c>
      <c r="M921" t="str">
        <f t="shared" si="104"/>
        <v/>
      </c>
    </row>
    <row r="922" spans="1:13" x14ac:dyDescent="0.2">
      <c r="A922" s="21" t="s">
        <v>949</v>
      </c>
      <c r="B922" s="21" t="str">
        <f t="shared" si="98"/>
        <v>Friday</v>
      </c>
      <c r="C922" s="9">
        <f t="shared" si="99"/>
        <v>44680</v>
      </c>
      <c r="D922">
        <v>117.578003</v>
      </c>
      <c r="E922">
        <v>118.959999</v>
      </c>
      <c r="F922">
        <v>114.694</v>
      </c>
      <c r="G922">
        <v>114.966499</v>
      </c>
      <c r="H922">
        <v>33694000</v>
      </c>
      <c r="I922">
        <f t="shared" si="100"/>
        <v>0</v>
      </c>
      <c r="J922">
        <f t="shared" si="101"/>
        <v>-4.45</v>
      </c>
      <c r="K922" t="str">
        <f t="shared" si="102"/>
        <v>Negative</v>
      </c>
      <c r="L922" s="10">
        <f t="shared" si="103"/>
        <v>-3.8663437076569648E-2</v>
      </c>
      <c r="M922" t="str">
        <f t="shared" si="104"/>
        <v/>
      </c>
    </row>
    <row r="923" spans="1:13" x14ac:dyDescent="0.2">
      <c r="A923" s="21" t="s">
        <v>950</v>
      </c>
      <c r="B923" s="21" t="str">
        <f t="shared" si="98"/>
        <v>Monday</v>
      </c>
      <c r="C923" s="9">
        <f t="shared" si="99"/>
        <v>44683</v>
      </c>
      <c r="D923">
        <v>113.906502</v>
      </c>
      <c r="E923">
        <v>117.3395</v>
      </c>
      <c r="F923">
        <v>113.39949799999999</v>
      </c>
      <c r="G923">
        <v>117.156998</v>
      </c>
      <c r="H923">
        <v>30280000</v>
      </c>
      <c r="I923">
        <f t="shared" si="100"/>
        <v>0</v>
      </c>
      <c r="J923">
        <f t="shared" si="101"/>
        <v>2.19</v>
      </c>
      <c r="K923" t="str">
        <f t="shared" si="102"/>
        <v>Positive</v>
      </c>
      <c r="L923" s="10">
        <f t="shared" si="103"/>
        <v>1.8697124690750463E-2</v>
      </c>
      <c r="M923" t="str">
        <f t="shared" si="104"/>
        <v/>
      </c>
    </row>
    <row r="924" spans="1:13" x14ac:dyDescent="0.2">
      <c r="A924" s="21" t="s">
        <v>951</v>
      </c>
      <c r="B924" s="21" t="str">
        <f t="shared" si="98"/>
        <v>Tuesday</v>
      </c>
      <c r="C924" s="9">
        <f t="shared" si="99"/>
        <v>44684</v>
      </c>
      <c r="D924">
        <v>116.764999</v>
      </c>
      <c r="E924">
        <v>119.300003</v>
      </c>
      <c r="F924">
        <v>116.626999</v>
      </c>
      <c r="G924">
        <v>118.129501</v>
      </c>
      <c r="H924">
        <v>21216000</v>
      </c>
      <c r="I924">
        <f t="shared" si="100"/>
        <v>0</v>
      </c>
      <c r="J924">
        <f t="shared" si="101"/>
        <v>0.97</v>
      </c>
      <c r="K924" t="str">
        <f t="shared" si="102"/>
        <v>Positive</v>
      </c>
      <c r="L924" s="10">
        <f t="shared" si="103"/>
        <v>8.2325159402815325E-3</v>
      </c>
      <c r="M924" t="str">
        <f t="shared" si="104"/>
        <v/>
      </c>
    </row>
    <row r="925" spans="1:13" x14ac:dyDescent="0.2">
      <c r="A925" s="21" t="s">
        <v>952</v>
      </c>
      <c r="B925" s="21" t="str">
        <f t="shared" si="98"/>
        <v>Wednesday</v>
      </c>
      <c r="C925" s="9">
        <f t="shared" si="99"/>
        <v>44685</v>
      </c>
      <c r="D925">
        <v>118.003502</v>
      </c>
      <c r="E925">
        <v>123.14299800000001</v>
      </c>
      <c r="F925">
        <v>115.73850299999999</v>
      </c>
      <c r="G925">
        <v>122.574997</v>
      </c>
      <c r="H925">
        <v>33232000</v>
      </c>
      <c r="I925">
        <f t="shared" si="100"/>
        <v>0</v>
      </c>
      <c r="J925">
        <f t="shared" si="101"/>
        <v>4.45</v>
      </c>
      <c r="K925" t="str">
        <f t="shared" si="102"/>
        <v>Positive</v>
      </c>
      <c r="L925" s="10">
        <f t="shared" si="103"/>
        <v>3.6267559525210442E-2</v>
      </c>
      <c r="M925" t="str">
        <f t="shared" si="104"/>
        <v/>
      </c>
    </row>
    <row r="926" spans="1:13" x14ac:dyDescent="0.2">
      <c r="A926" s="21" t="s">
        <v>953</v>
      </c>
      <c r="B926" s="21" t="str">
        <f t="shared" si="98"/>
        <v>Thursday</v>
      </c>
      <c r="C926" s="9">
        <f t="shared" si="99"/>
        <v>44686</v>
      </c>
      <c r="D926">
        <v>120.22049699999999</v>
      </c>
      <c r="E926">
        <v>121.233253</v>
      </c>
      <c r="F926">
        <v>115.182503</v>
      </c>
      <c r="G926">
        <v>116.746498</v>
      </c>
      <c r="H926">
        <v>43090000</v>
      </c>
      <c r="I926">
        <f t="shared" si="100"/>
        <v>0</v>
      </c>
      <c r="J926">
        <f t="shared" si="101"/>
        <v>-5.83</v>
      </c>
      <c r="K926" t="str">
        <f t="shared" si="102"/>
        <v>Negative</v>
      </c>
      <c r="L926" s="10">
        <f t="shared" si="103"/>
        <v>-4.9924401158482658E-2</v>
      </c>
      <c r="M926" t="str">
        <f t="shared" si="104"/>
        <v/>
      </c>
    </row>
    <row r="927" spans="1:13" x14ac:dyDescent="0.2">
      <c r="A927" s="21" t="s">
        <v>954</v>
      </c>
      <c r="B927" s="21" t="str">
        <f t="shared" si="98"/>
        <v>Friday</v>
      </c>
      <c r="C927" s="9">
        <f t="shared" si="99"/>
        <v>44687</v>
      </c>
      <c r="D927">
        <v>115.518997</v>
      </c>
      <c r="E927">
        <v>117.498497</v>
      </c>
      <c r="F927">
        <v>114.14299800000001</v>
      </c>
      <c r="G927">
        <v>115.660004</v>
      </c>
      <c r="H927">
        <v>35310000</v>
      </c>
      <c r="I927">
        <f t="shared" si="100"/>
        <v>0</v>
      </c>
      <c r="J927">
        <f t="shared" si="101"/>
        <v>-1.0900000000000001</v>
      </c>
      <c r="K927" t="str">
        <f t="shared" si="102"/>
        <v>Negative</v>
      </c>
      <c r="L927" s="10">
        <f t="shared" si="103"/>
        <v>-9.3938609927767414E-3</v>
      </c>
      <c r="M927" t="str">
        <f t="shared" si="104"/>
        <v/>
      </c>
    </row>
    <row r="928" spans="1:13" x14ac:dyDescent="0.2">
      <c r="A928" s="21" t="s">
        <v>955</v>
      </c>
      <c r="B928" s="21" t="str">
        <f t="shared" si="98"/>
        <v>Monday</v>
      </c>
      <c r="C928" s="9">
        <f t="shared" si="99"/>
        <v>44690</v>
      </c>
      <c r="D928">
        <v>113.30349699999999</v>
      </c>
      <c r="E928">
        <v>115.56289700000001</v>
      </c>
      <c r="F928">
        <v>112.551498</v>
      </c>
      <c r="G928">
        <v>113.084</v>
      </c>
      <c r="H928">
        <v>34520000</v>
      </c>
      <c r="I928">
        <f t="shared" si="100"/>
        <v>0</v>
      </c>
      <c r="J928">
        <f t="shared" si="101"/>
        <v>-2.58</v>
      </c>
      <c r="K928" t="str">
        <f t="shared" si="102"/>
        <v>Negative</v>
      </c>
      <c r="L928" s="10">
        <f t="shared" si="103"/>
        <v>-2.2779562095433459E-2</v>
      </c>
      <c r="M928" t="str">
        <f t="shared" si="104"/>
        <v/>
      </c>
    </row>
    <row r="929" spans="1:13" x14ac:dyDescent="0.2">
      <c r="A929" s="21" t="s">
        <v>956</v>
      </c>
      <c r="B929" s="21" t="str">
        <f t="shared" si="98"/>
        <v>Tuesday</v>
      </c>
      <c r="C929" s="9">
        <f t="shared" si="99"/>
        <v>44691</v>
      </c>
      <c r="D929">
        <v>116.040497</v>
      </c>
      <c r="E929">
        <v>116.691002</v>
      </c>
      <c r="F929">
        <v>113.383301</v>
      </c>
      <c r="G929">
        <v>114.584503</v>
      </c>
      <c r="H929">
        <v>31158000</v>
      </c>
      <c r="I929">
        <f t="shared" si="100"/>
        <v>0</v>
      </c>
      <c r="J929">
        <f t="shared" si="101"/>
        <v>1.5</v>
      </c>
      <c r="K929" t="str">
        <f t="shared" si="102"/>
        <v>Positive</v>
      </c>
      <c r="L929" s="10">
        <f t="shared" si="103"/>
        <v>1.3095165233644158E-2</v>
      </c>
      <c r="M929" t="str">
        <f t="shared" si="104"/>
        <v/>
      </c>
    </row>
    <row r="930" spans="1:13" x14ac:dyDescent="0.2">
      <c r="A930" s="21" t="s">
        <v>957</v>
      </c>
      <c r="B930" s="21" t="str">
        <f t="shared" si="98"/>
        <v>Wednesday</v>
      </c>
      <c r="C930" s="9">
        <f t="shared" si="99"/>
        <v>44692</v>
      </c>
      <c r="D930">
        <v>113.710503</v>
      </c>
      <c r="E930">
        <v>116.670998</v>
      </c>
      <c r="F930">
        <v>113.650002</v>
      </c>
      <c r="G930">
        <v>113.960999</v>
      </c>
      <c r="H930">
        <v>36502000</v>
      </c>
      <c r="I930">
        <f t="shared" si="100"/>
        <v>0</v>
      </c>
      <c r="J930">
        <f t="shared" si="101"/>
        <v>-0.62</v>
      </c>
      <c r="K930" t="str">
        <f t="shared" si="102"/>
        <v>Negative</v>
      </c>
      <c r="L930" s="10">
        <f t="shared" si="103"/>
        <v>-5.4712051093900723E-3</v>
      </c>
      <c r="M930" t="str">
        <f t="shared" si="104"/>
        <v/>
      </c>
    </row>
    <row r="931" spans="1:13" x14ac:dyDescent="0.2">
      <c r="A931" s="21" t="s">
        <v>958</v>
      </c>
      <c r="B931" s="21" t="str">
        <f t="shared" si="98"/>
        <v>Thursday</v>
      </c>
      <c r="C931" s="9">
        <f t="shared" si="99"/>
        <v>44693</v>
      </c>
      <c r="D931">
        <v>111.93800400000001</v>
      </c>
      <c r="E931">
        <v>114.856499</v>
      </c>
      <c r="F931">
        <v>110.11350299999999</v>
      </c>
      <c r="G931">
        <v>113.16100299999999</v>
      </c>
      <c r="H931">
        <v>41464000</v>
      </c>
      <c r="I931">
        <f t="shared" si="100"/>
        <v>0</v>
      </c>
      <c r="J931">
        <f t="shared" si="101"/>
        <v>-0.8</v>
      </c>
      <c r="K931" t="str">
        <f t="shared" si="102"/>
        <v>Negative</v>
      </c>
      <c r="L931" s="10">
        <f t="shared" si="103"/>
        <v>-7.0695379043256385E-3</v>
      </c>
      <c r="M931" t="str">
        <f t="shared" si="104"/>
        <v/>
      </c>
    </row>
    <row r="932" spans="1:13" x14ac:dyDescent="0.2">
      <c r="A932" s="21" t="s">
        <v>959</v>
      </c>
      <c r="B932" s="21" t="str">
        <f t="shared" si="98"/>
        <v>Friday</v>
      </c>
      <c r="C932" s="9">
        <f t="shared" si="99"/>
        <v>44694</v>
      </c>
      <c r="D932">
        <v>114.84549699999999</v>
      </c>
      <c r="E932">
        <v>118.084999</v>
      </c>
      <c r="F932">
        <v>114</v>
      </c>
      <c r="G932">
        <v>116.515503</v>
      </c>
      <c r="H932">
        <v>29738000</v>
      </c>
      <c r="I932">
        <f t="shared" si="100"/>
        <v>0</v>
      </c>
      <c r="J932">
        <f t="shared" si="101"/>
        <v>3.35</v>
      </c>
      <c r="K932" t="str">
        <f t="shared" si="102"/>
        <v>Positive</v>
      </c>
      <c r="L932" s="10">
        <f t="shared" si="103"/>
        <v>2.879016022442955E-2</v>
      </c>
      <c r="M932" t="str">
        <f t="shared" si="104"/>
        <v/>
      </c>
    </row>
    <row r="933" spans="1:13" x14ac:dyDescent="0.2">
      <c r="A933" s="21" t="s">
        <v>960</v>
      </c>
      <c r="B933" s="21" t="str">
        <f t="shared" si="98"/>
        <v>Monday</v>
      </c>
      <c r="C933" s="9">
        <f t="shared" si="99"/>
        <v>44697</v>
      </c>
      <c r="D933">
        <v>115.38400300000001</v>
      </c>
      <c r="E933">
        <v>116.60749800000001</v>
      </c>
      <c r="F933">
        <v>114.334999</v>
      </c>
      <c r="G933">
        <v>114.792503</v>
      </c>
      <c r="H933">
        <v>23282000</v>
      </c>
      <c r="I933">
        <f t="shared" si="100"/>
        <v>0</v>
      </c>
      <c r="J933">
        <f t="shared" si="101"/>
        <v>-1.72</v>
      </c>
      <c r="K933" t="str">
        <f t="shared" si="102"/>
        <v>Negative</v>
      </c>
      <c r="L933" s="10">
        <f t="shared" si="103"/>
        <v>-1.500969100743451E-2</v>
      </c>
      <c r="M933" t="str">
        <f t="shared" si="104"/>
        <v/>
      </c>
    </row>
    <row r="934" spans="1:13" x14ac:dyDescent="0.2">
      <c r="A934" s="21" t="s">
        <v>961</v>
      </c>
      <c r="B934" s="21" t="str">
        <f t="shared" si="98"/>
        <v>Tuesday</v>
      </c>
      <c r="C934" s="9">
        <f t="shared" si="99"/>
        <v>44698</v>
      </c>
      <c r="D934">
        <v>117.227501</v>
      </c>
      <c r="E934">
        <v>117.227501</v>
      </c>
      <c r="F934">
        <v>115.337502</v>
      </c>
      <c r="G934">
        <v>116.7015</v>
      </c>
      <c r="H934">
        <v>21576000</v>
      </c>
      <c r="I934">
        <f t="shared" si="100"/>
        <v>0</v>
      </c>
      <c r="J934">
        <f t="shared" si="101"/>
        <v>1.91</v>
      </c>
      <c r="K934" t="str">
        <f t="shared" si="102"/>
        <v>Positive</v>
      </c>
      <c r="L934" s="10">
        <f t="shared" si="103"/>
        <v>1.6357947412843875E-2</v>
      </c>
      <c r="M934" t="str">
        <f t="shared" si="104"/>
        <v/>
      </c>
    </row>
    <row r="935" spans="1:13" x14ac:dyDescent="0.2">
      <c r="A935" s="21" t="s">
        <v>962</v>
      </c>
      <c r="B935" s="21" t="str">
        <f t="shared" si="98"/>
        <v>Wednesday</v>
      </c>
      <c r="C935" s="9">
        <f t="shared" si="99"/>
        <v>44699</v>
      </c>
      <c r="D935">
        <v>115.237503</v>
      </c>
      <c r="E935">
        <v>115.69564800000001</v>
      </c>
      <c r="F935">
        <v>112.141998</v>
      </c>
      <c r="G935">
        <v>112.40100099999999</v>
      </c>
      <c r="H935">
        <v>27982000</v>
      </c>
      <c r="I935">
        <f t="shared" si="100"/>
        <v>0</v>
      </c>
      <c r="J935">
        <f t="shared" si="101"/>
        <v>-4.3</v>
      </c>
      <c r="K935" t="str">
        <f t="shared" si="102"/>
        <v>Negative</v>
      </c>
      <c r="L935" s="10">
        <f t="shared" si="103"/>
        <v>-3.8260326525028032E-2</v>
      </c>
      <c r="M935" t="str">
        <f t="shared" si="104"/>
        <v/>
      </c>
    </row>
    <row r="936" spans="1:13" x14ac:dyDescent="0.2">
      <c r="A936" s="21" t="s">
        <v>963</v>
      </c>
      <c r="B936" s="21" t="str">
        <f t="shared" si="98"/>
        <v>Thursday</v>
      </c>
      <c r="C936" s="9">
        <f t="shared" si="99"/>
        <v>44700</v>
      </c>
      <c r="D936">
        <v>111.841003</v>
      </c>
      <c r="E936">
        <v>113.587502</v>
      </c>
      <c r="F936">
        <v>110.468002</v>
      </c>
      <c r="G936">
        <v>110.745499</v>
      </c>
      <c r="H936">
        <v>29192000</v>
      </c>
      <c r="I936">
        <f t="shared" si="100"/>
        <v>0</v>
      </c>
      <c r="J936">
        <f t="shared" si="101"/>
        <v>-1.66</v>
      </c>
      <c r="K936" t="str">
        <f t="shared" si="102"/>
        <v>Negative</v>
      </c>
      <c r="L936" s="10">
        <f t="shared" si="103"/>
        <v>-1.4948706854442892E-2</v>
      </c>
      <c r="M936" t="str">
        <f t="shared" si="104"/>
        <v/>
      </c>
    </row>
    <row r="937" spans="1:13" x14ac:dyDescent="0.2">
      <c r="A937" s="21" t="s">
        <v>964</v>
      </c>
      <c r="B937" s="21" t="str">
        <f t="shared" si="98"/>
        <v>Friday</v>
      </c>
      <c r="C937" s="9">
        <f t="shared" si="99"/>
        <v>44701</v>
      </c>
      <c r="D937">
        <v>112.085503</v>
      </c>
      <c r="E937">
        <v>112.550003</v>
      </c>
      <c r="F937">
        <v>106.373001</v>
      </c>
      <c r="G937">
        <v>109.31300400000001</v>
      </c>
      <c r="H937">
        <v>37586000</v>
      </c>
      <c r="I937">
        <f t="shared" si="100"/>
        <v>0</v>
      </c>
      <c r="J937">
        <f t="shared" si="101"/>
        <v>-1.43</v>
      </c>
      <c r="K937" t="str">
        <f t="shared" si="102"/>
        <v>Negative</v>
      </c>
      <c r="L937" s="10">
        <f t="shared" si="103"/>
        <v>-1.3104525057238282E-2</v>
      </c>
      <c r="M937" t="str">
        <f t="shared" si="104"/>
        <v/>
      </c>
    </row>
    <row r="938" spans="1:13" x14ac:dyDescent="0.2">
      <c r="A938" s="21" t="s">
        <v>965</v>
      </c>
      <c r="B938" s="21" t="str">
        <f t="shared" si="98"/>
        <v>Monday</v>
      </c>
      <c r="C938" s="9">
        <f t="shared" si="99"/>
        <v>44704</v>
      </c>
      <c r="D938">
        <v>110.103996</v>
      </c>
      <c r="E938">
        <v>112.005501</v>
      </c>
      <c r="F938">
        <v>109.154251</v>
      </c>
      <c r="G938">
        <v>111.666496</v>
      </c>
      <c r="H938">
        <v>31558000</v>
      </c>
      <c r="I938">
        <f t="shared" si="100"/>
        <v>0</v>
      </c>
      <c r="J938">
        <f t="shared" si="101"/>
        <v>2.35</v>
      </c>
      <c r="K938" t="str">
        <f t="shared" si="102"/>
        <v>Positive</v>
      </c>
      <c r="L938" s="10">
        <f t="shared" si="103"/>
        <v>2.1076079972993766E-2</v>
      </c>
      <c r="M938" t="str">
        <f t="shared" si="104"/>
        <v/>
      </c>
    </row>
    <row r="939" spans="1:13" x14ac:dyDescent="0.2">
      <c r="A939" s="21" t="s">
        <v>966</v>
      </c>
      <c r="B939" s="21" t="str">
        <f t="shared" si="98"/>
        <v>Tuesday</v>
      </c>
      <c r="C939" s="9">
        <f t="shared" si="99"/>
        <v>44705</v>
      </c>
      <c r="D939">
        <v>106.37750200000001</v>
      </c>
      <c r="E939">
        <v>106.394997</v>
      </c>
      <c r="F939">
        <v>102.208</v>
      </c>
      <c r="G939">
        <v>105.92600299999999</v>
      </c>
      <c r="H939">
        <v>60386000</v>
      </c>
      <c r="I939">
        <f t="shared" si="100"/>
        <v>0</v>
      </c>
      <c r="J939">
        <f t="shared" si="101"/>
        <v>-5.74</v>
      </c>
      <c r="K939" t="str">
        <f t="shared" si="102"/>
        <v>Negative</v>
      </c>
      <c r="L939" s="10">
        <f t="shared" si="103"/>
        <v>-5.419342595226595E-2</v>
      </c>
      <c r="M939" t="str">
        <f t="shared" si="104"/>
        <v/>
      </c>
    </row>
    <row r="940" spans="1:13" x14ac:dyDescent="0.2">
      <c r="A940" s="21" t="s">
        <v>967</v>
      </c>
      <c r="B940" s="21" t="str">
        <f t="shared" si="98"/>
        <v>Wednesday</v>
      </c>
      <c r="C940" s="9">
        <f t="shared" si="99"/>
        <v>44706</v>
      </c>
      <c r="D940">
        <v>105.141998</v>
      </c>
      <c r="E940">
        <v>106.544701</v>
      </c>
      <c r="F940">
        <v>104.21125000000001</v>
      </c>
      <c r="G940">
        <v>105.8395</v>
      </c>
      <c r="H940">
        <v>37900000</v>
      </c>
      <c r="I940">
        <f t="shared" si="100"/>
        <v>0</v>
      </c>
      <c r="J940">
        <f t="shared" si="101"/>
        <v>-0.09</v>
      </c>
      <c r="K940" t="str">
        <f t="shared" si="102"/>
        <v>Negative</v>
      </c>
      <c r="L940" s="10">
        <f t="shared" si="103"/>
        <v>-8.1730355869021802E-4</v>
      </c>
      <c r="M940" t="str">
        <f t="shared" si="104"/>
        <v/>
      </c>
    </row>
    <row r="941" spans="1:13" x14ac:dyDescent="0.2">
      <c r="A941" s="21" t="s">
        <v>968</v>
      </c>
      <c r="B941" s="21" t="str">
        <f t="shared" si="98"/>
        <v>Thursday</v>
      </c>
      <c r="C941" s="9">
        <f t="shared" si="99"/>
        <v>44707</v>
      </c>
      <c r="D941">
        <v>106.050499</v>
      </c>
      <c r="E941">
        <v>108.955254</v>
      </c>
      <c r="F941">
        <v>105.487999</v>
      </c>
      <c r="G941">
        <v>108.295998</v>
      </c>
      <c r="H941">
        <v>30288000</v>
      </c>
      <c r="I941">
        <f t="shared" si="100"/>
        <v>0</v>
      </c>
      <c r="J941">
        <f t="shared" si="101"/>
        <v>2.46</v>
      </c>
      <c r="K941" t="str">
        <f t="shared" si="102"/>
        <v>Positive</v>
      </c>
      <c r="L941" s="10">
        <f t="shared" si="103"/>
        <v>2.2683183546634809E-2</v>
      </c>
      <c r="M941" t="str">
        <f t="shared" si="104"/>
        <v/>
      </c>
    </row>
    <row r="942" spans="1:13" x14ac:dyDescent="0.2">
      <c r="A942" s="21" t="s">
        <v>969</v>
      </c>
      <c r="B942" s="21" t="str">
        <f t="shared" si="98"/>
        <v>Friday</v>
      </c>
      <c r="C942" s="9">
        <f t="shared" si="99"/>
        <v>44708</v>
      </c>
      <c r="D942">
        <v>109.788498</v>
      </c>
      <c r="E942">
        <v>112.86799600000001</v>
      </c>
      <c r="F942">
        <v>109.550003</v>
      </c>
      <c r="G942">
        <v>112.799004</v>
      </c>
      <c r="H942">
        <v>29924000</v>
      </c>
      <c r="I942">
        <f t="shared" si="100"/>
        <v>0</v>
      </c>
      <c r="J942">
        <f t="shared" si="101"/>
        <v>4.5</v>
      </c>
      <c r="K942" t="str">
        <f t="shared" si="102"/>
        <v>Positive</v>
      </c>
      <c r="L942" s="10">
        <f t="shared" si="103"/>
        <v>3.992061844801395E-2</v>
      </c>
      <c r="M942" t="str">
        <f t="shared" si="104"/>
        <v/>
      </c>
    </row>
    <row r="943" spans="1:13" x14ac:dyDescent="0.2">
      <c r="A943" s="21" t="s">
        <v>970</v>
      </c>
      <c r="B943" s="21" t="str">
        <f t="shared" si="98"/>
        <v>Tuesday</v>
      </c>
      <c r="C943" s="9">
        <f t="shared" si="99"/>
        <v>44712</v>
      </c>
      <c r="D943">
        <v>113.079002</v>
      </c>
      <c r="E943">
        <v>116.433502</v>
      </c>
      <c r="F943">
        <v>112.572502</v>
      </c>
      <c r="G943">
        <v>114.039001</v>
      </c>
      <c r="H943">
        <v>51302000</v>
      </c>
      <c r="I943">
        <f t="shared" si="100"/>
        <v>0</v>
      </c>
      <c r="J943">
        <f t="shared" si="101"/>
        <v>1.24</v>
      </c>
      <c r="K943" t="str">
        <f t="shared" si="102"/>
        <v>Positive</v>
      </c>
      <c r="L943" s="10">
        <f t="shared" si="103"/>
        <v>1.0873446707938125E-2</v>
      </c>
      <c r="M943" t="str">
        <f t="shared" si="104"/>
        <v/>
      </c>
    </row>
    <row r="944" spans="1:13" x14ac:dyDescent="0.2">
      <c r="A944" s="21" t="s">
        <v>971</v>
      </c>
      <c r="B944" s="21" t="str">
        <f t="shared" si="98"/>
        <v>Wednesday</v>
      </c>
      <c r="C944" s="9">
        <f t="shared" si="99"/>
        <v>44713</v>
      </c>
      <c r="D944">
        <v>114.93150300000001</v>
      </c>
      <c r="E944">
        <v>117.399002</v>
      </c>
      <c r="F944">
        <v>113.550499</v>
      </c>
      <c r="G944">
        <v>114.137001</v>
      </c>
      <c r="H944">
        <v>28630000</v>
      </c>
      <c r="I944">
        <f t="shared" si="100"/>
        <v>0</v>
      </c>
      <c r="J944">
        <f t="shared" si="101"/>
        <v>0.1</v>
      </c>
      <c r="K944" t="str">
        <f t="shared" si="102"/>
        <v>Positive</v>
      </c>
      <c r="L944" s="10">
        <f t="shared" si="103"/>
        <v>8.5861726820734478E-4</v>
      </c>
      <c r="M944" t="str">
        <f t="shared" si="104"/>
        <v/>
      </c>
    </row>
    <row r="945" spans="1:13" x14ac:dyDescent="0.2">
      <c r="A945" s="21" t="s">
        <v>972</v>
      </c>
      <c r="B945" s="21" t="str">
        <f t="shared" si="98"/>
        <v>Thursday</v>
      </c>
      <c r="C945" s="9">
        <f t="shared" si="99"/>
        <v>44714</v>
      </c>
      <c r="D945">
        <v>114.18800400000001</v>
      </c>
      <c r="E945">
        <v>117.898003</v>
      </c>
      <c r="F945">
        <v>113.307999</v>
      </c>
      <c r="G945">
        <v>117.746002</v>
      </c>
      <c r="H945">
        <v>27472000</v>
      </c>
      <c r="I945">
        <f t="shared" si="100"/>
        <v>0</v>
      </c>
      <c r="J945">
        <f t="shared" si="101"/>
        <v>3.61</v>
      </c>
      <c r="K945" t="str">
        <f t="shared" si="102"/>
        <v>Positive</v>
      </c>
      <c r="L945" s="10">
        <f t="shared" si="103"/>
        <v>3.0650730714406816E-2</v>
      </c>
      <c r="M945" t="str">
        <f t="shared" si="104"/>
        <v/>
      </c>
    </row>
    <row r="946" spans="1:13" x14ac:dyDescent="0.2">
      <c r="A946" s="21" t="s">
        <v>973</v>
      </c>
      <c r="B946" s="21" t="str">
        <f t="shared" si="98"/>
        <v>Friday</v>
      </c>
      <c r="C946" s="9">
        <f t="shared" si="99"/>
        <v>44715</v>
      </c>
      <c r="D946">
        <v>115.99250000000001</v>
      </c>
      <c r="E946">
        <v>116.364502</v>
      </c>
      <c r="F946">
        <v>113.66799899999999</v>
      </c>
      <c r="G946">
        <v>114.564003</v>
      </c>
      <c r="H946">
        <v>25052000</v>
      </c>
      <c r="I946">
        <f t="shared" si="100"/>
        <v>0</v>
      </c>
      <c r="J946">
        <f t="shared" si="101"/>
        <v>-3.18</v>
      </c>
      <c r="K946" t="str">
        <f t="shared" si="102"/>
        <v>Negative</v>
      </c>
      <c r="L946" s="10">
        <f t="shared" si="103"/>
        <v>-2.7774858739878394E-2</v>
      </c>
      <c r="M946" t="str">
        <f t="shared" si="104"/>
        <v/>
      </c>
    </row>
    <row r="947" spans="1:13" x14ac:dyDescent="0.2">
      <c r="A947" s="21" t="s">
        <v>974</v>
      </c>
      <c r="B947" s="21" t="str">
        <f t="shared" si="98"/>
        <v>Monday</v>
      </c>
      <c r="C947" s="9">
        <f t="shared" si="99"/>
        <v>44718</v>
      </c>
      <c r="D947">
        <v>116.74250000000001</v>
      </c>
      <c r="E947">
        <v>119.398499</v>
      </c>
      <c r="F947">
        <v>116.52829699999999</v>
      </c>
      <c r="G947">
        <v>117.010498</v>
      </c>
      <c r="H947">
        <v>23786000</v>
      </c>
      <c r="I947">
        <f t="shared" si="100"/>
        <v>0</v>
      </c>
      <c r="J947">
        <f t="shared" si="101"/>
        <v>2.4500000000000002</v>
      </c>
      <c r="K947" t="str">
        <f t="shared" si="102"/>
        <v>Positive</v>
      </c>
      <c r="L947" s="10">
        <f t="shared" si="103"/>
        <v>2.0908337643345463E-2</v>
      </c>
      <c r="M947" t="str">
        <f t="shared" si="104"/>
        <v/>
      </c>
    </row>
    <row r="948" spans="1:13" x14ac:dyDescent="0.2">
      <c r="A948" s="21" t="s">
        <v>975</v>
      </c>
      <c r="B948" s="21" t="str">
        <f t="shared" si="98"/>
        <v>Tuesday</v>
      </c>
      <c r="C948" s="9">
        <f t="shared" si="99"/>
        <v>44719</v>
      </c>
      <c r="D948">
        <v>115.648003</v>
      </c>
      <c r="E948">
        <v>117.74865</v>
      </c>
      <c r="F948">
        <v>115.12550400000001</v>
      </c>
      <c r="G948">
        <v>117.2295</v>
      </c>
      <c r="H948">
        <v>26414000</v>
      </c>
      <c r="I948">
        <f t="shared" si="100"/>
        <v>0</v>
      </c>
      <c r="J948">
        <f t="shared" si="101"/>
        <v>0.22</v>
      </c>
      <c r="K948" t="str">
        <f t="shared" si="102"/>
        <v>Positive</v>
      </c>
      <c r="L948" s="10">
        <f t="shared" si="103"/>
        <v>1.8681475225945964E-3</v>
      </c>
      <c r="M948" t="str">
        <f t="shared" si="104"/>
        <v/>
      </c>
    </row>
    <row r="949" spans="1:13" x14ac:dyDescent="0.2">
      <c r="A949" s="21" t="s">
        <v>976</v>
      </c>
      <c r="B949" s="21" t="str">
        <f t="shared" si="98"/>
        <v>Wednesday</v>
      </c>
      <c r="C949" s="9">
        <f t="shared" si="99"/>
        <v>44720</v>
      </c>
      <c r="D949">
        <v>116.876503</v>
      </c>
      <c r="E949">
        <v>118.646004</v>
      </c>
      <c r="F949">
        <v>116.696747</v>
      </c>
      <c r="G949">
        <v>117.237999</v>
      </c>
      <c r="H949">
        <v>22544000</v>
      </c>
      <c r="I949">
        <f t="shared" si="100"/>
        <v>0</v>
      </c>
      <c r="J949">
        <f t="shared" si="101"/>
        <v>0.01</v>
      </c>
      <c r="K949" t="str">
        <f t="shared" si="102"/>
        <v>Positive</v>
      </c>
      <c r="L949" s="10">
        <f t="shared" si="103"/>
        <v>7.2493560726846572E-5</v>
      </c>
      <c r="M949" t="str">
        <f t="shared" si="104"/>
        <v/>
      </c>
    </row>
    <row r="950" spans="1:13" x14ac:dyDescent="0.2">
      <c r="A950" s="21" t="s">
        <v>977</v>
      </c>
      <c r="B950" s="21" t="str">
        <f t="shared" si="98"/>
        <v>Thursday</v>
      </c>
      <c r="C950" s="9">
        <f t="shared" si="99"/>
        <v>44721</v>
      </c>
      <c r="D950">
        <v>116.341499</v>
      </c>
      <c r="E950">
        <v>118.349998</v>
      </c>
      <c r="F950">
        <v>114.866997</v>
      </c>
      <c r="G950">
        <v>114.91799899999999</v>
      </c>
      <c r="H950">
        <v>23142000</v>
      </c>
      <c r="I950">
        <f t="shared" si="100"/>
        <v>0</v>
      </c>
      <c r="J950">
        <f t="shared" si="101"/>
        <v>-2.3199999999999998</v>
      </c>
      <c r="K950" t="str">
        <f t="shared" si="102"/>
        <v>Negative</v>
      </c>
      <c r="L950" s="10">
        <f t="shared" si="103"/>
        <v>-2.0188308360642507E-2</v>
      </c>
      <c r="M950" t="str">
        <f t="shared" si="104"/>
        <v/>
      </c>
    </row>
    <row r="951" spans="1:13" x14ac:dyDescent="0.2">
      <c r="A951" s="21" t="s">
        <v>978</v>
      </c>
      <c r="B951" s="21" t="str">
        <f t="shared" si="98"/>
        <v>Friday</v>
      </c>
      <c r="C951" s="9">
        <f t="shared" si="99"/>
        <v>44722</v>
      </c>
      <c r="D951">
        <v>112.78125</v>
      </c>
      <c r="E951">
        <v>113.49700199999999</v>
      </c>
      <c r="F951">
        <v>110.861</v>
      </c>
      <c r="G951">
        <v>111.427498</v>
      </c>
      <c r="H951">
        <v>31324000</v>
      </c>
      <c r="I951">
        <f t="shared" si="100"/>
        <v>0</v>
      </c>
      <c r="J951">
        <f t="shared" si="101"/>
        <v>-3.49</v>
      </c>
      <c r="K951" t="str">
        <f t="shared" si="102"/>
        <v>Negative</v>
      </c>
      <c r="L951" s="10">
        <f t="shared" si="103"/>
        <v>-3.132531074151907E-2</v>
      </c>
      <c r="M951" t="str">
        <f t="shared" si="104"/>
        <v/>
      </c>
    </row>
    <row r="952" spans="1:13" x14ac:dyDescent="0.2">
      <c r="A952" s="21" t="s">
        <v>979</v>
      </c>
      <c r="B952" s="21" t="str">
        <f t="shared" si="98"/>
        <v>Monday</v>
      </c>
      <c r="C952" s="9">
        <f t="shared" si="99"/>
        <v>44725</v>
      </c>
      <c r="D952">
        <v>107.445999</v>
      </c>
      <c r="E952">
        <v>109.218498</v>
      </c>
      <c r="F952">
        <v>106.58805099999999</v>
      </c>
      <c r="G952">
        <v>106.876503</v>
      </c>
      <c r="H952">
        <v>36756000</v>
      </c>
      <c r="I952">
        <f t="shared" si="100"/>
        <v>0</v>
      </c>
      <c r="J952">
        <f t="shared" si="101"/>
        <v>-4.55</v>
      </c>
      <c r="K952" t="str">
        <f t="shared" si="102"/>
        <v>Negative</v>
      </c>
      <c r="L952" s="10">
        <f t="shared" si="103"/>
        <v>-4.2581810522000337E-2</v>
      </c>
      <c r="M952" t="str">
        <f t="shared" si="104"/>
        <v/>
      </c>
    </row>
    <row r="953" spans="1:13" x14ac:dyDescent="0.2">
      <c r="A953" s="21" t="s">
        <v>980</v>
      </c>
      <c r="B953" s="21" t="str">
        <f t="shared" si="98"/>
        <v>Tuesday</v>
      </c>
      <c r="C953" s="9">
        <f t="shared" si="99"/>
        <v>44726</v>
      </c>
      <c r="D953">
        <v>106.889999</v>
      </c>
      <c r="E953">
        <v>108.457497</v>
      </c>
      <c r="F953">
        <v>106.351997</v>
      </c>
      <c r="G953">
        <v>107.194</v>
      </c>
      <c r="H953">
        <v>25480000</v>
      </c>
      <c r="I953">
        <f t="shared" si="100"/>
        <v>0</v>
      </c>
      <c r="J953">
        <f t="shared" si="101"/>
        <v>0.32</v>
      </c>
      <c r="K953" t="str">
        <f t="shared" si="102"/>
        <v>Positive</v>
      </c>
      <c r="L953" s="10">
        <f t="shared" si="103"/>
        <v>2.961891523779344E-3</v>
      </c>
      <c r="M953" t="str">
        <f t="shared" si="104"/>
        <v/>
      </c>
    </row>
    <row r="954" spans="1:13" x14ac:dyDescent="0.2">
      <c r="A954" s="21" t="s">
        <v>981</v>
      </c>
      <c r="B954" s="21" t="str">
        <f t="shared" si="98"/>
        <v>Wednesday</v>
      </c>
      <c r="C954" s="9">
        <f t="shared" si="99"/>
        <v>44727</v>
      </c>
      <c r="D954">
        <v>108.89949799999999</v>
      </c>
      <c r="E954">
        <v>112.06300400000001</v>
      </c>
      <c r="F954">
        <v>108.118752</v>
      </c>
      <c r="G954">
        <v>110.390503</v>
      </c>
      <c r="H954">
        <v>33192000</v>
      </c>
      <c r="I954">
        <f t="shared" si="100"/>
        <v>0</v>
      </c>
      <c r="J954">
        <f t="shared" si="101"/>
        <v>3.2</v>
      </c>
      <c r="K954" t="str">
        <f t="shared" si="102"/>
        <v>Positive</v>
      </c>
      <c r="L954" s="10">
        <f t="shared" si="103"/>
        <v>2.895632244741192E-2</v>
      </c>
      <c r="M954" t="str">
        <f t="shared" si="104"/>
        <v/>
      </c>
    </row>
    <row r="955" spans="1:13" x14ac:dyDescent="0.2">
      <c r="A955" s="21" t="s">
        <v>982</v>
      </c>
      <c r="B955" s="21" t="str">
        <f t="shared" si="98"/>
        <v>Thursday</v>
      </c>
      <c r="C955" s="9">
        <f t="shared" si="99"/>
        <v>44728</v>
      </c>
      <c r="D955">
        <v>108.14949799999999</v>
      </c>
      <c r="E955">
        <v>109.290497</v>
      </c>
      <c r="F955">
        <v>105.792503</v>
      </c>
      <c r="G955">
        <v>106.636002</v>
      </c>
      <c r="H955">
        <v>35314000</v>
      </c>
      <c r="I955">
        <f t="shared" si="100"/>
        <v>0</v>
      </c>
      <c r="J955">
        <f t="shared" si="101"/>
        <v>-3.75</v>
      </c>
      <c r="K955" t="str">
        <f t="shared" si="102"/>
        <v>Negative</v>
      </c>
      <c r="L955" s="10">
        <f t="shared" si="103"/>
        <v>-3.5208568678334266E-2</v>
      </c>
      <c r="M955" t="str">
        <f t="shared" si="104"/>
        <v/>
      </c>
    </row>
    <row r="956" spans="1:13" x14ac:dyDescent="0.2">
      <c r="A956" s="21" t="s">
        <v>983</v>
      </c>
      <c r="B956" s="21" t="str">
        <f t="shared" si="98"/>
        <v>Friday</v>
      </c>
      <c r="C956" s="9">
        <f t="shared" si="99"/>
        <v>44729</v>
      </c>
      <c r="D956">
        <v>106.535004</v>
      </c>
      <c r="E956">
        <v>109.24949599999999</v>
      </c>
      <c r="F956">
        <v>105.62854799999999</v>
      </c>
      <c r="G956">
        <v>107.86550099999999</v>
      </c>
      <c r="H956">
        <v>43516000</v>
      </c>
      <c r="I956">
        <f t="shared" si="100"/>
        <v>0</v>
      </c>
      <c r="J956">
        <f t="shared" si="101"/>
        <v>1.23</v>
      </c>
      <c r="K956" t="str">
        <f t="shared" si="102"/>
        <v>Positive</v>
      </c>
      <c r="L956" s="10">
        <f t="shared" si="103"/>
        <v>1.1398445180354653E-2</v>
      </c>
      <c r="M956" t="str">
        <f t="shared" si="104"/>
        <v/>
      </c>
    </row>
    <row r="957" spans="1:13" x14ac:dyDescent="0.2">
      <c r="A957" s="21" t="s">
        <v>984</v>
      </c>
      <c r="B957" s="21" t="str">
        <f t="shared" si="98"/>
        <v>Tuesday</v>
      </c>
      <c r="C957" s="9">
        <f t="shared" si="99"/>
        <v>44733</v>
      </c>
      <c r="D957">
        <v>109.702003</v>
      </c>
      <c r="E957">
        <v>112.672997</v>
      </c>
      <c r="F957">
        <v>109.293503</v>
      </c>
      <c r="G957">
        <v>112.014999</v>
      </c>
      <c r="H957">
        <v>39010000</v>
      </c>
      <c r="I957">
        <f t="shared" si="100"/>
        <v>0</v>
      </c>
      <c r="J957">
        <f t="shared" si="101"/>
        <v>4.1500000000000004</v>
      </c>
      <c r="K957" t="str">
        <f t="shared" si="102"/>
        <v>Positive</v>
      </c>
      <c r="L957" s="10">
        <f t="shared" si="103"/>
        <v>3.7044128349275868E-2</v>
      </c>
      <c r="M957" t="str">
        <f t="shared" si="104"/>
        <v/>
      </c>
    </row>
    <row r="958" spans="1:13" x14ac:dyDescent="0.2">
      <c r="A958" s="21" t="s">
        <v>985</v>
      </c>
      <c r="B958" s="21" t="str">
        <f t="shared" si="98"/>
        <v>Wednesday</v>
      </c>
      <c r="C958" s="9">
        <f t="shared" si="99"/>
        <v>44734</v>
      </c>
      <c r="D958">
        <v>111.16300200000001</v>
      </c>
      <c r="E958">
        <v>113.76950100000001</v>
      </c>
      <c r="F958">
        <v>110.72429700000001</v>
      </c>
      <c r="G958">
        <v>112.033997</v>
      </c>
      <c r="H958">
        <v>23922000</v>
      </c>
      <c r="I958">
        <f t="shared" si="100"/>
        <v>0</v>
      </c>
      <c r="J958">
        <f t="shared" si="101"/>
        <v>0.02</v>
      </c>
      <c r="K958" t="str">
        <f t="shared" si="102"/>
        <v>Positive</v>
      </c>
      <c r="L958" s="10">
        <f t="shared" si="103"/>
        <v>1.6957352686431686E-4</v>
      </c>
      <c r="M958" t="str">
        <f t="shared" si="104"/>
        <v/>
      </c>
    </row>
    <row r="959" spans="1:13" x14ac:dyDescent="0.2">
      <c r="A959" s="21" t="s">
        <v>986</v>
      </c>
      <c r="B959" s="21" t="str">
        <f t="shared" si="98"/>
        <v>Thursday</v>
      </c>
      <c r="C959" s="9">
        <f t="shared" si="99"/>
        <v>44735</v>
      </c>
      <c r="D959">
        <v>112.949997</v>
      </c>
      <c r="E959">
        <v>113.19650300000001</v>
      </c>
      <c r="F959">
        <v>111.028999</v>
      </c>
      <c r="G959">
        <v>112.68450199999999</v>
      </c>
      <c r="H959">
        <v>24710000</v>
      </c>
      <c r="I959">
        <f t="shared" si="100"/>
        <v>0</v>
      </c>
      <c r="J959">
        <f t="shared" si="101"/>
        <v>0.65</v>
      </c>
      <c r="K959" t="str">
        <f t="shared" si="102"/>
        <v>Positive</v>
      </c>
      <c r="L959" s="10">
        <f t="shared" si="103"/>
        <v>5.7727991733947182E-3</v>
      </c>
      <c r="M959" t="str">
        <f t="shared" si="104"/>
        <v/>
      </c>
    </row>
    <row r="960" spans="1:13" x14ac:dyDescent="0.2">
      <c r="A960" s="21" t="s">
        <v>987</v>
      </c>
      <c r="B960" s="21" t="str">
        <f t="shared" si="98"/>
        <v>Friday</v>
      </c>
      <c r="C960" s="9">
        <f t="shared" si="99"/>
        <v>44736</v>
      </c>
      <c r="D960">
        <v>113.602997</v>
      </c>
      <c r="E960">
        <v>118.637497</v>
      </c>
      <c r="F960">
        <v>113.602997</v>
      </c>
      <c r="G960">
        <v>118.53800200000001</v>
      </c>
      <c r="H960">
        <v>39122000</v>
      </c>
      <c r="I960">
        <f t="shared" si="100"/>
        <v>0</v>
      </c>
      <c r="J960">
        <f t="shared" si="101"/>
        <v>5.85</v>
      </c>
      <c r="K960" t="str">
        <f t="shared" si="102"/>
        <v>Positive</v>
      </c>
      <c r="L960" s="10">
        <f t="shared" si="103"/>
        <v>4.9380788449597882E-2</v>
      </c>
      <c r="M960" t="str">
        <f t="shared" si="104"/>
        <v/>
      </c>
    </row>
    <row r="961" spans="1:13" x14ac:dyDescent="0.2">
      <c r="A961" s="21" t="s">
        <v>988</v>
      </c>
      <c r="B961" s="21" t="str">
        <f t="shared" si="98"/>
        <v>Monday</v>
      </c>
      <c r="C961" s="9">
        <f t="shared" si="99"/>
        <v>44739</v>
      </c>
      <c r="D961">
        <v>118.93499799999999</v>
      </c>
      <c r="E961">
        <v>119.25</v>
      </c>
      <c r="F961">
        <v>116.000748</v>
      </c>
      <c r="G961">
        <v>116.62249799999999</v>
      </c>
      <c r="H961">
        <v>32840000</v>
      </c>
      <c r="I961">
        <f t="shared" si="100"/>
        <v>0</v>
      </c>
      <c r="J961">
        <f t="shared" si="101"/>
        <v>-1.92</v>
      </c>
      <c r="K961" t="str">
        <f t="shared" si="102"/>
        <v>Negative</v>
      </c>
      <c r="L961" s="10">
        <f t="shared" si="103"/>
        <v>-1.6424823964926671E-2</v>
      </c>
      <c r="M961" t="str">
        <f t="shared" si="104"/>
        <v/>
      </c>
    </row>
    <row r="962" spans="1:13" x14ac:dyDescent="0.2">
      <c r="A962" s="21" t="s">
        <v>989</v>
      </c>
      <c r="B962" s="21" t="str">
        <f t="shared" si="98"/>
        <v>Tuesday</v>
      </c>
      <c r="C962" s="9">
        <f t="shared" si="99"/>
        <v>44740</v>
      </c>
      <c r="D962">
        <v>116.350998</v>
      </c>
      <c r="E962">
        <v>117.856499</v>
      </c>
      <c r="F962">
        <v>112.444</v>
      </c>
      <c r="G962">
        <v>112.57150300000001</v>
      </c>
      <c r="H962">
        <v>28232000</v>
      </c>
      <c r="I962">
        <f t="shared" si="100"/>
        <v>0</v>
      </c>
      <c r="J962">
        <f t="shared" si="101"/>
        <v>-4.05</v>
      </c>
      <c r="K962" t="str">
        <f t="shared" si="102"/>
        <v>Negative</v>
      </c>
      <c r="L962" s="10">
        <f t="shared" si="103"/>
        <v>-3.5985972400137414E-2</v>
      </c>
      <c r="M962" t="str">
        <f t="shared" si="104"/>
        <v/>
      </c>
    </row>
    <row r="963" spans="1:13" x14ac:dyDescent="0.2">
      <c r="A963" s="21" t="s">
        <v>990</v>
      </c>
      <c r="B963" s="21" t="str">
        <f t="shared" ref="B963:B1026" si="105">LEFT(A963,SEARCH(",",A963)-1)</f>
        <v>Wednesday</v>
      </c>
      <c r="C963" s="9">
        <f t="shared" ref="C963:C1026" si="106">DATEVALUE(RIGHT(A963,LEN(A963) - SEARCH(",",A963)))</f>
        <v>44741</v>
      </c>
      <c r="D963">
        <v>112.148499</v>
      </c>
      <c r="E963">
        <v>113.664497</v>
      </c>
      <c r="F963">
        <v>111.554001</v>
      </c>
      <c r="G963">
        <v>112.2565</v>
      </c>
      <c r="H963">
        <v>18628000</v>
      </c>
      <c r="I963">
        <f t="shared" ref="I963:I1026" si="107">COUNTBLANK(A963:H963)</f>
        <v>0</v>
      </c>
      <c r="J963">
        <f t="shared" ref="J963:J1026" si="108">ROUND(IF(ISNUMBER(G962),G963-G962,0),2)</f>
        <v>-0.32</v>
      </c>
      <c r="K963" t="str">
        <f t="shared" ref="K963:K1026" si="109">IF(J963=0,"Neutral",IF(J963&gt;0,"Positive","Negative"))</f>
        <v>Negative</v>
      </c>
      <c r="L963" s="10">
        <f t="shared" ref="L963:L1026" si="110">IF(ISNUMBER(G962),((G963-G962)/G963),0)</f>
        <v>-2.8061003149038527E-3</v>
      </c>
      <c r="M963" t="str">
        <f t="shared" ref="M963:M1026" si="111">IF(L963&gt;0.05,L963,"")</f>
        <v/>
      </c>
    </row>
    <row r="964" spans="1:13" x14ac:dyDescent="0.2">
      <c r="A964" s="21" t="s">
        <v>991</v>
      </c>
      <c r="B964" s="21" t="str">
        <f t="shared" si="105"/>
        <v>Thursday</v>
      </c>
      <c r="C964" s="9">
        <f t="shared" si="106"/>
        <v>44742</v>
      </c>
      <c r="D964">
        <v>110.49949599999999</v>
      </c>
      <c r="E964">
        <v>111.329803</v>
      </c>
      <c r="F964">
        <v>107.30999799999999</v>
      </c>
      <c r="G964">
        <v>109.37249799999999</v>
      </c>
      <c r="H964">
        <v>38046000</v>
      </c>
      <c r="I964">
        <f t="shared" si="107"/>
        <v>0</v>
      </c>
      <c r="J964">
        <f t="shared" si="108"/>
        <v>-2.88</v>
      </c>
      <c r="K964" t="str">
        <f t="shared" si="109"/>
        <v>Negative</v>
      </c>
      <c r="L964" s="10">
        <f t="shared" si="110"/>
        <v>-2.6368621479231549E-2</v>
      </c>
      <c r="M964" t="str">
        <f t="shared" si="111"/>
        <v/>
      </c>
    </row>
    <row r="965" spans="1:13" x14ac:dyDescent="0.2">
      <c r="A965" s="21" t="s">
        <v>992</v>
      </c>
      <c r="B965" s="21" t="str">
        <f t="shared" si="105"/>
        <v>Friday</v>
      </c>
      <c r="C965" s="9">
        <f t="shared" si="106"/>
        <v>44743</v>
      </c>
      <c r="D965">
        <v>108.33699799999999</v>
      </c>
      <c r="E965">
        <v>109.80635100000001</v>
      </c>
      <c r="F965">
        <v>107.105003</v>
      </c>
      <c r="G965">
        <v>109.081001</v>
      </c>
      <c r="H965">
        <v>31028000</v>
      </c>
      <c r="I965">
        <f t="shared" si="107"/>
        <v>0</v>
      </c>
      <c r="J965">
        <f t="shared" si="108"/>
        <v>-0.28999999999999998</v>
      </c>
      <c r="K965" t="str">
        <f t="shared" si="109"/>
        <v>Negative</v>
      </c>
      <c r="L965" s="10">
        <f t="shared" si="110"/>
        <v>-2.6722985426214834E-3</v>
      </c>
      <c r="M965" t="str">
        <f t="shared" si="111"/>
        <v/>
      </c>
    </row>
    <row r="966" spans="1:13" x14ac:dyDescent="0.2">
      <c r="A966" s="21" t="s">
        <v>993</v>
      </c>
      <c r="B966" s="21" t="str">
        <f t="shared" si="105"/>
        <v>Tuesday</v>
      </c>
      <c r="C966" s="9">
        <f t="shared" si="106"/>
        <v>44747</v>
      </c>
      <c r="D966">
        <v>107.514503</v>
      </c>
      <c r="E966">
        <v>114.05259700000001</v>
      </c>
      <c r="F966">
        <v>106.24949599999999</v>
      </c>
      <c r="G966">
        <v>113.887001</v>
      </c>
      <c r="H966">
        <v>36398000</v>
      </c>
      <c r="I966">
        <f t="shared" si="107"/>
        <v>0</v>
      </c>
      <c r="J966">
        <f t="shared" si="108"/>
        <v>4.8099999999999996</v>
      </c>
      <c r="K966" t="str">
        <f t="shared" si="109"/>
        <v>Positive</v>
      </c>
      <c r="L966" s="10">
        <f t="shared" si="110"/>
        <v>4.2199723917569813E-2</v>
      </c>
      <c r="M966" t="str">
        <f t="shared" si="111"/>
        <v/>
      </c>
    </row>
    <row r="967" spans="1:13" x14ac:dyDescent="0.2">
      <c r="A967" s="21" t="s">
        <v>994</v>
      </c>
      <c r="B967" s="21" t="str">
        <f t="shared" si="105"/>
        <v>Wednesday</v>
      </c>
      <c r="C967" s="9">
        <f t="shared" si="106"/>
        <v>44748</v>
      </c>
      <c r="D967">
        <v>114.09200300000001</v>
      </c>
      <c r="E967">
        <v>116.351997</v>
      </c>
      <c r="F967">
        <v>112.25050400000001</v>
      </c>
      <c r="G967">
        <v>115.21350099999999</v>
      </c>
      <c r="H967">
        <v>28852000</v>
      </c>
      <c r="I967">
        <f t="shared" si="107"/>
        <v>0</v>
      </c>
      <c r="J967">
        <f t="shared" si="108"/>
        <v>1.33</v>
      </c>
      <c r="K967" t="str">
        <f t="shared" si="109"/>
        <v>Positive</v>
      </c>
      <c r="L967" s="10">
        <f t="shared" si="110"/>
        <v>1.1513407617046511E-2</v>
      </c>
      <c r="M967" t="str">
        <f t="shared" si="111"/>
        <v/>
      </c>
    </row>
    <row r="968" spans="1:13" x14ac:dyDescent="0.2">
      <c r="A968" s="21" t="s">
        <v>995</v>
      </c>
      <c r="B968" s="21" t="str">
        <f t="shared" si="105"/>
        <v>Thursday</v>
      </c>
      <c r="C968" s="9">
        <f t="shared" si="106"/>
        <v>44749</v>
      </c>
      <c r="D968">
        <v>116.008003</v>
      </c>
      <c r="E968">
        <v>119.86199999999999</v>
      </c>
      <c r="F968">
        <v>115.533997</v>
      </c>
      <c r="G968">
        <v>119.306</v>
      </c>
      <c r="H968">
        <v>32184000</v>
      </c>
      <c r="I968">
        <f t="shared" si="107"/>
        <v>0</v>
      </c>
      <c r="J968">
        <f t="shared" si="108"/>
        <v>4.09</v>
      </c>
      <c r="K968" t="str">
        <f t="shared" si="109"/>
        <v>Positive</v>
      </c>
      <c r="L968" s="10">
        <f t="shared" si="110"/>
        <v>3.4302541364223123E-2</v>
      </c>
      <c r="M968" t="str">
        <f t="shared" si="111"/>
        <v/>
      </c>
    </row>
    <row r="969" spans="1:13" x14ac:dyDescent="0.2">
      <c r="A969" s="21" t="s">
        <v>996</v>
      </c>
      <c r="B969" s="21" t="str">
        <f t="shared" si="105"/>
        <v>Friday</v>
      </c>
      <c r="C969" s="9">
        <f t="shared" si="106"/>
        <v>44750</v>
      </c>
      <c r="D969">
        <v>117.550003</v>
      </c>
      <c r="E969">
        <v>120.43499799999999</v>
      </c>
      <c r="F969">
        <v>117.514</v>
      </c>
      <c r="G969">
        <v>120.168503</v>
      </c>
      <c r="H969">
        <v>29082000</v>
      </c>
      <c r="I969">
        <f t="shared" si="107"/>
        <v>0</v>
      </c>
      <c r="J969">
        <f t="shared" si="108"/>
        <v>0.86</v>
      </c>
      <c r="K969" t="str">
        <f t="shared" si="109"/>
        <v>Positive</v>
      </c>
      <c r="L969" s="10">
        <f t="shared" si="110"/>
        <v>7.1774464894515978E-3</v>
      </c>
      <c r="M969" t="str">
        <f t="shared" si="111"/>
        <v/>
      </c>
    </row>
    <row r="970" spans="1:13" x14ac:dyDescent="0.2">
      <c r="A970" s="21" t="s">
        <v>997</v>
      </c>
      <c r="B970" s="21" t="str">
        <f t="shared" si="105"/>
        <v>Monday</v>
      </c>
      <c r="C970" s="9">
        <f t="shared" si="106"/>
        <v>44753</v>
      </c>
      <c r="D970">
        <v>118.650002</v>
      </c>
      <c r="E970">
        <v>118.79450199999999</v>
      </c>
      <c r="F970">
        <v>116.234497</v>
      </c>
      <c r="G970">
        <v>116.522499</v>
      </c>
      <c r="H970">
        <v>26718000</v>
      </c>
      <c r="I970">
        <f t="shared" si="107"/>
        <v>0</v>
      </c>
      <c r="J970">
        <f t="shared" si="108"/>
        <v>-3.65</v>
      </c>
      <c r="K970" t="str">
        <f t="shared" si="109"/>
        <v>Negative</v>
      </c>
      <c r="L970" s="10">
        <f t="shared" si="110"/>
        <v>-3.1290128784484832E-2</v>
      </c>
      <c r="M970" t="str">
        <f t="shared" si="111"/>
        <v/>
      </c>
    </row>
    <row r="971" spans="1:13" x14ac:dyDescent="0.2">
      <c r="A971" s="21" t="s">
        <v>998</v>
      </c>
      <c r="B971" s="21" t="str">
        <f t="shared" si="105"/>
        <v>Tuesday</v>
      </c>
      <c r="C971" s="9">
        <f t="shared" si="106"/>
        <v>44754</v>
      </c>
      <c r="D971">
        <v>116.83850099999999</v>
      </c>
      <c r="E971">
        <v>117.849503</v>
      </c>
      <c r="F971">
        <v>114.614998</v>
      </c>
      <c r="G971">
        <v>114.849503</v>
      </c>
      <c r="H971">
        <v>24970000</v>
      </c>
      <c r="I971">
        <f t="shared" si="107"/>
        <v>0</v>
      </c>
      <c r="J971">
        <f t="shared" si="108"/>
        <v>-1.67</v>
      </c>
      <c r="K971" t="str">
        <f t="shared" si="109"/>
        <v>Negative</v>
      </c>
      <c r="L971" s="10">
        <f t="shared" si="110"/>
        <v>-1.4566854503497484E-2</v>
      </c>
      <c r="M971" t="str">
        <f t="shared" si="111"/>
        <v/>
      </c>
    </row>
    <row r="972" spans="1:13" x14ac:dyDescent="0.2">
      <c r="A972" s="21" t="s">
        <v>999</v>
      </c>
      <c r="B972" s="21" t="str">
        <f t="shared" si="105"/>
        <v>Wednesday</v>
      </c>
      <c r="C972" s="9">
        <f t="shared" si="106"/>
        <v>44755</v>
      </c>
      <c r="D972">
        <v>112.639</v>
      </c>
      <c r="E972">
        <v>115.156998</v>
      </c>
      <c r="F972">
        <v>111.822998</v>
      </c>
      <c r="G972">
        <v>112.18699599999999</v>
      </c>
      <c r="H972">
        <v>38958000</v>
      </c>
      <c r="I972">
        <f t="shared" si="107"/>
        <v>0</v>
      </c>
      <c r="J972">
        <f t="shared" si="108"/>
        <v>-2.66</v>
      </c>
      <c r="K972" t="str">
        <f t="shared" si="109"/>
        <v>Negative</v>
      </c>
      <c r="L972" s="10">
        <f t="shared" si="110"/>
        <v>-2.3732759543717574E-2</v>
      </c>
      <c r="M972" t="str">
        <f t="shared" si="111"/>
        <v/>
      </c>
    </row>
    <row r="973" spans="1:13" x14ac:dyDescent="0.2">
      <c r="A973" s="21" t="s">
        <v>1000</v>
      </c>
      <c r="B973" s="21" t="str">
        <f t="shared" si="105"/>
        <v>Thursday</v>
      </c>
      <c r="C973" s="9">
        <f t="shared" si="106"/>
        <v>44756</v>
      </c>
      <c r="D973">
        <v>110.825996</v>
      </c>
      <c r="E973">
        <v>111.987503</v>
      </c>
      <c r="F973">
        <v>109.32550000000001</v>
      </c>
      <c r="G973">
        <v>111.44000200000001</v>
      </c>
      <c r="H973">
        <v>32366000</v>
      </c>
      <c r="I973">
        <f t="shared" si="107"/>
        <v>0</v>
      </c>
      <c r="J973">
        <f t="shared" si="108"/>
        <v>-0.75</v>
      </c>
      <c r="K973" t="str">
        <f t="shared" si="109"/>
        <v>Negative</v>
      </c>
      <c r="L973" s="10">
        <f t="shared" si="110"/>
        <v>-6.7031046894631833E-3</v>
      </c>
      <c r="M973" t="str">
        <f t="shared" si="111"/>
        <v/>
      </c>
    </row>
    <row r="974" spans="1:13" x14ac:dyDescent="0.2">
      <c r="A974" s="21" t="s">
        <v>1001</v>
      </c>
      <c r="B974" s="21" t="str">
        <f t="shared" si="105"/>
        <v>Friday</v>
      </c>
      <c r="C974" s="9">
        <f t="shared" si="106"/>
        <v>44757</v>
      </c>
      <c r="D974">
        <v>112.962997</v>
      </c>
      <c r="E974">
        <v>114.00050400000001</v>
      </c>
      <c r="F974">
        <v>111.822502</v>
      </c>
      <c r="G974">
        <v>112.766998</v>
      </c>
      <c r="H974">
        <v>34330000</v>
      </c>
      <c r="I974">
        <f t="shared" si="107"/>
        <v>0</v>
      </c>
      <c r="J974">
        <f t="shared" si="108"/>
        <v>1.33</v>
      </c>
      <c r="K974" t="str">
        <f t="shared" si="109"/>
        <v>Positive</v>
      </c>
      <c r="L974" s="10">
        <f t="shared" si="110"/>
        <v>1.1767591791350108E-2</v>
      </c>
      <c r="M974" t="str">
        <f t="shared" si="111"/>
        <v/>
      </c>
    </row>
    <row r="975" spans="1:13" x14ac:dyDescent="0.2">
      <c r="A975" s="21" t="s">
        <v>1002</v>
      </c>
      <c r="B975" s="21" t="str">
        <f t="shared" si="105"/>
        <v>Monday</v>
      </c>
      <c r="C975" s="9">
        <f t="shared" si="106"/>
        <v>44760</v>
      </c>
      <c r="D975">
        <v>113.44000200000001</v>
      </c>
      <c r="E975">
        <v>114.800003</v>
      </c>
      <c r="F975">
        <v>109.300003</v>
      </c>
      <c r="G975">
        <v>109.910004</v>
      </c>
      <c r="H975">
        <v>33354000</v>
      </c>
      <c r="I975">
        <f t="shared" si="107"/>
        <v>0</v>
      </c>
      <c r="J975">
        <f t="shared" si="108"/>
        <v>-2.86</v>
      </c>
      <c r="K975" t="str">
        <f t="shared" si="109"/>
        <v>Negative</v>
      </c>
      <c r="L975" s="10">
        <f t="shared" si="110"/>
        <v>-2.5993939550761916E-2</v>
      </c>
      <c r="M975" t="str">
        <f t="shared" si="111"/>
        <v/>
      </c>
    </row>
    <row r="976" spans="1:13" x14ac:dyDescent="0.2">
      <c r="A976" s="21" t="s">
        <v>1003</v>
      </c>
      <c r="B976" s="21" t="str">
        <f t="shared" si="105"/>
        <v>Tuesday</v>
      </c>
      <c r="C976" s="9">
        <f t="shared" si="106"/>
        <v>44761</v>
      </c>
      <c r="D976">
        <v>111.730003</v>
      </c>
      <c r="E976">
        <v>114.80999799999999</v>
      </c>
      <c r="F976">
        <v>110.5</v>
      </c>
      <c r="G976">
        <v>114.620003</v>
      </c>
      <c r="H976">
        <v>30992300</v>
      </c>
      <c r="I976">
        <f t="shared" si="107"/>
        <v>0</v>
      </c>
      <c r="J976">
        <f t="shared" si="108"/>
        <v>4.71</v>
      </c>
      <c r="K976" t="str">
        <f t="shared" si="109"/>
        <v>Positive</v>
      </c>
      <c r="L976" s="10">
        <f t="shared" si="110"/>
        <v>4.1092295207844277E-2</v>
      </c>
      <c r="M976" t="str">
        <f t="shared" si="111"/>
        <v/>
      </c>
    </row>
    <row r="977" spans="1:13" x14ac:dyDescent="0.2">
      <c r="A977" s="21" t="s">
        <v>1004</v>
      </c>
      <c r="B977" s="21" t="str">
        <f t="shared" si="105"/>
        <v>Wednesday</v>
      </c>
      <c r="C977" s="9">
        <f t="shared" si="106"/>
        <v>44762</v>
      </c>
      <c r="D977">
        <v>114.05999799999999</v>
      </c>
      <c r="E977">
        <v>116.33000199999999</v>
      </c>
      <c r="F977">
        <v>113.260002</v>
      </c>
      <c r="G977">
        <v>114.699997</v>
      </c>
      <c r="H977">
        <v>26780100</v>
      </c>
      <c r="I977">
        <f t="shared" si="107"/>
        <v>0</v>
      </c>
      <c r="J977">
        <f t="shared" si="108"/>
        <v>0.08</v>
      </c>
      <c r="K977" t="str">
        <f t="shared" si="109"/>
        <v>Positive</v>
      </c>
      <c r="L977" s="10">
        <f t="shared" si="110"/>
        <v>6.9741937307983743E-4</v>
      </c>
      <c r="M977" t="str">
        <f t="shared" si="111"/>
        <v/>
      </c>
    </row>
    <row r="978" spans="1:13" x14ac:dyDescent="0.2">
      <c r="A978" s="21" t="s">
        <v>1005</v>
      </c>
      <c r="B978" s="21" t="str">
        <f t="shared" si="105"/>
        <v>Thursday</v>
      </c>
      <c r="C978" s="9">
        <f t="shared" si="106"/>
        <v>44763</v>
      </c>
      <c r="D978">
        <v>115.089996</v>
      </c>
      <c r="E978">
        <v>115.209999</v>
      </c>
      <c r="F978">
        <v>111.910004</v>
      </c>
      <c r="G978">
        <v>115.040001</v>
      </c>
      <c r="H978">
        <v>27267800</v>
      </c>
      <c r="I978">
        <f t="shared" si="107"/>
        <v>0</v>
      </c>
      <c r="J978">
        <f t="shared" si="108"/>
        <v>0.34</v>
      </c>
      <c r="K978" t="str">
        <f t="shared" si="109"/>
        <v>Positive</v>
      </c>
      <c r="L978" s="10">
        <f t="shared" si="110"/>
        <v>2.9555284861307288E-3</v>
      </c>
      <c r="M978" t="str">
        <f t="shared" si="111"/>
        <v/>
      </c>
    </row>
    <row r="979" spans="1:13" x14ac:dyDescent="0.2">
      <c r="A979" s="21" t="s">
        <v>1006</v>
      </c>
      <c r="B979" s="21" t="str">
        <f t="shared" si="105"/>
        <v>Friday</v>
      </c>
      <c r="C979" s="9">
        <f t="shared" si="106"/>
        <v>44764</v>
      </c>
      <c r="D979">
        <v>111.80999799999999</v>
      </c>
      <c r="E979">
        <v>113.18</v>
      </c>
      <c r="F979">
        <v>107.599998</v>
      </c>
      <c r="G979">
        <v>108.360001</v>
      </c>
      <c r="H979">
        <v>44455300</v>
      </c>
      <c r="I979">
        <f t="shared" si="107"/>
        <v>0</v>
      </c>
      <c r="J979">
        <f t="shared" si="108"/>
        <v>-6.68</v>
      </c>
      <c r="K979" t="str">
        <f t="shared" si="109"/>
        <v>Negative</v>
      </c>
      <c r="L979" s="10">
        <f t="shared" si="110"/>
        <v>-6.1646363403042116E-2</v>
      </c>
      <c r="M979" t="str">
        <f t="shared" si="111"/>
        <v/>
      </c>
    </row>
    <row r="980" spans="1:13" x14ac:dyDescent="0.2">
      <c r="A980" s="21" t="s">
        <v>1007</v>
      </c>
      <c r="B980" s="21" t="str">
        <f t="shared" si="105"/>
        <v>Monday</v>
      </c>
      <c r="C980" s="9">
        <f t="shared" si="106"/>
        <v>44767</v>
      </c>
      <c r="D980">
        <v>108.879997</v>
      </c>
      <c r="E980">
        <v>110.58000199999999</v>
      </c>
      <c r="F980">
        <v>107.010002</v>
      </c>
      <c r="G980">
        <v>108.209999</v>
      </c>
      <c r="H980">
        <v>28289900</v>
      </c>
      <c r="I980">
        <f t="shared" si="107"/>
        <v>0</v>
      </c>
      <c r="J980">
        <f t="shared" si="108"/>
        <v>-0.15</v>
      </c>
      <c r="K980" t="str">
        <f t="shared" si="109"/>
        <v>Negative</v>
      </c>
      <c r="L980" s="10">
        <f t="shared" si="110"/>
        <v>-1.3862120080049224E-3</v>
      </c>
      <c r="M980" t="str">
        <f t="shared" si="111"/>
        <v/>
      </c>
    </row>
    <row r="981" spans="1:13" x14ac:dyDescent="0.2">
      <c r="A981" s="21" t="s">
        <v>1008</v>
      </c>
      <c r="B981" s="21" t="str">
        <f t="shared" si="105"/>
        <v>Tuesday</v>
      </c>
      <c r="C981" s="9">
        <f t="shared" si="106"/>
        <v>44768</v>
      </c>
      <c r="D981">
        <v>107.43</v>
      </c>
      <c r="E981">
        <v>107.739998</v>
      </c>
      <c r="F981">
        <v>104.760002</v>
      </c>
      <c r="G981">
        <v>105.44000200000001</v>
      </c>
      <c r="H981">
        <v>36626600</v>
      </c>
      <c r="I981">
        <f t="shared" si="107"/>
        <v>0</v>
      </c>
      <c r="J981">
        <f t="shared" si="108"/>
        <v>-2.77</v>
      </c>
      <c r="K981" t="str">
        <f t="shared" si="109"/>
        <v>Negative</v>
      </c>
      <c r="L981" s="10">
        <f t="shared" si="110"/>
        <v>-2.6270835996380096E-2</v>
      </c>
      <c r="M981" t="str">
        <f t="shared" si="111"/>
        <v/>
      </c>
    </row>
    <row r="982" spans="1:13" x14ac:dyDescent="0.2">
      <c r="A982" s="21" t="s">
        <v>1009</v>
      </c>
      <c r="B982" s="21" t="str">
        <f t="shared" si="105"/>
        <v>Wednesday</v>
      </c>
      <c r="C982" s="9">
        <f t="shared" si="106"/>
        <v>44769</v>
      </c>
      <c r="D982">
        <v>109.599998</v>
      </c>
      <c r="E982">
        <v>114.400002</v>
      </c>
      <c r="F982">
        <v>108.41999800000001</v>
      </c>
      <c r="G982">
        <v>113.599998</v>
      </c>
      <c r="H982">
        <v>41474600</v>
      </c>
      <c r="I982">
        <f t="shared" si="107"/>
        <v>0</v>
      </c>
      <c r="J982">
        <f t="shared" si="108"/>
        <v>8.16</v>
      </c>
      <c r="K982" t="str">
        <f t="shared" si="109"/>
        <v>Positive</v>
      </c>
      <c r="L982" s="10">
        <f t="shared" si="110"/>
        <v>7.1830951968854723E-2</v>
      </c>
      <c r="M982">
        <f t="shared" si="111"/>
        <v>7.1830951968854723E-2</v>
      </c>
    </row>
    <row r="983" spans="1:13" x14ac:dyDescent="0.2">
      <c r="A983" s="21" t="s">
        <v>1010</v>
      </c>
      <c r="B983" s="21" t="str">
        <f t="shared" si="105"/>
        <v>Thursday</v>
      </c>
      <c r="C983" s="9">
        <f t="shared" si="106"/>
        <v>44770</v>
      </c>
      <c r="D983">
        <v>112.800003</v>
      </c>
      <c r="E983">
        <v>114.699997</v>
      </c>
      <c r="F983">
        <v>111.850998</v>
      </c>
      <c r="G983">
        <v>114.589996</v>
      </c>
      <c r="H983">
        <v>23303800</v>
      </c>
      <c r="I983">
        <f t="shared" si="107"/>
        <v>0</v>
      </c>
      <c r="J983">
        <f t="shared" si="108"/>
        <v>0.99</v>
      </c>
      <c r="K983" t="str">
        <f t="shared" si="109"/>
        <v>Positive</v>
      </c>
      <c r="L983" s="10">
        <f t="shared" si="110"/>
        <v>8.6394801863855543E-3</v>
      </c>
      <c r="M983" t="str">
        <f t="shared" si="111"/>
        <v/>
      </c>
    </row>
    <row r="984" spans="1:13" x14ac:dyDescent="0.2">
      <c r="A984" s="21" t="s">
        <v>1011</v>
      </c>
      <c r="B984" s="21" t="str">
        <f t="shared" si="105"/>
        <v>Friday</v>
      </c>
      <c r="C984" s="9">
        <f t="shared" si="106"/>
        <v>44771</v>
      </c>
      <c r="D984">
        <v>113.400002</v>
      </c>
      <c r="E984">
        <v>116.900002</v>
      </c>
      <c r="F984">
        <v>113.230003</v>
      </c>
      <c r="G984">
        <v>116.639999</v>
      </c>
      <c r="H984">
        <v>31336200</v>
      </c>
      <c r="I984">
        <f t="shared" si="107"/>
        <v>0</v>
      </c>
      <c r="J984">
        <f t="shared" si="108"/>
        <v>2.0499999999999998</v>
      </c>
      <c r="K984" t="str">
        <f t="shared" si="109"/>
        <v>Positive</v>
      </c>
      <c r="L984" s="10">
        <f t="shared" si="110"/>
        <v>1.7575471687032541E-2</v>
      </c>
      <c r="M984" t="str">
        <f t="shared" si="111"/>
        <v/>
      </c>
    </row>
    <row r="985" spans="1:13" x14ac:dyDescent="0.2">
      <c r="A985" s="21" t="s">
        <v>1012</v>
      </c>
      <c r="B985" s="21" t="str">
        <f t="shared" si="105"/>
        <v>Monday</v>
      </c>
      <c r="C985" s="9">
        <f t="shared" si="106"/>
        <v>44774</v>
      </c>
      <c r="D985">
        <v>115.529999</v>
      </c>
      <c r="E985">
        <v>117.120003</v>
      </c>
      <c r="F985">
        <v>114.69000200000001</v>
      </c>
      <c r="G985">
        <v>115.480003</v>
      </c>
      <c r="H985">
        <v>22856200</v>
      </c>
      <c r="I985">
        <f t="shared" si="107"/>
        <v>0</v>
      </c>
      <c r="J985">
        <f t="shared" si="108"/>
        <v>-1.1599999999999999</v>
      </c>
      <c r="K985" t="str">
        <f t="shared" si="109"/>
        <v>Negative</v>
      </c>
      <c r="L985" s="10">
        <f t="shared" si="110"/>
        <v>-1.0044994543341039E-2</v>
      </c>
      <c r="M985" t="str">
        <f t="shared" si="111"/>
        <v/>
      </c>
    </row>
    <row r="986" spans="1:13" x14ac:dyDescent="0.2">
      <c r="A986" s="21" t="s">
        <v>1013</v>
      </c>
      <c r="B986" s="21" t="str">
        <f t="shared" si="105"/>
        <v>Tuesday</v>
      </c>
      <c r="C986" s="9">
        <f t="shared" si="106"/>
        <v>44775</v>
      </c>
      <c r="D986">
        <v>114.43</v>
      </c>
      <c r="E986">
        <v>117.08000199999999</v>
      </c>
      <c r="F986">
        <v>114.260002</v>
      </c>
      <c r="G986">
        <v>115.900002</v>
      </c>
      <c r="H986">
        <v>17911000</v>
      </c>
      <c r="I986">
        <f t="shared" si="107"/>
        <v>0</v>
      </c>
      <c r="J986">
        <f t="shared" si="108"/>
        <v>0.42</v>
      </c>
      <c r="K986" t="str">
        <f t="shared" si="109"/>
        <v>Positive</v>
      </c>
      <c r="L986" s="10">
        <f t="shared" si="110"/>
        <v>3.6238049417807966E-3</v>
      </c>
      <c r="M986" t="str">
        <f t="shared" si="111"/>
        <v/>
      </c>
    </row>
    <row r="987" spans="1:13" x14ac:dyDescent="0.2">
      <c r="A987" s="21" t="s">
        <v>1014</v>
      </c>
      <c r="B987" s="21" t="str">
        <f t="shared" si="105"/>
        <v>Wednesday</v>
      </c>
      <c r="C987" s="9">
        <f t="shared" si="106"/>
        <v>44776</v>
      </c>
      <c r="D987">
        <v>116.339996</v>
      </c>
      <c r="E987">
        <v>119.41999800000001</v>
      </c>
      <c r="F987">
        <v>116.150002</v>
      </c>
      <c r="G987">
        <v>118.779999</v>
      </c>
      <c r="H987">
        <v>25302800</v>
      </c>
      <c r="I987">
        <f t="shared" si="107"/>
        <v>0</v>
      </c>
      <c r="J987">
        <f t="shared" si="108"/>
        <v>2.88</v>
      </c>
      <c r="K987" t="str">
        <f t="shared" si="109"/>
        <v>Positive</v>
      </c>
      <c r="L987" s="10">
        <f t="shared" si="110"/>
        <v>2.4246481093167908E-2</v>
      </c>
      <c r="M987" t="str">
        <f t="shared" si="111"/>
        <v/>
      </c>
    </row>
    <row r="988" spans="1:13" x14ac:dyDescent="0.2">
      <c r="A988" s="21" t="s">
        <v>1015</v>
      </c>
      <c r="B988" s="21" t="str">
        <f t="shared" si="105"/>
        <v>Thursday</v>
      </c>
      <c r="C988" s="9">
        <f t="shared" si="106"/>
        <v>44777</v>
      </c>
      <c r="D988">
        <v>118.300003</v>
      </c>
      <c r="E988">
        <v>119.5</v>
      </c>
      <c r="F988">
        <v>117.709999</v>
      </c>
      <c r="G988">
        <v>118.870003</v>
      </c>
      <c r="H988">
        <v>15757700</v>
      </c>
      <c r="I988">
        <f t="shared" si="107"/>
        <v>0</v>
      </c>
      <c r="J988">
        <f t="shared" si="108"/>
        <v>0.09</v>
      </c>
      <c r="K988" t="str">
        <f t="shared" si="109"/>
        <v>Positive</v>
      </c>
      <c r="L988" s="10">
        <f t="shared" si="110"/>
        <v>7.5716326851605546E-4</v>
      </c>
      <c r="M988" t="str">
        <f t="shared" si="111"/>
        <v/>
      </c>
    </row>
    <row r="989" spans="1:13" x14ac:dyDescent="0.2">
      <c r="A989" s="21" t="s">
        <v>1016</v>
      </c>
      <c r="B989" s="21" t="str">
        <f t="shared" si="105"/>
        <v>Friday</v>
      </c>
      <c r="C989" s="9">
        <f t="shared" si="106"/>
        <v>44778</v>
      </c>
      <c r="D989">
        <v>116.93</v>
      </c>
      <c r="E989">
        <v>118.860001</v>
      </c>
      <c r="F989">
        <v>116.709999</v>
      </c>
      <c r="G989">
        <v>118.220001</v>
      </c>
      <c r="H989">
        <v>15615700</v>
      </c>
      <c r="I989">
        <f t="shared" si="107"/>
        <v>0</v>
      </c>
      <c r="J989">
        <f t="shared" si="108"/>
        <v>-0.65</v>
      </c>
      <c r="K989" t="str">
        <f t="shared" si="109"/>
        <v>Negative</v>
      </c>
      <c r="L989" s="10">
        <f t="shared" si="110"/>
        <v>-5.4982405219231954E-3</v>
      </c>
      <c r="M989" t="str">
        <f t="shared" si="111"/>
        <v/>
      </c>
    </row>
    <row r="990" spans="1:13" x14ac:dyDescent="0.2">
      <c r="A990" s="21" t="s">
        <v>1017</v>
      </c>
      <c r="B990" s="21" t="str">
        <f t="shared" si="105"/>
        <v>Monday</v>
      </c>
      <c r="C990" s="9">
        <f t="shared" si="106"/>
        <v>44781</v>
      </c>
      <c r="D990">
        <v>119.120003</v>
      </c>
      <c r="E990">
        <v>120.860001</v>
      </c>
      <c r="F990">
        <v>117.83000199999999</v>
      </c>
      <c r="G990">
        <v>118.139999</v>
      </c>
      <c r="H990">
        <v>17061100</v>
      </c>
      <c r="I990">
        <f t="shared" si="107"/>
        <v>0</v>
      </c>
      <c r="J990">
        <f t="shared" si="108"/>
        <v>-0.08</v>
      </c>
      <c r="K990" t="str">
        <f t="shared" si="109"/>
        <v>Negative</v>
      </c>
      <c r="L990" s="10">
        <f t="shared" si="110"/>
        <v>-6.7717962313503357E-4</v>
      </c>
      <c r="M990" t="str">
        <f t="shared" si="111"/>
        <v/>
      </c>
    </row>
    <row r="991" spans="1:13" x14ac:dyDescent="0.2">
      <c r="A991" s="21" t="s">
        <v>1018</v>
      </c>
      <c r="B991" s="21" t="str">
        <f t="shared" si="105"/>
        <v>Tuesday</v>
      </c>
      <c r="C991" s="9">
        <f t="shared" si="106"/>
        <v>44782</v>
      </c>
      <c r="D991">
        <v>117.989998</v>
      </c>
      <c r="E991">
        <v>118.199997</v>
      </c>
      <c r="F991">
        <v>116.55999799999999</v>
      </c>
      <c r="G991">
        <v>117.5</v>
      </c>
      <c r="H991">
        <v>15424300</v>
      </c>
      <c r="I991">
        <f t="shared" si="107"/>
        <v>0</v>
      </c>
      <c r="J991">
        <f t="shared" si="108"/>
        <v>-0.64</v>
      </c>
      <c r="K991" t="str">
        <f t="shared" si="109"/>
        <v>Negative</v>
      </c>
      <c r="L991" s="10">
        <f t="shared" si="110"/>
        <v>-5.4468000000000259E-3</v>
      </c>
      <c r="M991" t="str">
        <f t="shared" si="111"/>
        <v/>
      </c>
    </row>
    <row r="992" spans="1:13" x14ac:dyDescent="0.2">
      <c r="A992" s="21" t="s">
        <v>1019</v>
      </c>
      <c r="B992" s="21" t="str">
        <f t="shared" si="105"/>
        <v>Wednesday</v>
      </c>
      <c r="C992" s="9">
        <f t="shared" si="106"/>
        <v>44783</v>
      </c>
      <c r="D992">
        <v>119.589996</v>
      </c>
      <c r="E992">
        <v>121.779999</v>
      </c>
      <c r="F992">
        <v>119.360001</v>
      </c>
      <c r="G992">
        <v>120.650002</v>
      </c>
      <c r="H992">
        <v>20497000</v>
      </c>
      <c r="I992">
        <f t="shared" si="107"/>
        <v>0</v>
      </c>
      <c r="J992">
        <f t="shared" si="108"/>
        <v>3.15</v>
      </c>
      <c r="K992" t="str">
        <f t="shared" si="109"/>
        <v>Positive</v>
      </c>
      <c r="L992" s="10">
        <f t="shared" si="110"/>
        <v>2.6108594677022888E-2</v>
      </c>
      <c r="M992" t="str">
        <f t="shared" si="111"/>
        <v/>
      </c>
    </row>
    <row r="993" spans="1:13" x14ac:dyDescent="0.2">
      <c r="A993" s="21" t="s">
        <v>1020</v>
      </c>
      <c r="B993" s="21" t="str">
        <f t="shared" si="105"/>
        <v>Thursday</v>
      </c>
      <c r="C993" s="9">
        <f t="shared" si="106"/>
        <v>44784</v>
      </c>
      <c r="D993">
        <v>122.08000199999999</v>
      </c>
      <c r="E993">
        <v>122.339996</v>
      </c>
      <c r="F993">
        <v>119.550003</v>
      </c>
      <c r="G993">
        <v>119.82</v>
      </c>
      <c r="H993">
        <v>16671600</v>
      </c>
      <c r="I993">
        <f t="shared" si="107"/>
        <v>0</v>
      </c>
      <c r="J993">
        <f t="shared" si="108"/>
        <v>-0.83</v>
      </c>
      <c r="K993" t="str">
        <f t="shared" si="109"/>
        <v>Negative</v>
      </c>
      <c r="L993" s="10">
        <f t="shared" si="110"/>
        <v>-6.9270739442497701E-3</v>
      </c>
      <c r="M993" t="str">
        <f t="shared" si="111"/>
        <v/>
      </c>
    </row>
    <row r="994" spans="1:13" x14ac:dyDescent="0.2">
      <c r="A994" s="21" t="s">
        <v>1021</v>
      </c>
      <c r="B994" s="21" t="str">
        <f t="shared" si="105"/>
        <v>Friday</v>
      </c>
      <c r="C994" s="9">
        <f t="shared" si="106"/>
        <v>44785</v>
      </c>
      <c r="D994">
        <v>121.160004</v>
      </c>
      <c r="E994">
        <v>122.650002</v>
      </c>
      <c r="F994">
        <v>120.400002</v>
      </c>
      <c r="G994">
        <v>122.650002</v>
      </c>
      <c r="H994">
        <v>16121100</v>
      </c>
      <c r="I994">
        <f t="shared" si="107"/>
        <v>0</v>
      </c>
      <c r="J994">
        <f t="shared" si="108"/>
        <v>2.83</v>
      </c>
      <c r="K994" t="str">
        <f t="shared" si="109"/>
        <v>Positive</v>
      </c>
      <c r="L994" s="10">
        <f t="shared" si="110"/>
        <v>2.3073803129656758E-2</v>
      </c>
      <c r="M994" t="str">
        <f t="shared" si="111"/>
        <v/>
      </c>
    </row>
    <row r="995" spans="1:13" x14ac:dyDescent="0.2">
      <c r="A995" s="21" t="s">
        <v>1022</v>
      </c>
      <c r="B995" s="21" t="str">
        <f t="shared" si="105"/>
        <v>Monday</v>
      </c>
      <c r="C995" s="9">
        <f t="shared" si="106"/>
        <v>44788</v>
      </c>
      <c r="D995">
        <v>122.209999</v>
      </c>
      <c r="E995">
        <v>123.260002</v>
      </c>
      <c r="F995">
        <v>121.57</v>
      </c>
      <c r="G995">
        <v>122.879997</v>
      </c>
      <c r="H995">
        <v>15525000</v>
      </c>
      <c r="I995">
        <f t="shared" si="107"/>
        <v>0</v>
      </c>
      <c r="J995">
        <f t="shared" si="108"/>
        <v>0.23</v>
      </c>
      <c r="K995" t="str">
        <f t="shared" si="109"/>
        <v>Positive</v>
      </c>
      <c r="L995" s="10">
        <f t="shared" si="110"/>
        <v>1.8717041472584215E-3</v>
      </c>
      <c r="M995" t="str">
        <f t="shared" si="111"/>
        <v/>
      </c>
    </row>
    <row r="996" spans="1:13" x14ac:dyDescent="0.2">
      <c r="A996" s="21" t="s">
        <v>1023</v>
      </c>
      <c r="B996" s="21" t="str">
        <f t="shared" si="105"/>
        <v>Tuesday</v>
      </c>
      <c r="C996" s="9">
        <f t="shared" si="106"/>
        <v>44789</v>
      </c>
      <c r="D996">
        <v>122.32</v>
      </c>
      <c r="E996">
        <v>123.227997</v>
      </c>
      <c r="F996">
        <v>121.535004</v>
      </c>
      <c r="G996">
        <v>122.510002</v>
      </c>
      <c r="H996">
        <v>15626200</v>
      </c>
      <c r="I996">
        <f t="shared" si="107"/>
        <v>0</v>
      </c>
      <c r="J996">
        <f t="shared" si="108"/>
        <v>-0.37</v>
      </c>
      <c r="K996" t="str">
        <f t="shared" si="109"/>
        <v>Negative</v>
      </c>
      <c r="L996" s="10">
        <f t="shared" si="110"/>
        <v>-3.0201207571607333E-3</v>
      </c>
      <c r="M996" t="str">
        <f t="shared" si="111"/>
        <v/>
      </c>
    </row>
    <row r="997" spans="1:13" x14ac:dyDescent="0.2">
      <c r="A997" s="21" t="s">
        <v>1024</v>
      </c>
      <c r="B997" s="21" t="str">
        <f t="shared" si="105"/>
        <v>Wednesday</v>
      </c>
      <c r="C997" s="9">
        <f t="shared" si="106"/>
        <v>44790</v>
      </c>
      <c r="D997">
        <v>120.93</v>
      </c>
      <c r="E997">
        <v>122.150002</v>
      </c>
      <c r="F997">
        <v>120.199997</v>
      </c>
      <c r="G997">
        <v>120.32</v>
      </c>
      <c r="H997">
        <v>17589200</v>
      </c>
      <c r="I997">
        <f t="shared" si="107"/>
        <v>0</v>
      </c>
      <c r="J997">
        <f t="shared" si="108"/>
        <v>-2.19</v>
      </c>
      <c r="K997" t="str">
        <f t="shared" si="109"/>
        <v>Negative</v>
      </c>
      <c r="L997" s="10">
        <f t="shared" si="110"/>
        <v>-1.8201479388297932E-2</v>
      </c>
      <c r="M997" t="str">
        <f t="shared" si="111"/>
        <v/>
      </c>
    </row>
    <row r="998" spans="1:13" x14ac:dyDescent="0.2">
      <c r="A998" s="21" t="s">
        <v>1025</v>
      </c>
      <c r="B998" s="21" t="str">
        <f t="shared" si="105"/>
        <v>Thursday</v>
      </c>
      <c r="C998" s="9">
        <f t="shared" si="106"/>
        <v>44791</v>
      </c>
      <c r="D998">
        <v>120.230003</v>
      </c>
      <c r="E998">
        <v>121.69000200000001</v>
      </c>
      <c r="F998">
        <v>119.550003</v>
      </c>
      <c r="G998">
        <v>120.860001</v>
      </c>
      <c r="H998">
        <v>15652000</v>
      </c>
      <c r="I998">
        <f t="shared" si="107"/>
        <v>0</v>
      </c>
      <c r="J998">
        <f t="shared" si="108"/>
        <v>0.54</v>
      </c>
      <c r="K998" t="str">
        <f t="shared" si="109"/>
        <v>Positive</v>
      </c>
      <c r="L998" s="10">
        <f t="shared" si="110"/>
        <v>4.4679877174583485E-3</v>
      </c>
      <c r="M998" t="str">
        <f t="shared" si="111"/>
        <v/>
      </c>
    </row>
    <row r="999" spans="1:13" x14ac:dyDescent="0.2">
      <c r="A999" s="21" t="s">
        <v>1026</v>
      </c>
      <c r="B999" s="21" t="str">
        <f t="shared" si="105"/>
        <v>Friday</v>
      </c>
      <c r="C999" s="9">
        <f t="shared" si="106"/>
        <v>44792</v>
      </c>
      <c r="D999">
        <v>119.870003</v>
      </c>
      <c r="E999">
        <v>120</v>
      </c>
      <c r="F999">
        <v>117.66999800000001</v>
      </c>
      <c r="G999">
        <v>118.120003</v>
      </c>
      <c r="H999">
        <v>20187000</v>
      </c>
      <c r="I999">
        <f t="shared" si="107"/>
        <v>0</v>
      </c>
      <c r="J999">
        <f t="shared" si="108"/>
        <v>-2.74</v>
      </c>
      <c r="K999" t="str">
        <f t="shared" si="109"/>
        <v>Negative</v>
      </c>
      <c r="L999" s="10">
        <f t="shared" si="110"/>
        <v>-2.3196731547661744E-2</v>
      </c>
      <c r="M999" t="str">
        <f t="shared" si="111"/>
        <v/>
      </c>
    </row>
    <row r="1000" spans="1:13" x14ac:dyDescent="0.2">
      <c r="A1000" s="21" t="s">
        <v>1027</v>
      </c>
      <c r="B1000" s="21" t="str">
        <f t="shared" si="105"/>
        <v>Monday</v>
      </c>
      <c r="C1000" s="9">
        <f t="shared" si="106"/>
        <v>44795</v>
      </c>
      <c r="D1000">
        <v>116.099998</v>
      </c>
      <c r="E1000">
        <v>116.5</v>
      </c>
      <c r="F1000">
        <v>114.66999800000001</v>
      </c>
      <c r="G1000">
        <v>115.07</v>
      </c>
      <c r="H1000">
        <v>19316000</v>
      </c>
      <c r="I1000">
        <f t="shared" si="107"/>
        <v>0</v>
      </c>
      <c r="J1000">
        <f t="shared" si="108"/>
        <v>-3.05</v>
      </c>
      <c r="K1000" t="str">
        <f t="shared" si="109"/>
        <v>Negative</v>
      </c>
      <c r="L1000" s="10">
        <f t="shared" si="110"/>
        <v>-2.650563135482753E-2</v>
      </c>
      <c r="M1000" t="str">
        <f t="shared" si="111"/>
        <v/>
      </c>
    </row>
    <row r="1001" spans="1:13" x14ac:dyDescent="0.2">
      <c r="A1001" s="21" t="s">
        <v>1028</v>
      </c>
      <c r="B1001" s="21" t="str">
        <f t="shared" si="105"/>
        <v>Tuesday</v>
      </c>
      <c r="C1001" s="9">
        <f t="shared" si="106"/>
        <v>44796</v>
      </c>
      <c r="D1001">
        <v>114.32</v>
      </c>
      <c r="E1001">
        <v>115.93</v>
      </c>
      <c r="F1001">
        <v>114.300003</v>
      </c>
      <c r="G1001">
        <v>114.769997</v>
      </c>
      <c r="H1001">
        <v>14390700</v>
      </c>
      <c r="I1001">
        <f t="shared" si="107"/>
        <v>0</v>
      </c>
      <c r="J1001">
        <f t="shared" si="108"/>
        <v>-0.3</v>
      </c>
      <c r="K1001" t="str">
        <f t="shared" si="109"/>
        <v>Negative</v>
      </c>
      <c r="L1001" s="10">
        <f t="shared" si="110"/>
        <v>-2.6139497067338043E-3</v>
      </c>
      <c r="M1001" t="str">
        <f t="shared" si="111"/>
        <v/>
      </c>
    </row>
    <row r="1002" spans="1:13" x14ac:dyDescent="0.2">
      <c r="A1002" s="21" t="s">
        <v>1029</v>
      </c>
      <c r="B1002" s="21" t="str">
        <f t="shared" si="105"/>
        <v>Wednesday</v>
      </c>
      <c r="C1002" s="9">
        <f t="shared" si="106"/>
        <v>44797</v>
      </c>
      <c r="D1002">
        <v>114.449997</v>
      </c>
      <c r="E1002">
        <v>115.71700300000001</v>
      </c>
      <c r="F1002">
        <v>113.779999</v>
      </c>
      <c r="G1002">
        <v>114.699997</v>
      </c>
      <c r="H1002">
        <v>16051200</v>
      </c>
      <c r="I1002">
        <f t="shared" si="107"/>
        <v>0</v>
      </c>
      <c r="J1002">
        <f t="shared" si="108"/>
        <v>-7.0000000000000007E-2</v>
      </c>
      <c r="K1002" t="str">
        <f t="shared" si="109"/>
        <v>Negative</v>
      </c>
      <c r="L1002" s="10">
        <f t="shared" si="110"/>
        <v>-6.1028772302415481E-4</v>
      </c>
      <c r="M1002" t="str">
        <f t="shared" si="111"/>
        <v/>
      </c>
    </row>
    <row r="1003" spans="1:13" x14ac:dyDescent="0.2">
      <c r="A1003" s="21" t="s">
        <v>1030</v>
      </c>
      <c r="B1003" s="21" t="str">
        <f t="shared" si="105"/>
        <v>Thursday</v>
      </c>
      <c r="C1003" s="9">
        <f t="shared" si="106"/>
        <v>44798</v>
      </c>
      <c r="D1003">
        <v>115.150002</v>
      </c>
      <c r="E1003">
        <v>117.779999</v>
      </c>
      <c r="F1003">
        <v>115.050003</v>
      </c>
      <c r="G1003">
        <v>117.699997</v>
      </c>
      <c r="H1003">
        <v>14874700</v>
      </c>
      <c r="I1003">
        <f t="shared" si="107"/>
        <v>0</v>
      </c>
      <c r="J1003">
        <f t="shared" si="108"/>
        <v>3</v>
      </c>
      <c r="K1003" t="str">
        <f t="shared" si="109"/>
        <v>Positive</v>
      </c>
      <c r="L1003" s="10">
        <f t="shared" si="110"/>
        <v>2.5488530811092546E-2</v>
      </c>
      <c r="M1003" t="str">
        <f t="shared" si="111"/>
        <v/>
      </c>
    </row>
    <row r="1004" spans="1:13" x14ac:dyDescent="0.2">
      <c r="A1004" s="21" t="s">
        <v>1031</v>
      </c>
      <c r="B1004" s="21" t="str">
        <f t="shared" si="105"/>
        <v>Friday</v>
      </c>
      <c r="C1004" s="9">
        <f t="shared" si="106"/>
        <v>44799</v>
      </c>
      <c r="D1004">
        <v>115.80999799999999</v>
      </c>
      <c r="E1004">
        <v>116.599998</v>
      </c>
      <c r="F1004">
        <v>111.220001</v>
      </c>
      <c r="G1004">
        <v>111.300003</v>
      </c>
      <c r="H1004">
        <v>31698700</v>
      </c>
      <c r="I1004">
        <f t="shared" si="107"/>
        <v>0</v>
      </c>
      <c r="J1004">
        <f t="shared" si="108"/>
        <v>-6.4</v>
      </c>
      <c r="K1004" t="str">
        <f t="shared" si="109"/>
        <v>Negative</v>
      </c>
      <c r="L1004" s="10">
        <f t="shared" si="110"/>
        <v>-5.7502190723211319E-2</v>
      </c>
      <c r="M1004" t="str">
        <f t="shared" si="111"/>
        <v/>
      </c>
    </row>
    <row r="1005" spans="1:13" x14ac:dyDescent="0.2">
      <c r="A1005" s="21" t="s">
        <v>1032</v>
      </c>
      <c r="B1005" s="21" t="str">
        <f t="shared" si="105"/>
        <v>Monday</v>
      </c>
      <c r="C1005" s="9">
        <f t="shared" si="106"/>
        <v>44802</v>
      </c>
      <c r="D1005">
        <v>110.779999</v>
      </c>
      <c r="E1005">
        <v>111.959999</v>
      </c>
      <c r="F1005">
        <v>109.80999799999999</v>
      </c>
      <c r="G1005">
        <v>110.339996</v>
      </c>
      <c r="H1005">
        <v>20386100</v>
      </c>
      <c r="I1005">
        <f t="shared" si="107"/>
        <v>0</v>
      </c>
      <c r="J1005">
        <f t="shared" si="108"/>
        <v>-0.96</v>
      </c>
      <c r="K1005" t="str">
        <f t="shared" si="109"/>
        <v>Negative</v>
      </c>
      <c r="L1005" s="10">
        <f t="shared" si="110"/>
        <v>-8.700444397333534E-3</v>
      </c>
      <c r="M1005" t="str">
        <f t="shared" si="111"/>
        <v/>
      </c>
    </row>
    <row r="1006" spans="1:13" x14ac:dyDescent="0.2">
      <c r="A1006" s="21" t="s">
        <v>1033</v>
      </c>
      <c r="B1006" s="21" t="str">
        <f t="shared" si="105"/>
        <v>Tuesday</v>
      </c>
      <c r="C1006" s="9">
        <f t="shared" si="106"/>
        <v>44803</v>
      </c>
      <c r="D1006">
        <v>111.029999</v>
      </c>
      <c r="E1006">
        <v>111.370003</v>
      </c>
      <c r="F1006">
        <v>108.800003</v>
      </c>
      <c r="G1006">
        <v>109.910004</v>
      </c>
      <c r="H1006">
        <v>20548200</v>
      </c>
      <c r="I1006">
        <f t="shared" si="107"/>
        <v>0</v>
      </c>
      <c r="J1006">
        <f t="shared" si="108"/>
        <v>-0.43</v>
      </c>
      <c r="K1006" t="str">
        <f t="shared" si="109"/>
        <v>Negative</v>
      </c>
      <c r="L1006" s="10">
        <f t="shared" si="110"/>
        <v>-3.9122189459659977E-3</v>
      </c>
      <c r="M1006" t="str">
        <f t="shared" si="111"/>
        <v/>
      </c>
    </row>
    <row r="1007" spans="1:13" x14ac:dyDescent="0.2">
      <c r="A1007" s="21" t="s">
        <v>1034</v>
      </c>
      <c r="B1007" s="21" t="str">
        <f t="shared" si="105"/>
        <v>Wednesday</v>
      </c>
      <c r="C1007" s="9">
        <f t="shared" si="106"/>
        <v>44804</v>
      </c>
      <c r="D1007">
        <v>111.629997</v>
      </c>
      <c r="E1007">
        <v>111.769997</v>
      </c>
      <c r="F1007">
        <v>109.050003</v>
      </c>
      <c r="G1007">
        <v>109.150002</v>
      </c>
      <c r="H1007">
        <v>25898000</v>
      </c>
      <c r="I1007">
        <f t="shared" si="107"/>
        <v>0</v>
      </c>
      <c r="J1007">
        <f t="shared" si="108"/>
        <v>-0.76</v>
      </c>
      <c r="K1007" t="str">
        <f t="shared" si="109"/>
        <v>Negative</v>
      </c>
      <c r="L1007" s="10">
        <f t="shared" si="110"/>
        <v>-6.9629132943121713E-3</v>
      </c>
      <c r="M1007" t="str">
        <f t="shared" si="111"/>
        <v/>
      </c>
    </row>
    <row r="1008" spans="1:13" x14ac:dyDescent="0.2">
      <c r="A1008" s="21" t="s">
        <v>1035</v>
      </c>
      <c r="B1008" s="21" t="str">
        <f t="shared" si="105"/>
        <v>Thursday</v>
      </c>
      <c r="C1008" s="9">
        <f t="shared" si="106"/>
        <v>44805</v>
      </c>
      <c r="D1008">
        <v>109.199997</v>
      </c>
      <c r="E1008">
        <v>111.220001</v>
      </c>
      <c r="F1008">
        <v>108.19000200000001</v>
      </c>
      <c r="G1008">
        <v>110.550003</v>
      </c>
      <c r="H1008">
        <v>22784400</v>
      </c>
      <c r="I1008">
        <f t="shared" si="107"/>
        <v>0</v>
      </c>
      <c r="J1008">
        <f t="shared" si="108"/>
        <v>1.4</v>
      </c>
      <c r="K1008" t="str">
        <f t="shared" si="109"/>
        <v>Positive</v>
      </c>
      <c r="L1008" s="10">
        <f t="shared" si="110"/>
        <v>1.266396166447868E-2</v>
      </c>
      <c r="M1008" t="str">
        <f t="shared" si="111"/>
        <v/>
      </c>
    </row>
    <row r="1009" spans="1:13" x14ac:dyDescent="0.2">
      <c r="A1009" s="21" t="s">
        <v>1036</v>
      </c>
      <c r="B1009" s="21" t="str">
        <f t="shared" si="105"/>
        <v>Friday</v>
      </c>
      <c r="C1009" s="9">
        <f t="shared" si="106"/>
        <v>44806</v>
      </c>
      <c r="D1009">
        <v>111.339996</v>
      </c>
      <c r="E1009">
        <v>111.675003</v>
      </c>
      <c r="F1009">
        <v>108.129997</v>
      </c>
      <c r="G1009">
        <v>108.68</v>
      </c>
      <c r="H1009">
        <v>20618100</v>
      </c>
      <c r="I1009">
        <f t="shared" si="107"/>
        <v>0</v>
      </c>
      <c r="J1009">
        <f t="shared" si="108"/>
        <v>-1.87</v>
      </c>
      <c r="K1009" t="str">
        <f t="shared" si="109"/>
        <v>Negative</v>
      </c>
      <c r="L1009" s="10">
        <f t="shared" si="110"/>
        <v>-1.7206505336768464E-2</v>
      </c>
      <c r="M1009" t="str">
        <f t="shared" si="111"/>
        <v/>
      </c>
    </row>
    <row r="1010" spans="1:13" x14ac:dyDescent="0.2">
      <c r="A1010" s="21" t="s">
        <v>1037</v>
      </c>
      <c r="B1010" s="21" t="str">
        <f t="shared" si="105"/>
        <v>Tuesday</v>
      </c>
      <c r="C1010" s="9">
        <f t="shared" si="106"/>
        <v>44810</v>
      </c>
      <c r="D1010">
        <v>108.135002</v>
      </c>
      <c r="E1010">
        <v>108.879997</v>
      </c>
      <c r="F1010">
        <v>106.510002</v>
      </c>
      <c r="G1010">
        <v>107.480003</v>
      </c>
      <c r="H1010">
        <v>20565100</v>
      </c>
      <c r="I1010">
        <f t="shared" si="107"/>
        <v>0</v>
      </c>
      <c r="J1010">
        <f t="shared" si="108"/>
        <v>-1.2</v>
      </c>
      <c r="K1010" t="str">
        <f t="shared" si="109"/>
        <v>Negative</v>
      </c>
      <c r="L1010" s="10">
        <f t="shared" si="110"/>
        <v>-1.1164839658592217E-2</v>
      </c>
      <c r="M1010" t="str">
        <f t="shared" si="111"/>
        <v/>
      </c>
    </row>
    <row r="1011" spans="1:13" x14ac:dyDescent="0.2">
      <c r="A1011" s="21" t="s">
        <v>1038</v>
      </c>
      <c r="B1011" s="21" t="str">
        <f t="shared" si="105"/>
        <v>Wednesday</v>
      </c>
      <c r="C1011" s="9">
        <f t="shared" si="106"/>
        <v>44811</v>
      </c>
      <c r="D1011">
        <v>107.760002</v>
      </c>
      <c r="E1011">
        <v>110.989998</v>
      </c>
      <c r="F1011">
        <v>107.614998</v>
      </c>
      <c r="G1011">
        <v>110.480003</v>
      </c>
      <c r="H1011">
        <v>22987200</v>
      </c>
      <c r="I1011">
        <f t="shared" si="107"/>
        <v>0</v>
      </c>
      <c r="J1011">
        <f t="shared" si="108"/>
        <v>3</v>
      </c>
      <c r="K1011" t="str">
        <f t="shared" si="109"/>
        <v>Positive</v>
      </c>
      <c r="L1011" s="10">
        <f t="shared" si="110"/>
        <v>2.7154235323472973E-2</v>
      </c>
      <c r="M1011" t="str">
        <f t="shared" si="111"/>
        <v/>
      </c>
    </row>
    <row r="1012" spans="1:13" x14ac:dyDescent="0.2">
      <c r="A1012" s="21" t="s">
        <v>1039</v>
      </c>
      <c r="B1012" s="21" t="str">
        <f t="shared" si="105"/>
        <v>Thursday</v>
      </c>
      <c r="C1012" s="9">
        <f t="shared" si="106"/>
        <v>44812</v>
      </c>
      <c r="D1012">
        <v>109.18</v>
      </c>
      <c r="E1012">
        <v>110.58000199999999</v>
      </c>
      <c r="F1012">
        <v>108.05999799999999</v>
      </c>
      <c r="G1012">
        <v>109.41999800000001</v>
      </c>
      <c r="H1012">
        <v>21660700</v>
      </c>
      <c r="I1012">
        <f t="shared" si="107"/>
        <v>0</v>
      </c>
      <c r="J1012">
        <f t="shared" si="108"/>
        <v>-1.06</v>
      </c>
      <c r="K1012" t="str">
        <f t="shared" si="109"/>
        <v>Negative</v>
      </c>
      <c r="L1012" s="10">
        <f t="shared" si="110"/>
        <v>-9.6874887531983832E-3</v>
      </c>
      <c r="M1012" t="str">
        <f t="shared" si="111"/>
        <v/>
      </c>
    </row>
    <row r="1013" spans="1:13" x14ac:dyDescent="0.2">
      <c r="A1013" s="21" t="s">
        <v>1040</v>
      </c>
      <c r="B1013" s="21" t="str">
        <f t="shared" si="105"/>
        <v>Friday</v>
      </c>
      <c r="C1013" s="9">
        <f t="shared" si="106"/>
        <v>44813</v>
      </c>
      <c r="D1013">
        <v>110.050003</v>
      </c>
      <c r="E1013">
        <v>112</v>
      </c>
      <c r="F1013">
        <v>110</v>
      </c>
      <c r="G1013">
        <v>111.779999</v>
      </c>
      <c r="H1013">
        <v>21732900</v>
      </c>
      <c r="I1013">
        <f t="shared" si="107"/>
        <v>0</v>
      </c>
      <c r="J1013">
        <f t="shared" si="108"/>
        <v>2.36</v>
      </c>
      <c r="K1013" t="str">
        <f t="shared" si="109"/>
        <v>Positive</v>
      </c>
      <c r="L1013" s="10">
        <f t="shared" si="110"/>
        <v>2.1112909474976797E-2</v>
      </c>
      <c r="M1013" t="str">
        <f t="shared" si="111"/>
        <v/>
      </c>
    </row>
    <row r="1014" spans="1:13" x14ac:dyDescent="0.2">
      <c r="A1014" s="21" t="s">
        <v>1041</v>
      </c>
      <c r="B1014" s="21" t="str">
        <f t="shared" si="105"/>
        <v>Monday</v>
      </c>
      <c r="C1014" s="9">
        <f t="shared" si="106"/>
        <v>44816</v>
      </c>
      <c r="D1014">
        <v>111.989998</v>
      </c>
      <c r="E1014">
        <v>112.639999</v>
      </c>
      <c r="F1014">
        <v>110.93</v>
      </c>
      <c r="G1014">
        <v>111.870003</v>
      </c>
      <c r="H1014">
        <v>19732900</v>
      </c>
      <c r="I1014">
        <f t="shared" si="107"/>
        <v>0</v>
      </c>
      <c r="J1014">
        <f t="shared" si="108"/>
        <v>0.09</v>
      </c>
      <c r="K1014" t="str">
        <f t="shared" si="109"/>
        <v>Positive</v>
      </c>
      <c r="L1014" s="10">
        <f t="shared" si="110"/>
        <v>8.0454096349665168E-4</v>
      </c>
      <c r="M1014" t="str">
        <f t="shared" si="111"/>
        <v/>
      </c>
    </row>
    <row r="1015" spans="1:13" x14ac:dyDescent="0.2">
      <c r="A1015" s="21" t="s">
        <v>1042</v>
      </c>
      <c r="B1015" s="21" t="str">
        <f t="shared" si="105"/>
        <v>Tuesday</v>
      </c>
      <c r="C1015" s="9">
        <f t="shared" si="106"/>
        <v>44817</v>
      </c>
      <c r="D1015">
        <v>108.889999</v>
      </c>
      <c r="E1015">
        <v>109.370003</v>
      </c>
      <c r="F1015">
        <v>105</v>
      </c>
      <c r="G1015">
        <v>105.30999799999999</v>
      </c>
      <c r="H1015">
        <v>33015000</v>
      </c>
      <c r="I1015">
        <f t="shared" si="107"/>
        <v>0</v>
      </c>
      <c r="J1015">
        <f t="shared" si="108"/>
        <v>-6.56</v>
      </c>
      <c r="K1015" t="str">
        <f t="shared" si="109"/>
        <v>Negative</v>
      </c>
      <c r="L1015" s="10">
        <f t="shared" si="110"/>
        <v>-6.2292328597328472E-2</v>
      </c>
      <c r="M1015" t="str">
        <f t="shared" si="111"/>
        <v/>
      </c>
    </row>
    <row r="1016" spans="1:13" x14ac:dyDescent="0.2">
      <c r="A1016" s="21" t="s">
        <v>1043</v>
      </c>
      <c r="B1016" s="21" t="str">
        <f t="shared" si="105"/>
        <v>Wednesday</v>
      </c>
      <c r="C1016" s="9">
        <f t="shared" si="106"/>
        <v>44818</v>
      </c>
      <c r="D1016">
        <v>105.44000200000001</v>
      </c>
      <c r="E1016">
        <v>106.099998</v>
      </c>
      <c r="F1016">
        <v>104.5</v>
      </c>
      <c r="G1016">
        <v>105.870003</v>
      </c>
      <c r="H1016">
        <v>22115800</v>
      </c>
      <c r="I1016">
        <f t="shared" si="107"/>
        <v>0</v>
      </c>
      <c r="J1016">
        <f t="shared" si="108"/>
        <v>0.56000000000000005</v>
      </c>
      <c r="K1016" t="str">
        <f t="shared" si="109"/>
        <v>Positive</v>
      </c>
      <c r="L1016" s="10">
        <f t="shared" si="110"/>
        <v>5.2895530757659836E-3</v>
      </c>
      <c r="M1016" t="str">
        <f t="shared" si="111"/>
        <v/>
      </c>
    </row>
    <row r="1017" spans="1:13" x14ac:dyDescent="0.2">
      <c r="A1017" s="21" t="s">
        <v>1044</v>
      </c>
      <c r="B1017" s="21" t="str">
        <f t="shared" si="105"/>
        <v>Thursday</v>
      </c>
      <c r="C1017" s="9">
        <f t="shared" si="106"/>
        <v>44819</v>
      </c>
      <c r="D1017">
        <v>105.010002</v>
      </c>
      <c r="E1017">
        <v>106.209999</v>
      </c>
      <c r="F1017">
        <v>103.30999799999999</v>
      </c>
      <c r="G1017">
        <v>103.900002</v>
      </c>
      <c r="H1017">
        <v>26494900</v>
      </c>
      <c r="I1017">
        <f t="shared" si="107"/>
        <v>0</v>
      </c>
      <c r="J1017">
        <f t="shared" si="108"/>
        <v>-1.97</v>
      </c>
      <c r="K1017" t="str">
        <f t="shared" si="109"/>
        <v>Negative</v>
      </c>
      <c r="L1017" s="10">
        <f t="shared" si="110"/>
        <v>-1.8960548239450432E-2</v>
      </c>
      <c r="M1017" t="str">
        <f t="shared" si="111"/>
        <v/>
      </c>
    </row>
    <row r="1018" spans="1:13" x14ac:dyDescent="0.2">
      <c r="A1018" s="21" t="s">
        <v>1045</v>
      </c>
      <c r="B1018" s="21" t="str">
        <f t="shared" si="105"/>
        <v>Friday</v>
      </c>
      <c r="C1018" s="9">
        <f t="shared" si="106"/>
        <v>44820</v>
      </c>
      <c r="D1018">
        <v>102.970001</v>
      </c>
      <c r="E1018">
        <v>104.029999</v>
      </c>
      <c r="F1018">
        <v>101.855003</v>
      </c>
      <c r="G1018">
        <v>103.629997</v>
      </c>
      <c r="H1018">
        <v>64540100</v>
      </c>
      <c r="I1018">
        <f t="shared" si="107"/>
        <v>0</v>
      </c>
      <c r="J1018">
        <f t="shared" si="108"/>
        <v>-0.27</v>
      </c>
      <c r="K1018" t="str">
        <f t="shared" si="109"/>
        <v>Negative</v>
      </c>
      <c r="L1018" s="10">
        <f t="shared" si="110"/>
        <v>-2.6054714640201871E-3</v>
      </c>
      <c r="M1018" t="str">
        <f t="shared" si="111"/>
        <v/>
      </c>
    </row>
    <row r="1019" spans="1:13" x14ac:dyDescent="0.2">
      <c r="A1019" s="21" t="s">
        <v>1046</v>
      </c>
      <c r="B1019" s="21" t="str">
        <f t="shared" si="105"/>
        <v>Monday</v>
      </c>
      <c r="C1019" s="9">
        <f t="shared" si="106"/>
        <v>44823</v>
      </c>
      <c r="D1019">
        <v>102.540001</v>
      </c>
      <c r="E1019">
        <v>104.019997</v>
      </c>
      <c r="F1019">
        <v>102.370003</v>
      </c>
      <c r="G1019">
        <v>103.849998</v>
      </c>
      <c r="H1019">
        <v>19738600</v>
      </c>
      <c r="I1019">
        <f t="shared" si="107"/>
        <v>0</v>
      </c>
      <c r="J1019">
        <f t="shared" si="108"/>
        <v>0.22</v>
      </c>
      <c r="K1019" t="str">
        <f t="shared" si="109"/>
        <v>Positive</v>
      </c>
      <c r="L1019" s="10">
        <f t="shared" si="110"/>
        <v>2.1184497278468541E-3</v>
      </c>
      <c r="M1019" t="str">
        <f t="shared" si="111"/>
        <v/>
      </c>
    </row>
    <row r="1020" spans="1:13" x14ac:dyDescent="0.2">
      <c r="A1020" s="21" t="s">
        <v>1047</v>
      </c>
      <c r="B1020" s="21" t="str">
        <f t="shared" si="105"/>
        <v>Tuesday</v>
      </c>
      <c r="C1020" s="9">
        <f t="shared" si="106"/>
        <v>44824</v>
      </c>
      <c r="D1020">
        <v>102.879997</v>
      </c>
      <c r="E1020">
        <v>103.16999800000001</v>
      </c>
      <c r="F1020">
        <v>101.120003</v>
      </c>
      <c r="G1020">
        <v>101.83000199999999</v>
      </c>
      <c r="H1020">
        <v>24001700</v>
      </c>
      <c r="I1020">
        <f t="shared" si="107"/>
        <v>0</v>
      </c>
      <c r="J1020">
        <f t="shared" si="108"/>
        <v>-2.02</v>
      </c>
      <c r="K1020" t="str">
        <f t="shared" si="109"/>
        <v>Negative</v>
      </c>
      <c r="L1020" s="10">
        <f t="shared" si="110"/>
        <v>-1.9836943536542466E-2</v>
      </c>
      <c r="M1020" t="str">
        <f t="shared" si="111"/>
        <v/>
      </c>
    </row>
    <row r="1021" spans="1:13" x14ac:dyDescent="0.2">
      <c r="A1021" s="21" t="s">
        <v>1048</v>
      </c>
      <c r="B1021" s="21" t="str">
        <f t="shared" si="105"/>
        <v>Wednesday</v>
      </c>
      <c r="C1021" s="9">
        <f t="shared" si="106"/>
        <v>44825</v>
      </c>
      <c r="D1021">
        <v>102.239998</v>
      </c>
      <c r="E1021">
        <v>103.489998</v>
      </c>
      <c r="F1021">
        <v>99.989998</v>
      </c>
      <c r="G1021">
        <v>100.010002</v>
      </c>
      <c r="H1021">
        <v>26596800</v>
      </c>
      <c r="I1021">
        <f t="shared" si="107"/>
        <v>0</v>
      </c>
      <c r="J1021">
        <f t="shared" si="108"/>
        <v>-1.82</v>
      </c>
      <c r="K1021" t="str">
        <f t="shared" si="109"/>
        <v>Negative</v>
      </c>
      <c r="L1021" s="10">
        <f t="shared" si="110"/>
        <v>-1.8198179818054529E-2</v>
      </c>
      <c r="M1021" t="str">
        <f t="shared" si="111"/>
        <v/>
      </c>
    </row>
    <row r="1022" spans="1:13" x14ac:dyDescent="0.2">
      <c r="A1022" s="21" t="s">
        <v>1049</v>
      </c>
      <c r="B1022" s="21" t="str">
        <f t="shared" si="105"/>
        <v>Thursday</v>
      </c>
      <c r="C1022" s="9">
        <f t="shared" si="106"/>
        <v>44826</v>
      </c>
      <c r="D1022">
        <v>99.449996999999996</v>
      </c>
      <c r="E1022">
        <v>101.68</v>
      </c>
      <c r="F1022">
        <v>99.410004000000001</v>
      </c>
      <c r="G1022">
        <v>100.57</v>
      </c>
      <c r="H1022">
        <v>21272700</v>
      </c>
      <c r="I1022">
        <f t="shared" si="107"/>
        <v>0</v>
      </c>
      <c r="J1022">
        <f t="shared" si="108"/>
        <v>0.56000000000000005</v>
      </c>
      <c r="K1022" t="str">
        <f t="shared" si="109"/>
        <v>Positive</v>
      </c>
      <c r="L1022" s="10">
        <f t="shared" si="110"/>
        <v>5.5682410261508712E-3</v>
      </c>
      <c r="M1022" t="str">
        <f t="shared" si="111"/>
        <v/>
      </c>
    </row>
    <row r="1023" spans="1:13" x14ac:dyDescent="0.2">
      <c r="A1023" s="21" t="s">
        <v>1050</v>
      </c>
      <c r="B1023" s="21" t="str">
        <f t="shared" si="105"/>
        <v>Friday</v>
      </c>
      <c r="C1023" s="9">
        <f t="shared" si="106"/>
        <v>44827</v>
      </c>
      <c r="D1023">
        <v>100.05999799999999</v>
      </c>
      <c r="E1023">
        <v>100.110001</v>
      </c>
      <c r="F1023">
        <v>98.010002</v>
      </c>
      <c r="G1023">
        <v>99.169998000000007</v>
      </c>
      <c r="H1023">
        <v>25657000</v>
      </c>
      <c r="I1023">
        <f t="shared" si="107"/>
        <v>0</v>
      </c>
      <c r="J1023">
        <f t="shared" si="108"/>
        <v>-1.4</v>
      </c>
      <c r="K1023" t="str">
        <f t="shared" si="109"/>
        <v>Negative</v>
      </c>
      <c r="L1023" s="10">
        <f t="shared" si="110"/>
        <v>-1.4117192984111852E-2</v>
      </c>
      <c r="M1023" t="str">
        <f t="shared" si="111"/>
        <v/>
      </c>
    </row>
    <row r="1024" spans="1:13" x14ac:dyDescent="0.2">
      <c r="A1024" s="21" t="s">
        <v>1051</v>
      </c>
      <c r="B1024" s="21" t="str">
        <f t="shared" si="105"/>
        <v>Monday</v>
      </c>
      <c r="C1024" s="9">
        <f t="shared" si="106"/>
        <v>44830</v>
      </c>
      <c r="D1024">
        <v>98.610000999999997</v>
      </c>
      <c r="E1024">
        <v>100.44000200000001</v>
      </c>
      <c r="F1024">
        <v>98.379997000000003</v>
      </c>
      <c r="G1024">
        <v>98.809997999999993</v>
      </c>
      <c r="H1024">
        <v>22437900</v>
      </c>
      <c r="I1024">
        <f t="shared" si="107"/>
        <v>0</v>
      </c>
      <c r="J1024">
        <f t="shared" si="108"/>
        <v>-0.36</v>
      </c>
      <c r="K1024" t="str">
        <f t="shared" si="109"/>
        <v>Negative</v>
      </c>
      <c r="L1024" s="10">
        <f t="shared" si="110"/>
        <v>-3.6433560093788652E-3</v>
      </c>
      <c r="M1024" t="str">
        <f t="shared" si="111"/>
        <v/>
      </c>
    </row>
    <row r="1025" spans="1:13" x14ac:dyDescent="0.2">
      <c r="A1025" s="21" t="s">
        <v>1052</v>
      </c>
      <c r="B1025" s="21" t="str">
        <f t="shared" si="105"/>
        <v>Tuesday</v>
      </c>
      <c r="C1025" s="9">
        <f t="shared" si="106"/>
        <v>44831</v>
      </c>
      <c r="D1025">
        <v>99.910004000000001</v>
      </c>
      <c r="E1025">
        <v>100.459999</v>
      </c>
      <c r="F1025">
        <v>97.339995999999999</v>
      </c>
      <c r="G1025">
        <v>98.089995999999999</v>
      </c>
      <c r="H1025">
        <v>24225000</v>
      </c>
      <c r="I1025">
        <f t="shared" si="107"/>
        <v>0</v>
      </c>
      <c r="J1025">
        <f t="shared" si="108"/>
        <v>-0.72</v>
      </c>
      <c r="K1025" t="str">
        <f t="shared" si="109"/>
        <v>Negative</v>
      </c>
      <c r="L1025" s="10">
        <f t="shared" si="110"/>
        <v>-7.3402184663152988E-3</v>
      </c>
      <c r="M1025" t="str">
        <f t="shared" si="111"/>
        <v/>
      </c>
    </row>
    <row r="1026" spans="1:13" x14ac:dyDescent="0.2">
      <c r="A1026" s="21" t="s">
        <v>1053</v>
      </c>
      <c r="B1026" s="21" t="str">
        <f t="shared" si="105"/>
        <v>Wednesday</v>
      </c>
      <c r="C1026" s="9">
        <f t="shared" si="106"/>
        <v>44832</v>
      </c>
      <c r="D1026">
        <v>98.019997000000004</v>
      </c>
      <c r="E1026">
        <v>101.400002</v>
      </c>
      <c r="F1026">
        <v>97.800003000000004</v>
      </c>
      <c r="G1026">
        <v>100.739998</v>
      </c>
      <c r="H1026">
        <v>24617000</v>
      </c>
      <c r="I1026">
        <f t="shared" si="107"/>
        <v>0</v>
      </c>
      <c r="J1026">
        <f t="shared" si="108"/>
        <v>2.65</v>
      </c>
      <c r="K1026" t="str">
        <f t="shared" si="109"/>
        <v>Positive</v>
      </c>
      <c r="L1026" s="10">
        <f t="shared" si="110"/>
        <v>2.6305360855774493E-2</v>
      </c>
      <c r="M1026" t="str">
        <f t="shared" si="111"/>
        <v/>
      </c>
    </row>
    <row r="1027" spans="1:13" x14ac:dyDescent="0.2">
      <c r="A1027" s="21" t="s">
        <v>1054</v>
      </c>
      <c r="B1027" s="21" t="str">
        <f t="shared" ref="B1027:B1090" si="112">LEFT(A1027,SEARCH(",",A1027)-1)</f>
        <v>Thursday</v>
      </c>
      <c r="C1027" s="9">
        <f t="shared" ref="C1027:C1090" si="113">DATEVALUE(RIGHT(A1027,LEN(A1027) - SEARCH(",",A1027)))</f>
        <v>44833</v>
      </c>
      <c r="D1027">
        <v>99.300003000000004</v>
      </c>
      <c r="E1027">
        <v>99.300003000000004</v>
      </c>
      <c r="F1027">
        <v>96.519997000000004</v>
      </c>
      <c r="G1027">
        <v>98.089995999999999</v>
      </c>
      <c r="H1027">
        <v>21921500</v>
      </c>
      <c r="I1027">
        <f t="shared" ref="I1027:I1090" si="114">COUNTBLANK(A1027:H1027)</f>
        <v>0</v>
      </c>
      <c r="J1027">
        <f t="shared" ref="J1027:J1090" si="115">ROUND(IF(ISNUMBER(G1026),G1027-G1026,0),2)</f>
        <v>-2.65</v>
      </c>
      <c r="K1027" t="str">
        <f t="shared" ref="K1027:K1090" si="116">IF(J1027=0,"Neutral",IF(J1027&gt;0,"Positive","Negative"))</f>
        <v>Negative</v>
      </c>
      <c r="L1027" s="10">
        <f t="shared" ref="L1027:L1090" si="117">IF(ISNUMBER(G1026),((G1027-G1026)/G1027),0)</f>
        <v>-2.701602720016423E-2</v>
      </c>
      <c r="M1027" t="str">
        <f t="shared" ref="M1027:M1090" si="118">IF(L1027&gt;0.05,L1027,"")</f>
        <v/>
      </c>
    </row>
    <row r="1028" spans="1:13" x14ac:dyDescent="0.2">
      <c r="A1028" s="21" t="s">
        <v>1055</v>
      </c>
      <c r="B1028" s="21" t="str">
        <f t="shared" si="112"/>
        <v>Friday</v>
      </c>
      <c r="C1028" s="9">
        <f t="shared" si="113"/>
        <v>44834</v>
      </c>
      <c r="D1028">
        <v>97.730002999999996</v>
      </c>
      <c r="E1028">
        <v>99.494003000000006</v>
      </c>
      <c r="F1028">
        <v>96.029999000000004</v>
      </c>
      <c r="G1028">
        <v>96.150002000000001</v>
      </c>
      <c r="H1028">
        <v>26277800</v>
      </c>
      <c r="I1028">
        <f t="shared" si="114"/>
        <v>0</v>
      </c>
      <c r="J1028">
        <f t="shared" si="115"/>
        <v>-1.94</v>
      </c>
      <c r="K1028" t="str">
        <f t="shared" si="116"/>
        <v>Negative</v>
      </c>
      <c r="L1028" s="10">
        <f t="shared" si="117"/>
        <v>-2.017674425009371E-2</v>
      </c>
      <c r="M1028" t="str">
        <f t="shared" si="118"/>
        <v/>
      </c>
    </row>
    <row r="1029" spans="1:13" x14ac:dyDescent="0.2">
      <c r="A1029" s="21" t="s">
        <v>1056</v>
      </c>
      <c r="B1029" s="21" t="str">
        <f t="shared" si="112"/>
        <v>Monday</v>
      </c>
      <c r="C1029" s="9">
        <f t="shared" si="113"/>
        <v>44837</v>
      </c>
      <c r="D1029">
        <v>97.220000999999996</v>
      </c>
      <c r="E1029">
        <v>99.970000999999996</v>
      </c>
      <c r="F1029">
        <v>97.019997000000004</v>
      </c>
      <c r="G1029">
        <v>99.300003000000004</v>
      </c>
      <c r="H1029">
        <v>24840000</v>
      </c>
      <c r="I1029">
        <f t="shared" si="114"/>
        <v>0</v>
      </c>
      <c r="J1029">
        <f t="shared" si="115"/>
        <v>3.15</v>
      </c>
      <c r="K1029" t="str">
        <f t="shared" si="116"/>
        <v>Positive</v>
      </c>
      <c r="L1029" s="10">
        <f t="shared" si="117"/>
        <v>3.1722063492787639E-2</v>
      </c>
      <c r="M1029" t="str">
        <f t="shared" si="118"/>
        <v/>
      </c>
    </row>
    <row r="1030" spans="1:13" x14ac:dyDescent="0.2">
      <c r="A1030" s="21" t="s">
        <v>1057</v>
      </c>
      <c r="B1030" s="21" t="str">
        <f t="shared" si="112"/>
        <v>Tuesday</v>
      </c>
      <c r="C1030" s="9">
        <f t="shared" si="113"/>
        <v>44838</v>
      </c>
      <c r="D1030">
        <v>101.040001</v>
      </c>
      <c r="E1030">
        <v>102.720001</v>
      </c>
      <c r="F1030">
        <v>101.040001</v>
      </c>
      <c r="G1030">
        <v>102.410004</v>
      </c>
      <c r="H1030">
        <v>22580900</v>
      </c>
      <c r="I1030">
        <f t="shared" si="114"/>
        <v>0</v>
      </c>
      <c r="J1030">
        <f t="shared" si="115"/>
        <v>3.11</v>
      </c>
      <c r="K1030" t="str">
        <f t="shared" si="116"/>
        <v>Positive</v>
      </c>
      <c r="L1030" s="10">
        <f t="shared" si="117"/>
        <v>3.0368136691020897E-2</v>
      </c>
      <c r="M1030" t="str">
        <f t="shared" si="118"/>
        <v/>
      </c>
    </row>
    <row r="1031" spans="1:13" x14ac:dyDescent="0.2">
      <c r="A1031" s="21" t="s">
        <v>1058</v>
      </c>
      <c r="B1031" s="21" t="str">
        <f t="shared" si="112"/>
        <v>Wednesday</v>
      </c>
      <c r="C1031" s="9">
        <f t="shared" si="113"/>
        <v>44839</v>
      </c>
      <c r="D1031">
        <v>100.69000200000001</v>
      </c>
      <c r="E1031">
        <v>102.739998</v>
      </c>
      <c r="F1031">
        <v>99.739998</v>
      </c>
      <c r="G1031">
        <v>102.220001</v>
      </c>
      <c r="H1031">
        <v>18475500</v>
      </c>
      <c r="I1031">
        <f t="shared" si="114"/>
        <v>0</v>
      </c>
      <c r="J1031">
        <f t="shared" si="115"/>
        <v>-0.19</v>
      </c>
      <c r="K1031" t="str">
        <f t="shared" si="116"/>
        <v>Negative</v>
      </c>
      <c r="L1031" s="10">
        <f t="shared" si="117"/>
        <v>-1.8587653897597239E-3</v>
      </c>
      <c r="M1031" t="str">
        <f t="shared" si="118"/>
        <v/>
      </c>
    </row>
    <row r="1032" spans="1:13" x14ac:dyDescent="0.2">
      <c r="A1032" s="21" t="s">
        <v>1059</v>
      </c>
      <c r="B1032" s="21" t="str">
        <f t="shared" si="112"/>
        <v>Thursday</v>
      </c>
      <c r="C1032" s="9">
        <f t="shared" si="113"/>
        <v>44840</v>
      </c>
      <c r="D1032">
        <v>101.5</v>
      </c>
      <c r="E1032">
        <v>103.730003</v>
      </c>
      <c r="F1032">
        <v>101.5</v>
      </c>
      <c r="G1032">
        <v>102.239998</v>
      </c>
      <c r="H1032">
        <v>17156200</v>
      </c>
      <c r="I1032">
        <f t="shared" si="114"/>
        <v>0</v>
      </c>
      <c r="J1032">
        <f t="shared" si="115"/>
        <v>0.02</v>
      </c>
      <c r="K1032" t="str">
        <f t="shared" si="116"/>
        <v>Positive</v>
      </c>
      <c r="L1032" s="10">
        <f t="shared" si="117"/>
        <v>1.9558881446773497E-4</v>
      </c>
      <c r="M1032" t="str">
        <f t="shared" si="118"/>
        <v/>
      </c>
    </row>
    <row r="1033" spans="1:13" x14ac:dyDescent="0.2">
      <c r="A1033" s="21" t="s">
        <v>1060</v>
      </c>
      <c r="B1033" s="21" t="str">
        <f t="shared" si="112"/>
        <v>Friday</v>
      </c>
      <c r="C1033" s="9">
        <f t="shared" si="113"/>
        <v>44841</v>
      </c>
      <c r="D1033">
        <v>100.650002</v>
      </c>
      <c r="E1033">
        <v>101.41999800000001</v>
      </c>
      <c r="F1033">
        <v>99.209998999999996</v>
      </c>
      <c r="G1033">
        <v>99.57</v>
      </c>
      <c r="H1033">
        <v>24249900</v>
      </c>
      <c r="I1033">
        <f t="shared" si="114"/>
        <v>0</v>
      </c>
      <c r="J1033">
        <f t="shared" si="115"/>
        <v>-2.67</v>
      </c>
      <c r="K1033" t="str">
        <f t="shared" si="116"/>
        <v>Negative</v>
      </c>
      <c r="L1033" s="10">
        <f t="shared" si="117"/>
        <v>-2.6815285728633193E-2</v>
      </c>
      <c r="M1033" t="str">
        <f t="shared" si="118"/>
        <v/>
      </c>
    </row>
    <row r="1034" spans="1:13" x14ac:dyDescent="0.2">
      <c r="A1034" s="21" t="s">
        <v>1061</v>
      </c>
      <c r="B1034" s="21" t="str">
        <f t="shared" si="112"/>
        <v>Monday</v>
      </c>
      <c r="C1034" s="9">
        <f t="shared" si="113"/>
        <v>44844</v>
      </c>
      <c r="D1034">
        <v>99.849997999999999</v>
      </c>
      <c r="E1034">
        <v>99.989998</v>
      </c>
      <c r="F1034">
        <v>97.870002999999997</v>
      </c>
      <c r="G1034">
        <v>98.709998999999996</v>
      </c>
      <c r="H1034">
        <v>16529900</v>
      </c>
      <c r="I1034">
        <f t="shared" si="114"/>
        <v>0</v>
      </c>
      <c r="J1034">
        <f t="shared" si="115"/>
        <v>-0.86</v>
      </c>
      <c r="K1034" t="str">
        <f t="shared" si="116"/>
        <v>Negative</v>
      </c>
      <c r="L1034" s="10">
        <f t="shared" si="117"/>
        <v>-8.7124000477398142E-3</v>
      </c>
      <c r="M1034" t="str">
        <f t="shared" si="118"/>
        <v/>
      </c>
    </row>
    <row r="1035" spans="1:13" x14ac:dyDescent="0.2">
      <c r="A1035" s="21" t="s">
        <v>1062</v>
      </c>
      <c r="B1035" s="21" t="str">
        <f t="shared" si="112"/>
        <v>Tuesday</v>
      </c>
      <c r="C1035" s="9">
        <f t="shared" si="113"/>
        <v>44845</v>
      </c>
      <c r="D1035">
        <v>98.25</v>
      </c>
      <c r="E1035">
        <v>100.120003</v>
      </c>
      <c r="F1035">
        <v>97.25</v>
      </c>
      <c r="G1035">
        <v>98.050003000000004</v>
      </c>
      <c r="H1035">
        <v>21617700</v>
      </c>
      <c r="I1035">
        <f t="shared" si="114"/>
        <v>0</v>
      </c>
      <c r="J1035">
        <f t="shared" si="115"/>
        <v>-0.66</v>
      </c>
      <c r="K1035" t="str">
        <f t="shared" si="116"/>
        <v>Negative</v>
      </c>
      <c r="L1035" s="10">
        <f t="shared" si="117"/>
        <v>-6.7312185599830371E-3</v>
      </c>
      <c r="M1035" t="str">
        <f t="shared" si="118"/>
        <v/>
      </c>
    </row>
    <row r="1036" spans="1:13" x14ac:dyDescent="0.2">
      <c r="A1036" s="21" t="s">
        <v>1063</v>
      </c>
      <c r="B1036" s="21" t="str">
        <f t="shared" si="112"/>
        <v>Wednesday</v>
      </c>
      <c r="C1036" s="9">
        <f t="shared" si="113"/>
        <v>44846</v>
      </c>
      <c r="D1036">
        <v>98.269997000000004</v>
      </c>
      <c r="E1036">
        <v>99.648003000000003</v>
      </c>
      <c r="F1036">
        <v>97.669998000000007</v>
      </c>
      <c r="G1036">
        <v>98.300003000000004</v>
      </c>
      <c r="H1036">
        <v>17343400</v>
      </c>
      <c r="I1036">
        <f t="shared" si="114"/>
        <v>0</v>
      </c>
      <c r="J1036">
        <f t="shared" si="115"/>
        <v>0.25</v>
      </c>
      <c r="K1036" t="str">
        <f t="shared" si="116"/>
        <v>Positive</v>
      </c>
      <c r="L1036" s="10">
        <f t="shared" si="117"/>
        <v>2.5432349172970015E-3</v>
      </c>
      <c r="M1036" t="str">
        <f t="shared" si="118"/>
        <v/>
      </c>
    </row>
    <row r="1037" spans="1:13" x14ac:dyDescent="0.2">
      <c r="A1037" s="21" t="s">
        <v>1064</v>
      </c>
      <c r="B1037" s="21" t="str">
        <f t="shared" si="112"/>
        <v>Thursday</v>
      </c>
      <c r="C1037" s="9">
        <f t="shared" si="113"/>
        <v>44847</v>
      </c>
      <c r="D1037">
        <v>95.93</v>
      </c>
      <c r="E1037">
        <v>100.529999</v>
      </c>
      <c r="F1037">
        <v>95.269997000000004</v>
      </c>
      <c r="G1037">
        <v>99.709998999999996</v>
      </c>
      <c r="H1037">
        <v>32812200</v>
      </c>
      <c r="I1037">
        <f t="shared" si="114"/>
        <v>0</v>
      </c>
      <c r="J1037">
        <f t="shared" si="115"/>
        <v>1.41</v>
      </c>
      <c r="K1037" t="str">
        <f t="shared" si="116"/>
        <v>Positive</v>
      </c>
      <c r="L1037" s="10">
        <f t="shared" si="117"/>
        <v>1.4140968951368583E-2</v>
      </c>
      <c r="M1037" t="str">
        <f t="shared" si="118"/>
        <v/>
      </c>
    </row>
    <row r="1038" spans="1:13" x14ac:dyDescent="0.2">
      <c r="A1038" s="21" t="s">
        <v>1065</v>
      </c>
      <c r="B1038" s="21" t="str">
        <f t="shared" si="112"/>
        <v>Friday</v>
      </c>
      <c r="C1038" s="9">
        <f t="shared" si="113"/>
        <v>44848</v>
      </c>
      <c r="D1038">
        <v>100.625</v>
      </c>
      <c r="E1038">
        <v>101.290001</v>
      </c>
      <c r="F1038">
        <v>97.029999000000004</v>
      </c>
      <c r="G1038">
        <v>97.18</v>
      </c>
      <c r="H1038">
        <v>22624800</v>
      </c>
      <c r="I1038">
        <f t="shared" si="114"/>
        <v>0</v>
      </c>
      <c r="J1038">
        <f t="shared" si="115"/>
        <v>-2.5299999999999998</v>
      </c>
      <c r="K1038" t="str">
        <f t="shared" si="116"/>
        <v>Negative</v>
      </c>
      <c r="L1038" s="10">
        <f t="shared" si="117"/>
        <v>-2.6034153117925389E-2</v>
      </c>
      <c r="M1038" t="str">
        <f t="shared" si="118"/>
        <v/>
      </c>
    </row>
    <row r="1039" spans="1:13" x14ac:dyDescent="0.2">
      <c r="A1039" s="21" t="s">
        <v>1066</v>
      </c>
      <c r="B1039" s="21" t="str">
        <f t="shared" si="112"/>
        <v>Monday</v>
      </c>
      <c r="C1039" s="9">
        <f t="shared" si="113"/>
        <v>44851</v>
      </c>
      <c r="D1039">
        <v>99.519997000000004</v>
      </c>
      <c r="E1039">
        <v>101.769997</v>
      </c>
      <c r="F1039">
        <v>99.510002</v>
      </c>
      <c r="G1039">
        <v>100.779999</v>
      </c>
      <c r="H1039">
        <v>23311600</v>
      </c>
      <c r="I1039">
        <f t="shared" si="114"/>
        <v>0</v>
      </c>
      <c r="J1039">
        <f t="shared" si="115"/>
        <v>3.6</v>
      </c>
      <c r="K1039" t="str">
        <f t="shared" si="116"/>
        <v>Positive</v>
      </c>
      <c r="L1039" s="10">
        <f t="shared" si="117"/>
        <v>3.5721363720196075E-2</v>
      </c>
      <c r="M1039" t="str">
        <f t="shared" si="118"/>
        <v/>
      </c>
    </row>
    <row r="1040" spans="1:13" x14ac:dyDescent="0.2">
      <c r="A1040" s="21" t="s">
        <v>1067</v>
      </c>
      <c r="B1040" s="21" t="str">
        <f t="shared" si="112"/>
        <v>Tuesday</v>
      </c>
      <c r="C1040" s="9">
        <f t="shared" si="113"/>
        <v>44852</v>
      </c>
      <c r="D1040">
        <v>103.94000200000001</v>
      </c>
      <c r="E1040">
        <v>104.220001</v>
      </c>
      <c r="F1040">
        <v>100.650002</v>
      </c>
      <c r="G1040">
        <v>101.389999</v>
      </c>
      <c r="H1040">
        <v>21610500</v>
      </c>
      <c r="I1040">
        <f t="shared" si="114"/>
        <v>0</v>
      </c>
      <c r="J1040">
        <f t="shared" si="115"/>
        <v>0.61</v>
      </c>
      <c r="K1040" t="str">
        <f t="shared" si="116"/>
        <v>Positive</v>
      </c>
      <c r="L1040" s="10">
        <f t="shared" si="117"/>
        <v>6.016372482654817E-3</v>
      </c>
      <c r="M1040" t="str">
        <f t="shared" si="118"/>
        <v/>
      </c>
    </row>
    <row r="1041" spans="1:13" x14ac:dyDescent="0.2">
      <c r="A1041" s="21" t="s">
        <v>1068</v>
      </c>
      <c r="B1041" s="21" t="str">
        <f t="shared" si="112"/>
        <v>Wednesday</v>
      </c>
      <c r="C1041" s="9">
        <f t="shared" si="113"/>
        <v>44853</v>
      </c>
      <c r="D1041">
        <v>100.699997</v>
      </c>
      <c r="E1041">
        <v>101.658997</v>
      </c>
      <c r="F1041">
        <v>99.635002</v>
      </c>
      <c r="G1041">
        <v>100.290001</v>
      </c>
      <c r="H1041">
        <v>21573700</v>
      </c>
      <c r="I1041">
        <f t="shared" si="114"/>
        <v>0</v>
      </c>
      <c r="J1041">
        <f t="shared" si="115"/>
        <v>-1.1000000000000001</v>
      </c>
      <c r="K1041" t="str">
        <f t="shared" si="116"/>
        <v>Negative</v>
      </c>
      <c r="L1041" s="10">
        <f t="shared" si="117"/>
        <v>-1.0968172190964475E-2</v>
      </c>
      <c r="M1041" t="str">
        <f t="shared" si="118"/>
        <v/>
      </c>
    </row>
    <row r="1042" spans="1:13" x14ac:dyDescent="0.2">
      <c r="A1042" s="21" t="s">
        <v>1069</v>
      </c>
      <c r="B1042" s="21" t="str">
        <f t="shared" si="112"/>
        <v>Thursday</v>
      </c>
      <c r="C1042" s="9">
        <f t="shared" si="113"/>
        <v>44854</v>
      </c>
      <c r="D1042">
        <v>100.82</v>
      </c>
      <c r="E1042">
        <v>103</v>
      </c>
      <c r="F1042">
        <v>99.970000999999996</v>
      </c>
      <c r="G1042">
        <v>100.529999</v>
      </c>
      <c r="H1042">
        <v>25125100</v>
      </c>
      <c r="I1042">
        <f t="shared" si="114"/>
        <v>0</v>
      </c>
      <c r="J1042">
        <f t="shared" si="115"/>
        <v>0.24</v>
      </c>
      <c r="K1042" t="str">
        <f t="shared" si="116"/>
        <v>Positive</v>
      </c>
      <c r="L1042" s="10">
        <f t="shared" si="117"/>
        <v>2.3873271897675032E-3</v>
      </c>
      <c r="M1042" t="str">
        <f t="shared" si="118"/>
        <v/>
      </c>
    </row>
    <row r="1043" spans="1:13" x14ac:dyDescent="0.2">
      <c r="A1043" s="21" t="s">
        <v>1070</v>
      </c>
      <c r="B1043" s="21" t="str">
        <f t="shared" si="112"/>
        <v>Friday</v>
      </c>
      <c r="C1043" s="9">
        <f t="shared" si="113"/>
        <v>44855</v>
      </c>
      <c r="D1043">
        <v>98.459998999999996</v>
      </c>
      <c r="E1043">
        <v>101.620003</v>
      </c>
      <c r="F1043">
        <v>98.230002999999996</v>
      </c>
      <c r="G1043">
        <v>101.480003</v>
      </c>
      <c r="H1043">
        <v>28988700</v>
      </c>
      <c r="I1043">
        <f t="shared" si="114"/>
        <v>0</v>
      </c>
      <c r="J1043">
        <f t="shared" si="115"/>
        <v>0.95</v>
      </c>
      <c r="K1043" t="str">
        <f t="shared" si="116"/>
        <v>Positive</v>
      </c>
      <c r="L1043" s="10">
        <f t="shared" si="117"/>
        <v>9.3614896720094973E-3</v>
      </c>
      <c r="M1043" t="str">
        <f t="shared" si="118"/>
        <v/>
      </c>
    </row>
    <row r="1044" spans="1:13" x14ac:dyDescent="0.2">
      <c r="A1044" s="21" t="s">
        <v>1071</v>
      </c>
      <c r="B1044" s="21" t="str">
        <f t="shared" si="112"/>
        <v>Monday</v>
      </c>
      <c r="C1044" s="9">
        <f t="shared" si="113"/>
        <v>44858</v>
      </c>
      <c r="D1044">
        <v>102.089996</v>
      </c>
      <c r="E1044">
        <v>103.099998</v>
      </c>
      <c r="F1044">
        <v>100.300003</v>
      </c>
      <c r="G1044">
        <v>102.970001</v>
      </c>
      <c r="H1044">
        <v>24680800</v>
      </c>
      <c r="I1044">
        <f t="shared" si="114"/>
        <v>0</v>
      </c>
      <c r="J1044">
        <f t="shared" si="115"/>
        <v>1.49</v>
      </c>
      <c r="K1044" t="str">
        <f t="shared" si="116"/>
        <v>Positive</v>
      </c>
      <c r="L1044" s="10">
        <f t="shared" si="117"/>
        <v>1.4470214485090662E-2</v>
      </c>
      <c r="M1044" t="str">
        <f t="shared" si="118"/>
        <v/>
      </c>
    </row>
    <row r="1045" spans="1:13" x14ac:dyDescent="0.2">
      <c r="A1045" s="21" t="s">
        <v>1072</v>
      </c>
      <c r="B1045" s="21" t="str">
        <f t="shared" si="112"/>
        <v>Tuesday</v>
      </c>
      <c r="C1045" s="9">
        <f t="shared" si="113"/>
        <v>44859</v>
      </c>
      <c r="D1045">
        <v>103.300003</v>
      </c>
      <c r="E1045">
        <v>105.099998</v>
      </c>
      <c r="F1045">
        <v>103.019997</v>
      </c>
      <c r="G1045">
        <v>104.93</v>
      </c>
      <c r="H1045">
        <v>29910200</v>
      </c>
      <c r="I1045">
        <f t="shared" si="114"/>
        <v>0</v>
      </c>
      <c r="J1045">
        <f t="shared" si="115"/>
        <v>1.96</v>
      </c>
      <c r="K1045" t="str">
        <f t="shared" si="116"/>
        <v>Positive</v>
      </c>
      <c r="L1045" s="10">
        <f t="shared" si="117"/>
        <v>1.8679109882779096E-2</v>
      </c>
      <c r="M1045" t="str">
        <f t="shared" si="118"/>
        <v/>
      </c>
    </row>
    <row r="1046" spans="1:13" x14ac:dyDescent="0.2">
      <c r="A1046" s="21" t="s">
        <v>1073</v>
      </c>
      <c r="B1046" s="21" t="str">
        <f t="shared" si="112"/>
        <v>Wednesday</v>
      </c>
      <c r="C1046" s="9">
        <f t="shared" si="113"/>
        <v>44860</v>
      </c>
      <c r="D1046">
        <v>96.760002</v>
      </c>
      <c r="E1046">
        <v>98.540001000000004</v>
      </c>
      <c r="F1046">
        <v>94.57</v>
      </c>
      <c r="G1046">
        <v>94.82</v>
      </c>
      <c r="H1046">
        <v>71504300</v>
      </c>
      <c r="I1046">
        <f t="shared" si="114"/>
        <v>0</v>
      </c>
      <c r="J1046">
        <f t="shared" si="115"/>
        <v>-10.11</v>
      </c>
      <c r="K1046" t="str">
        <f t="shared" si="116"/>
        <v>Negative</v>
      </c>
      <c r="L1046" s="10">
        <f t="shared" si="117"/>
        <v>-0.10662307530056965</v>
      </c>
      <c r="M1046" t="str">
        <f t="shared" si="118"/>
        <v/>
      </c>
    </row>
    <row r="1047" spans="1:13" x14ac:dyDescent="0.2">
      <c r="A1047" s="21" t="s">
        <v>1074</v>
      </c>
      <c r="B1047" s="21" t="str">
        <f t="shared" si="112"/>
        <v>Thursday</v>
      </c>
      <c r="C1047" s="9">
        <f t="shared" si="113"/>
        <v>44861</v>
      </c>
      <c r="D1047">
        <v>94.309997999999993</v>
      </c>
      <c r="E1047">
        <v>95.169998000000007</v>
      </c>
      <c r="F1047">
        <v>91.900002000000001</v>
      </c>
      <c r="G1047">
        <v>92.599997999999999</v>
      </c>
      <c r="H1047">
        <v>54036500</v>
      </c>
      <c r="I1047">
        <f t="shared" si="114"/>
        <v>0</v>
      </c>
      <c r="J1047">
        <f t="shared" si="115"/>
        <v>-2.2200000000000002</v>
      </c>
      <c r="K1047" t="str">
        <f t="shared" si="116"/>
        <v>Negative</v>
      </c>
      <c r="L1047" s="10">
        <f t="shared" si="117"/>
        <v>-2.3974104189505425E-2</v>
      </c>
      <c r="M1047" t="str">
        <f t="shared" si="118"/>
        <v/>
      </c>
    </row>
    <row r="1048" spans="1:13" x14ac:dyDescent="0.2">
      <c r="A1048" s="21" t="s">
        <v>1075</v>
      </c>
      <c r="B1048" s="21" t="str">
        <f t="shared" si="112"/>
        <v>Friday</v>
      </c>
      <c r="C1048" s="9">
        <f t="shared" si="113"/>
        <v>44862</v>
      </c>
      <c r="D1048">
        <v>92.529999000000004</v>
      </c>
      <c r="E1048">
        <v>96.860000999999997</v>
      </c>
      <c r="F1048">
        <v>92.322997999999998</v>
      </c>
      <c r="G1048">
        <v>96.580001999999993</v>
      </c>
      <c r="H1048">
        <v>35696900</v>
      </c>
      <c r="I1048">
        <f t="shared" si="114"/>
        <v>0</v>
      </c>
      <c r="J1048">
        <f t="shared" si="115"/>
        <v>3.98</v>
      </c>
      <c r="K1048" t="str">
        <f t="shared" si="116"/>
        <v>Positive</v>
      </c>
      <c r="L1048" s="10">
        <f t="shared" si="117"/>
        <v>4.1209400679034926E-2</v>
      </c>
      <c r="M1048" t="str">
        <f t="shared" si="118"/>
        <v/>
      </c>
    </row>
    <row r="1049" spans="1:13" x14ac:dyDescent="0.2">
      <c r="A1049" s="21" t="s">
        <v>1076</v>
      </c>
      <c r="B1049" s="21" t="str">
        <f t="shared" si="112"/>
        <v>Monday</v>
      </c>
      <c r="C1049" s="9">
        <f t="shared" si="113"/>
        <v>44865</v>
      </c>
      <c r="D1049">
        <v>95.779999000000004</v>
      </c>
      <c r="E1049">
        <v>96.349997999999999</v>
      </c>
      <c r="F1049">
        <v>94.379997000000003</v>
      </c>
      <c r="G1049">
        <v>94.660004000000001</v>
      </c>
      <c r="H1049">
        <v>29868700</v>
      </c>
      <c r="I1049">
        <f t="shared" si="114"/>
        <v>0</v>
      </c>
      <c r="J1049">
        <f t="shared" si="115"/>
        <v>-1.92</v>
      </c>
      <c r="K1049" t="str">
        <f t="shared" si="116"/>
        <v>Negative</v>
      </c>
      <c r="L1049" s="10">
        <f t="shared" si="117"/>
        <v>-2.0283096544132753E-2</v>
      </c>
      <c r="M1049" t="str">
        <f t="shared" si="118"/>
        <v/>
      </c>
    </row>
    <row r="1050" spans="1:13" x14ac:dyDescent="0.2">
      <c r="A1050" s="21" t="s">
        <v>1077</v>
      </c>
      <c r="B1050" s="21" t="str">
        <f t="shared" si="112"/>
        <v>Tuesday</v>
      </c>
      <c r="C1050" s="9">
        <f t="shared" si="113"/>
        <v>44866</v>
      </c>
      <c r="D1050">
        <v>95.589995999999999</v>
      </c>
      <c r="E1050">
        <v>96.165001000000004</v>
      </c>
      <c r="F1050">
        <v>90.43</v>
      </c>
      <c r="G1050">
        <v>90.5</v>
      </c>
      <c r="H1050">
        <v>43220600</v>
      </c>
      <c r="I1050">
        <f t="shared" si="114"/>
        <v>0</v>
      </c>
      <c r="J1050">
        <f t="shared" si="115"/>
        <v>-4.16</v>
      </c>
      <c r="K1050" t="str">
        <f t="shared" si="116"/>
        <v>Negative</v>
      </c>
      <c r="L1050" s="10">
        <f t="shared" si="117"/>
        <v>-4.596689502762432E-2</v>
      </c>
      <c r="M1050" t="str">
        <f t="shared" si="118"/>
        <v/>
      </c>
    </row>
    <row r="1051" spans="1:13" x14ac:dyDescent="0.2">
      <c r="A1051" s="21" t="s">
        <v>1078</v>
      </c>
      <c r="B1051" s="21" t="str">
        <f t="shared" si="112"/>
        <v>Wednesday</v>
      </c>
      <c r="C1051" s="9">
        <f t="shared" si="113"/>
        <v>44867</v>
      </c>
      <c r="D1051">
        <v>90.910004000000001</v>
      </c>
      <c r="E1051">
        <v>91.300003000000004</v>
      </c>
      <c r="F1051">
        <v>87.010002</v>
      </c>
      <c r="G1051">
        <v>87.07</v>
      </c>
      <c r="H1051">
        <v>43553600</v>
      </c>
      <c r="I1051">
        <f t="shared" si="114"/>
        <v>0</v>
      </c>
      <c r="J1051">
        <f t="shared" si="115"/>
        <v>-3.43</v>
      </c>
      <c r="K1051" t="str">
        <f t="shared" si="116"/>
        <v>Negative</v>
      </c>
      <c r="L1051" s="10">
        <f t="shared" si="117"/>
        <v>-3.9393591363271016E-2</v>
      </c>
      <c r="M1051" t="str">
        <f t="shared" si="118"/>
        <v/>
      </c>
    </row>
    <row r="1052" spans="1:13" x14ac:dyDescent="0.2">
      <c r="A1052" s="21" t="s">
        <v>1079</v>
      </c>
      <c r="B1052" s="21" t="str">
        <f t="shared" si="112"/>
        <v>Thursday</v>
      </c>
      <c r="C1052" s="9">
        <f t="shared" si="113"/>
        <v>44868</v>
      </c>
      <c r="D1052">
        <v>86.345000999999996</v>
      </c>
      <c r="E1052">
        <v>86.550003000000004</v>
      </c>
      <c r="F1052">
        <v>83.449996999999996</v>
      </c>
      <c r="G1052">
        <v>83.489998</v>
      </c>
      <c r="H1052">
        <v>48510400</v>
      </c>
      <c r="I1052">
        <f t="shared" si="114"/>
        <v>0</v>
      </c>
      <c r="J1052">
        <f t="shared" si="115"/>
        <v>-3.58</v>
      </c>
      <c r="K1052" t="str">
        <f t="shared" si="116"/>
        <v>Negative</v>
      </c>
      <c r="L1052" s="10">
        <f t="shared" si="117"/>
        <v>-4.2879411735043921E-2</v>
      </c>
      <c r="M1052" t="str">
        <f t="shared" si="118"/>
        <v/>
      </c>
    </row>
    <row r="1053" spans="1:13" x14ac:dyDescent="0.2">
      <c r="A1053" s="21" t="s">
        <v>1080</v>
      </c>
      <c r="B1053" s="21" t="str">
        <f t="shared" si="112"/>
        <v>Friday</v>
      </c>
      <c r="C1053" s="9">
        <f t="shared" si="113"/>
        <v>44869</v>
      </c>
      <c r="D1053">
        <v>85.510002</v>
      </c>
      <c r="E1053">
        <v>86.730002999999996</v>
      </c>
      <c r="F1053">
        <v>83.879997000000003</v>
      </c>
      <c r="G1053">
        <v>86.699996999999996</v>
      </c>
      <c r="H1053">
        <v>40173300</v>
      </c>
      <c r="I1053">
        <f t="shared" si="114"/>
        <v>0</v>
      </c>
      <c r="J1053">
        <f t="shared" si="115"/>
        <v>3.21</v>
      </c>
      <c r="K1053" t="str">
        <f t="shared" si="116"/>
        <v>Positive</v>
      </c>
      <c r="L1053" s="10">
        <f t="shared" si="117"/>
        <v>3.7024211200376356E-2</v>
      </c>
      <c r="M1053" t="str">
        <f t="shared" si="118"/>
        <v/>
      </c>
    </row>
    <row r="1054" spans="1:13" x14ac:dyDescent="0.2">
      <c r="A1054" s="21" t="s">
        <v>1081</v>
      </c>
      <c r="B1054" s="21" t="str">
        <f t="shared" si="112"/>
        <v>Monday</v>
      </c>
      <c r="C1054" s="9">
        <f t="shared" si="113"/>
        <v>44872</v>
      </c>
      <c r="D1054">
        <v>87.339995999999999</v>
      </c>
      <c r="E1054">
        <v>88.940002000000007</v>
      </c>
      <c r="F1054">
        <v>86.959998999999996</v>
      </c>
      <c r="G1054">
        <v>88.650002000000001</v>
      </c>
      <c r="H1054">
        <v>26899900</v>
      </c>
      <c r="I1054">
        <f t="shared" si="114"/>
        <v>0</v>
      </c>
      <c r="J1054">
        <f t="shared" si="115"/>
        <v>1.95</v>
      </c>
      <c r="K1054" t="str">
        <f t="shared" si="116"/>
        <v>Positive</v>
      </c>
      <c r="L1054" s="10">
        <f t="shared" si="117"/>
        <v>2.1996671810565829E-2</v>
      </c>
      <c r="M1054" t="str">
        <f t="shared" si="118"/>
        <v/>
      </c>
    </row>
    <row r="1055" spans="1:13" x14ac:dyDescent="0.2">
      <c r="A1055" s="21" t="s">
        <v>1082</v>
      </c>
      <c r="B1055" s="21" t="str">
        <f t="shared" si="112"/>
        <v>Tuesday</v>
      </c>
      <c r="C1055" s="9">
        <f t="shared" si="113"/>
        <v>44873</v>
      </c>
      <c r="D1055">
        <v>89.160004000000001</v>
      </c>
      <c r="E1055">
        <v>90.404999000000004</v>
      </c>
      <c r="F1055">
        <v>87.650002000000001</v>
      </c>
      <c r="G1055">
        <v>88.910004000000001</v>
      </c>
      <c r="H1055">
        <v>30172000</v>
      </c>
      <c r="I1055">
        <f t="shared" si="114"/>
        <v>0</v>
      </c>
      <c r="J1055">
        <f t="shared" si="115"/>
        <v>0.26</v>
      </c>
      <c r="K1055" t="str">
        <f t="shared" si="116"/>
        <v>Positive</v>
      </c>
      <c r="L1055" s="10">
        <f t="shared" si="117"/>
        <v>2.9243278405431191E-3</v>
      </c>
      <c r="M1055" t="str">
        <f t="shared" si="118"/>
        <v/>
      </c>
    </row>
    <row r="1056" spans="1:13" x14ac:dyDescent="0.2">
      <c r="A1056" s="21" t="s">
        <v>1083</v>
      </c>
      <c r="B1056" s="21" t="str">
        <f t="shared" si="112"/>
        <v>Wednesday</v>
      </c>
      <c r="C1056" s="9">
        <f t="shared" si="113"/>
        <v>44874</v>
      </c>
      <c r="D1056">
        <v>88.544998000000007</v>
      </c>
      <c r="E1056">
        <v>89.489998</v>
      </c>
      <c r="F1056">
        <v>87.360000999999997</v>
      </c>
      <c r="G1056">
        <v>87.400002000000001</v>
      </c>
      <c r="H1056">
        <v>26743900</v>
      </c>
      <c r="I1056">
        <f t="shared" si="114"/>
        <v>0</v>
      </c>
      <c r="J1056">
        <f t="shared" si="115"/>
        <v>-1.51</v>
      </c>
      <c r="K1056" t="str">
        <f t="shared" si="116"/>
        <v>Negative</v>
      </c>
      <c r="L1056" s="10">
        <f t="shared" si="117"/>
        <v>-1.7276910359796102E-2</v>
      </c>
      <c r="M1056" t="str">
        <f t="shared" si="118"/>
        <v/>
      </c>
    </row>
    <row r="1057" spans="1:13" x14ac:dyDescent="0.2">
      <c r="A1057" s="21" t="s">
        <v>1084</v>
      </c>
      <c r="B1057" s="21" t="str">
        <f t="shared" si="112"/>
        <v>Thursday</v>
      </c>
      <c r="C1057" s="9">
        <f t="shared" si="113"/>
        <v>44875</v>
      </c>
      <c r="D1057">
        <v>92.339995999999999</v>
      </c>
      <c r="E1057">
        <v>94.550003000000004</v>
      </c>
      <c r="F1057">
        <v>91.650002000000001</v>
      </c>
      <c r="G1057">
        <v>94.169998000000007</v>
      </c>
      <c r="H1057">
        <v>42371200</v>
      </c>
      <c r="I1057">
        <f t="shared" si="114"/>
        <v>0</v>
      </c>
      <c r="J1057">
        <f t="shared" si="115"/>
        <v>6.77</v>
      </c>
      <c r="K1057" t="str">
        <f t="shared" si="116"/>
        <v>Positive</v>
      </c>
      <c r="L1057" s="10">
        <f t="shared" si="117"/>
        <v>7.1891219536821122E-2</v>
      </c>
      <c r="M1057">
        <f t="shared" si="118"/>
        <v>7.1891219536821122E-2</v>
      </c>
    </row>
    <row r="1058" spans="1:13" x14ac:dyDescent="0.2">
      <c r="A1058" s="21" t="s">
        <v>1085</v>
      </c>
      <c r="B1058" s="21" t="str">
        <f t="shared" si="112"/>
        <v>Friday</v>
      </c>
      <c r="C1058" s="9">
        <f t="shared" si="113"/>
        <v>44876</v>
      </c>
      <c r="D1058">
        <v>94.709998999999996</v>
      </c>
      <c r="E1058">
        <v>97.360000999999997</v>
      </c>
      <c r="F1058">
        <v>94.160004000000001</v>
      </c>
      <c r="G1058">
        <v>96.730002999999996</v>
      </c>
      <c r="H1058">
        <v>30569100</v>
      </c>
      <c r="I1058">
        <f t="shared" si="114"/>
        <v>0</v>
      </c>
      <c r="J1058">
        <f t="shared" si="115"/>
        <v>2.56</v>
      </c>
      <c r="K1058" t="str">
        <f t="shared" si="116"/>
        <v>Positive</v>
      </c>
      <c r="L1058" s="10">
        <f t="shared" si="117"/>
        <v>2.6465470077572412E-2</v>
      </c>
      <c r="M1058" t="str">
        <f t="shared" si="118"/>
        <v/>
      </c>
    </row>
    <row r="1059" spans="1:13" x14ac:dyDescent="0.2">
      <c r="A1059" s="21" t="s">
        <v>1086</v>
      </c>
      <c r="B1059" s="21" t="str">
        <f t="shared" si="112"/>
        <v>Monday</v>
      </c>
      <c r="C1059" s="9">
        <f t="shared" si="113"/>
        <v>44879</v>
      </c>
      <c r="D1059">
        <v>95.5</v>
      </c>
      <c r="E1059">
        <v>97.18</v>
      </c>
      <c r="F1059">
        <v>95.112999000000002</v>
      </c>
      <c r="G1059">
        <v>96.029999000000004</v>
      </c>
      <c r="H1059">
        <v>24170100</v>
      </c>
      <c r="I1059">
        <f t="shared" si="114"/>
        <v>0</v>
      </c>
      <c r="J1059">
        <f t="shared" si="115"/>
        <v>-0.7</v>
      </c>
      <c r="K1059" t="str">
        <f t="shared" si="116"/>
        <v>Negative</v>
      </c>
      <c r="L1059" s="10">
        <f t="shared" si="117"/>
        <v>-7.2894304622453734E-3</v>
      </c>
      <c r="M1059" t="str">
        <f t="shared" si="118"/>
        <v/>
      </c>
    </row>
    <row r="1060" spans="1:13" x14ac:dyDescent="0.2">
      <c r="A1060" s="21" t="s">
        <v>1087</v>
      </c>
      <c r="B1060" s="21" t="str">
        <f t="shared" si="112"/>
        <v>Tuesday</v>
      </c>
      <c r="C1060" s="9">
        <f t="shared" si="113"/>
        <v>44880</v>
      </c>
      <c r="D1060">
        <v>98.669998000000007</v>
      </c>
      <c r="E1060">
        <v>100.41999800000001</v>
      </c>
      <c r="F1060">
        <v>97.019997000000004</v>
      </c>
      <c r="G1060">
        <v>98.720000999999996</v>
      </c>
      <c r="H1060">
        <v>31831000</v>
      </c>
      <c r="I1060">
        <f t="shared" si="114"/>
        <v>0</v>
      </c>
      <c r="J1060">
        <f t="shared" si="115"/>
        <v>2.69</v>
      </c>
      <c r="K1060" t="str">
        <f t="shared" si="116"/>
        <v>Positive</v>
      </c>
      <c r="L1060" s="10">
        <f t="shared" si="117"/>
        <v>2.7248804424140887E-2</v>
      </c>
      <c r="M1060" t="str">
        <f t="shared" si="118"/>
        <v/>
      </c>
    </row>
    <row r="1061" spans="1:13" x14ac:dyDescent="0.2">
      <c r="A1061" s="21" t="s">
        <v>1088</v>
      </c>
      <c r="B1061" s="21" t="str">
        <f t="shared" si="112"/>
        <v>Wednesday</v>
      </c>
      <c r="C1061" s="9">
        <f t="shared" si="113"/>
        <v>44881</v>
      </c>
      <c r="D1061">
        <v>98.019997000000004</v>
      </c>
      <c r="E1061">
        <v>99.849997999999999</v>
      </c>
      <c r="F1061">
        <v>97.902000000000001</v>
      </c>
      <c r="G1061">
        <v>98.989998</v>
      </c>
      <c r="H1061">
        <v>24660200</v>
      </c>
      <c r="I1061">
        <f t="shared" si="114"/>
        <v>0</v>
      </c>
      <c r="J1061">
        <f t="shared" si="115"/>
        <v>0.27</v>
      </c>
      <c r="K1061" t="str">
        <f t="shared" si="116"/>
        <v>Positive</v>
      </c>
      <c r="L1061" s="10">
        <f t="shared" si="117"/>
        <v>2.727517986211128E-3</v>
      </c>
      <c r="M1061" t="str">
        <f t="shared" si="118"/>
        <v/>
      </c>
    </row>
    <row r="1062" spans="1:13" x14ac:dyDescent="0.2">
      <c r="A1062" s="21" t="s">
        <v>1089</v>
      </c>
      <c r="B1062" s="21" t="str">
        <f t="shared" si="112"/>
        <v>Thursday</v>
      </c>
      <c r="C1062" s="9">
        <f t="shared" si="113"/>
        <v>44882</v>
      </c>
      <c r="D1062">
        <v>97.18</v>
      </c>
      <c r="E1062">
        <v>99.480002999999996</v>
      </c>
      <c r="F1062">
        <v>97.099997999999999</v>
      </c>
      <c r="G1062">
        <v>98.5</v>
      </c>
      <c r="H1062">
        <v>21818700</v>
      </c>
      <c r="I1062">
        <f t="shared" si="114"/>
        <v>0</v>
      </c>
      <c r="J1062">
        <f t="shared" si="115"/>
        <v>-0.49</v>
      </c>
      <c r="K1062" t="str">
        <f t="shared" si="116"/>
        <v>Negative</v>
      </c>
      <c r="L1062" s="10">
        <f t="shared" si="117"/>
        <v>-4.9745989847715727E-3</v>
      </c>
      <c r="M1062" t="str">
        <f t="shared" si="118"/>
        <v/>
      </c>
    </row>
    <row r="1063" spans="1:13" x14ac:dyDescent="0.2">
      <c r="A1063" s="21" t="s">
        <v>1090</v>
      </c>
      <c r="B1063" s="21" t="str">
        <f t="shared" si="112"/>
        <v>Friday</v>
      </c>
      <c r="C1063" s="9">
        <f t="shared" si="113"/>
        <v>44883</v>
      </c>
      <c r="D1063">
        <v>99.010002</v>
      </c>
      <c r="E1063">
        <v>99.160004000000001</v>
      </c>
      <c r="F1063">
        <v>96.739998</v>
      </c>
      <c r="G1063">
        <v>97.800003000000004</v>
      </c>
      <c r="H1063">
        <v>24969900</v>
      </c>
      <c r="I1063">
        <f t="shared" si="114"/>
        <v>0</v>
      </c>
      <c r="J1063">
        <f t="shared" si="115"/>
        <v>-0.7</v>
      </c>
      <c r="K1063" t="str">
        <f t="shared" si="116"/>
        <v>Negative</v>
      </c>
      <c r="L1063" s="10">
        <f t="shared" si="117"/>
        <v>-7.1574333182791022E-3</v>
      </c>
      <c r="M1063" t="str">
        <f t="shared" si="118"/>
        <v/>
      </c>
    </row>
    <row r="1064" spans="1:13" x14ac:dyDescent="0.2">
      <c r="A1064" s="21" t="s">
        <v>1091</v>
      </c>
      <c r="B1064" s="21" t="str">
        <f t="shared" si="112"/>
        <v>Monday</v>
      </c>
      <c r="C1064" s="9">
        <f t="shared" si="113"/>
        <v>44886</v>
      </c>
      <c r="D1064">
        <v>97.559997999999993</v>
      </c>
      <c r="E1064">
        <v>98.720000999999996</v>
      </c>
      <c r="F1064">
        <v>95.669998000000007</v>
      </c>
      <c r="G1064">
        <v>95.830001999999993</v>
      </c>
      <c r="H1064">
        <v>18696900</v>
      </c>
      <c r="I1064">
        <f t="shared" si="114"/>
        <v>0</v>
      </c>
      <c r="J1064">
        <f t="shared" si="115"/>
        <v>-1.97</v>
      </c>
      <c r="K1064" t="str">
        <f t="shared" si="116"/>
        <v>Negative</v>
      </c>
      <c r="L1064" s="10">
        <f t="shared" si="117"/>
        <v>-2.0557246779562947E-2</v>
      </c>
      <c r="M1064" t="str">
        <f t="shared" si="118"/>
        <v/>
      </c>
    </row>
    <row r="1065" spans="1:13" x14ac:dyDescent="0.2">
      <c r="A1065" s="21" t="s">
        <v>1092</v>
      </c>
      <c r="B1065" s="21" t="str">
        <f t="shared" si="112"/>
        <v>Tuesday</v>
      </c>
      <c r="C1065" s="9">
        <f t="shared" si="113"/>
        <v>44887</v>
      </c>
      <c r="D1065">
        <v>96.160004000000001</v>
      </c>
      <c r="E1065">
        <v>97.547996999999995</v>
      </c>
      <c r="F1065">
        <v>94.410004000000001</v>
      </c>
      <c r="G1065">
        <v>97.330001999999993</v>
      </c>
      <c r="H1065">
        <v>18868900</v>
      </c>
      <c r="I1065">
        <f t="shared" si="114"/>
        <v>0</v>
      </c>
      <c r="J1065">
        <f t="shared" si="115"/>
        <v>1.5</v>
      </c>
      <c r="K1065" t="str">
        <f t="shared" si="116"/>
        <v>Positive</v>
      </c>
      <c r="L1065" s="10">
        <f t="shared" si="117"/>
        <v>1.5411486378064599E-2</v>
      </c>
      <c r="M1065" t="str">
        <f t="shared" si="118"/>
        <v/>
      </c>
    </row>
    <row r="1066" spans="1:13" x14ac:dyDescent="0.2">
      <c r="A1066" s="21" t="s">
        <v>1093</v>
      </c>
      <c r="B1066" s="21" t="str">
        <f t="shared" si="112"/>
        <v>Wednesday</v>
      </c>
      <c r="C1066" s="9">
        <f t="shared" si="113"/>
        <v>44888</v>
      </c>
      <c r="D1066">
        <v>97.339995999999999</v>
      </c>
      <c r="E1066">
        <v>99.069000000000003</v>
      </c>
      <c r="F1066">
        <v>97.339995999999999</v>
      </c>
      <c r="G1066">
        <v>98.82</v>
      </c>
      <c r="H1066">
        <v>17568900</v>
      </c>
      <c r="I1066">
        <f t="shared" si="114"/>
        <v>0</v>
      </c>
      <c r="J1066">
        <f t="shared" si="115"/>
        <v>1.49</v>
      </c>
      <c r="K1066" t="str">
        <f t="shared" si="116"/>
        <v>Positive</v>
      </c>
      <c r="L1066" s="10">
        <f t="shared" si="117"/>
        <v>1.5077899210686096E-2</v>
      </c>
      <c r="M1066" t="str">
        <f t="shared" si="118"/>
        <v/>
      </c>
    </row>
    <row r="1067" spans="1:13" x14ac:dyDescent="0.2">
      <c r="A1067" s="21" t="s">
        <v>1094</v>
      </c>
      <c r="B1067" s="21" t="str">
        <f t="shared" si="112"/>
        <v>Friday</v>
      </c>
      <c r="C1067" s="9">
        <f t="shared" si="113"/>
        <v>44890</v>
      </c>
      <c r="D1067">
        <v>98.464995999999999</v>
      </c>
      <c r="E1067">
        <v>98.940002000000007</v>
      </c>
      <c r="F1067">
        <v>97.529999000000004</v>
      </c>
      <c r="G1067">
        <v>97.599997999999999</v>
      </c>
      <c r="H1067">
        <v>8567800</v>
      </c>
      <c r="I1067">
        <f t="shared" si="114"/>
        <v>0</v>
      </c>
      <c r="J1067">
        <f t="shared" si="115"/>
        <v>-1.22</v>
      </c>
      <c r="K1067" t="str">
        <f t="shared" si="116"/>
        <v>Negative</v>
      </c>
      <c r="L1067" s="10">
        <f t="shared" si="117"/>
        <v>-1.2500020747951181E-2</v>
      </c>
      <c r="M1067" t="str">
        <f t="shared" si="118"/>
        <v/>
      </c>
    </row>
    <row r="1068" spans="1:13" x14ac:dyDescent="0.2">
      <c r="A1068" s="21" t="s">
        <v>1095</v>
      </c>
      <c r="B1068" s="21" t="str">
        <f t="shared" si="112"/>
        <v>Monday</v>
      </c>
      <c r="C1068" s="9">
        <f t="shared" si="113"/>
        <v>44893</v>
      </c>
      <c r="D1068">
        <v>97.199996999999996</v>
      </c>
      <c r="E1068">
        <v>97.830001999999993</v>
      </c>
      <c r="F1068">
        <v>95.889999000000003</v>
      </c>
      <c r="G1068">
        <v>96.25</v>
      </c>
      <c r="H1068">
        <v>19974500</v>
      </c>
      <c r="I1068">
        <f t="shared" si="114"/>
        <v>0</v>
      </c>
      <c r="J1068">
        <f t="shared" si="115"/>
        <v>-1.35</v>
      </c>
      <c r="K1068" t="str">
        <f t="shared" si="116"/>
        <v>Negative</v>
      </c>
      <c r="L1068" s="10">
        <f t="shared" si="117"/>
        <v>-1.402595324675324E-2</v>
      </c>
      <c r="M1068" t="str">
        <f t="shared" si="118"/>
        <v/>
      </c>
    </row>
    <row r="1069" spans="1:13" x14ac:dyDescent="0.2">
      <c r="A1069" s="21" t="s">
        <v>1096</v>
      </c>
      <c r="B1069" s="21" t="str">
        <f t="shared" si="112"/>
        <v>Tuesday</v>
      </c>
      <c r="C1069" s="9">
        <f t="shared" si="113"/>
        <v>44894</v>
      </c>
      <c r="D1069">
        <v>96</v>
      </c>
      <c r="E1069">
        <v>96.389999000000003</v>
      </c>
      <c r="F1069">
        <v>94.389999000000003</v>
      </c>
      <c r="G1069">
        <v>95.440002000000007</v>
      </c>
      <c r="H1069">
        <v>20220000</v>
      </c>
      <c r="I1069">
        <f t="shared" si="114"/>
        <v>0</v>
      </c>
      <c r="J1069">
        <f t="shared" si="115"/>
        <v>-0.81</v>
      </c>
      <c r="K1069" t="str">
        <f t="shared" si="116"/>
        <v>Negative</v>
      </c>
      <c r="L1069" s="10">
        <f t="shared" si="117"/>
        <v>-8.4869864105827763E-3</v>
      </c>
      <c r="M1069" t="str">
        <f t="shared" si="118"/>
        <v/>
      </c>
    </row>
    <row r="1070" spans="1:13" x14ac:dyDescent="0.2">
      <c r="A1070" s="21" t="s">
        <v>1097</v>
      </c>
      <c r="B1070" s="21" t="str">
        <f t="shared" si="112"/>
        <v>Wednesday</v>
      </c>
      <c r="C1070" s="9">
        <f t="shared" si="113"/>
        <v>44895</v>
      </c>
      <c r="D1070">
        <v>95.120002999999997</v>
      </c>
      <c r="E1070">
        <v>101.449997</v>
      </c>
      <c r="F1070">
        <v>94.669998000000007</v>
      </c>
      <c r="G1070">
        <v>101.449997</v>
      </c>
      <c r="H1070">
        <v>39888100</v>
      </c>
      <c r="I1070">
        <f t="shared" si="114"/>
        <v>0</v>
      </c>
      <c r="J1070">
        <f t="shared" si="115"/>
        <v>6.01</v>
      </c>
      <c r="K1070" t="str">
        <f t="shared" si="116"/>
        <v>Positive</v>
      </c>
      <c r="L1070" s="10">
        <f t="shared" si="117"/>
        <v>5.9240957887854738E-2</v>
      </c>
      <c r="M1070">
        <f t="shared" si="118"/>
        <v>5.9240957887854738E-2</v>
      </c>
    </row>
    <row r="1071" spans="1:13" x14ac:dyDescent="0.2">
      <c r="A1071" s="21" t="s">
        <v>1098</v>
      </c>
      <c r="B1071" s="21" t="str">
        <f t="shared" si="112"/>
        <v>Thursday</v>
      </c>
      <c r="C1071" s="9">
        <f t="shared" si="113"/>
        <v>44896</v>
      </c>
      <c r="D1071">
        <v>101.400002</v>
      </c>
      <c r="E1071">
        <v>102.589996</v>
      </c>
      <c r="F1071">
        <v>100.66999800000001</v>
      </c>
      <c r="G1071">
        <v>101.279999</v>
      </c>
      <c r="H1071">
        <v>21771500</v>
      </c>
      <c r="I1071">
        <f t="shared" si="114"/>
        <v>0</v>
      </c>
      <c r="J1071">
        <f t="shared" si="115"/>
        <v>-0.17</v>
      </c>
      <c r="K1071" t="str">
        <f t="shared" si="116"/>
        <v>Negative</v>
      </c>
      <c r="L1071" s="10">
        <f t="shared" si="117"/>
        <v>-1.678495277236254E-3</v>
      </c>
      <c r="M1071" t="str">
        <f t="shared" si="118"/>
        <v/>
      </c>
    </row>
    <row r="1072" spans="1:13" x14ac:dyDescent="0.2">
      <c r="A1072" s="21" t="s">
        <v>1099</v>
      </c>
      <c r="B1072" s="21" t="str">
        <f t="shared" si="112"/>
        <v>Friday</v>
      </c>
      <c r="C1072" s="9">
        <f t="shared" si="113"/>
        <v>44897</v>
      </c>
      <c r="D1072">
        <v>99.370002999999997</v>
      </c>
      <c r="E1072">
        <v>101.150002</v>
      </c>
      <c r="F1072">
        <v>99.169998000000007</v>
      </c>
      <c r="G1072">
        <v>100.83000199999999</v>
      </c>
      <c r="H1072">
        <v>18821500</v>
      </c>
      <c r="I1072">
        <f t="shared" si="114"/>
        <v>0</v>
      </c>
      <c r="J1072">
        <f t="shared" si="115"/>
        <v>-0.45</v>
      </c>
      <c r="K1072" t="str">
        <f t="shared" si="116"/>
        <v>Negative</v>
      </c>
      <c r="L1072" s="10">
        <f t="shared" si="117"/>
        <v>-4.462927611565558E-3</v>
      </c>
      <c r="M1072" t="str">
        <f t="shared" si="118"/>
        <v/>
      </c>
    </row>
    <row r="1073" spans="1:13" x14ac:dyDescent="0.2">
      <c r="A1073" s="21" t="s">
        <v>1100</v>
      </c>
      <c r="B1073" s="21" t="str">
        <f t="shared" si="112"/>
        <v>Monday</v>
      </c>
      <c r="C1073" s="9">
        <f t="shared" si="113"/>
        <v>44900</v>
      </c>
      <c r="D1073">
        <v>99.815002000000007</v>
      </c>
      <c r="E1073">
        <v>101.75</v>
      </c>
      <c r="F1073">
        <v>99.355002999999996</v>
      </c>
      <c r="G1073">
        <v>99.870002999999997</v>
      </c>
      <c r="H1073">
        <v>19955500</v>
      </c>
      <c r="I1073">
        <f t="shared" si="114"/>
        <v>0</v>
      </c>
      <c r="J1073">
        <f t="shared" si="115"/>
        <v>-0.96</v>
      </c>
      <c r="K1073" t="str">
        <f t="shared" si="116"/>
        <v>Negative</v>
      </c>
      <c r="L1073" s="10">
        <f t="shared" si="117"/>
        <v>-9.6124859433517427E-3</v>
      </c>
      <c r="M1073" t="str">
        <f t="shared" si="118"/>
        <v/>
      </c>
    </row>
    <row r="1074" spans="1:13" x14ac:dyDescent="0.2">
      <c r="A1074" s="21" t="s">
        <v>1101</v>
      </c>
      <c r="B1074" s="21" t="str">
        <f t="shared" si="112"/>
        <v>Tuesday</v>
      </c>
      <c r="C1074" s="9">
        <f t="shared" si="113"/>
        <v>44901</v>
      </c>
      <c r="D1074">
        <v>99.669998000000007</v>
      </c>
      <c r="E1074">
        <v>100.209999</v>
      </c>
      <c r="F1074">
        <v>96.760002</v>
      </c>
      <c r="G1074">
        <v>97.309997999999993</v>
      </c>
      <c r="H1074">
        <v>20877600</v>
      </c>
      <c r="I1074">
        <f t="shared" si="114"/>
        <v>0</v>
      </c>
      <c r="J1074">
        <f t="shared" si="115"/>
        <v>-2.56</v>
      </c>
      <c r="K1074" t="str">
        <f t="shared" si="116"/>
        <v>Negative</v>
      </c>
      <c r="L1074" s="10">
        <f t="shared" si="117"/>
        <v>-2.630772842067065E-2</v>
      </c>
      <c r="M1074" t="str">
        <f t="shared" si="118"/>
        <v/>
      </c>
    </row>
    <row r="1075" spans="1:13" x14ac:dyDescent="0.2">
      <c r="A1075" s="21" t="s">
        <v>1102</v>
      </c>
      <c r="B1075" s="21" t="str">
        <f t="shared" si="112"/>
        <v>Wednesday</v>
      </c>
      <c r="C1075" s="9">
        <f t="shared" si="113"/>
        <v>44902</v>
      </c>
      <c r="D1075">
        <v>96.769997000000004</v>
      </c>
      <c r="E1075">
        <v>97.309997999999993</v>
      </c>
      <c r="F1075">
        <v>95.025002000000001</v>
      </c>
      <c r="G1075">
        <v>95.150002000000001</v>
      </c>
      <c r="H1075">
        <v>26647900</v>
      </c>
      <c r="I1075">
        <f t="shared" si="114"/>
        <v>0</v>
      </c>
      <c r="J1075">
        <f t="shared" si="115"/>
        <v>-2.16</v>
      </c>
      <c r="K1075" t="str">
        <f t="shared" si="116"/>
        <v>Negative</v>
      </c>
      <c r="L1075" s="10">
        <f t="shared" si="117"/>
        <v>-2.2700955907494279E-2</v>
      </c>
      <c r="M1075" t="str">
        <f t="shared" si="118"/>
        <v/>
      </c>
    </row>
    <row r="1076" spans="1:13" x14ac:dyDescent="0.2">
      <c r="A1076" s="21" t="s">
        <v>1103</v>
      </c>
      <c r="B1076" s="21" t="str">
        <f t="shared" si="112"/>
        <v>Thursday</v>
      </c>
      <c r="C1076" s="9">
        <f t="shared" si="113"/>
        <v>44903</v>
      </c>
      <c r="D1076">
        <v>95.690002000000007</v>
      </c>
      <c r="E1076">
        <v>95.870002999999997</v>
      </c>
      <c r="F1076">
        <v>93.800003000000004</v>
      </c>
      <c r="G1076">
        <v>93.949996999999996</v>
      </c>
      <c r="H1076">
        <v>25593200</v>
      </c>
      <c r="I1076">
        <f t="shared" si="114"/>
        <v>0</v>
      </c>
      <c r="J1076">
        <f t="shared" si="115"/>
        <v>-1.2</v>
      </c>
      <c r="K1076" t="str">
        <f t="shared" si="116"/>
        <v>Negative</v>
      </c>
      <c r="L1076" s="10">
        <f t="shared" si="117"/>
        <v>-1.2772805091201914E-2</v>
      </c>
      <c r="M1076" t="str">
        <f t="shared" si="118"/>
        <v/>
      </c>
    </row>
    <row r="1077" spans="1:13" x14ac:dyDescent="0.2">
      <c r="A1077" s="21" t="s">
        <v>1104</v>
      </c>
      <c r="B1077" s="21" t="str">
        <f t="shared" si="112"/>
        <v>Friday</v>
      </c>
      <c r="C1077" s="9">
        <f t="shared" si="113"/>
        <v>44904</v>
      </c>
      <c r="D1077">
        <v>93.900002000000001</v>
      </c>
      <c r="E1077">
        <v>94.489998</v>
      </c>
      <c r="F1077">
        <v>93.019997000000004</v>
      </c>
      <c r="G1077">
        <v>93.07</v>
      </c>
      <c r="H1077">
        <v>21885300</v>
      </c>
      <c r="I1077">
        <f t="shared" si="114"/>
        <v>0</v>
      </c>
      <c r="J1077">
        <f t="shared" si="115"/>
        <v>-0.88</v>
      </c>
      <c r="K1077" t="str">
        <f t="shared" si="116"/>
        <v>Negative</v>
      </c>
      <c r="L1077" s="10">
        <f t="shared" si="117"/>
        <v>-9.4552165037069206E-3</v>
      </c>
      <c r="M1077" t="str">
        <f t="shared" si="118"/>
        <v/>
      </c>
    </row>
    <row r="1078" spans="1:13" x14ac:dyDescent="0.2">
      <c r="A1078" s="21" t="s">
        <v>1105</v>
      </c>
      <c r="B1078" s="21" t="str">
        <f t="shared" si="112"/>
        <v>Monday</v>
      </c>
      <c r="C1078" s="9">
        <f t="shared" si="113"/>
        <v>44907</v>
      </c>
      <c r="D1078">
        <v>93.089995999999999</v>
      </c>
      <c r="E1078">
        <v>93.875</v>
      </c>
      <c r="F1078">
        <v>91.900002000000001</v>
      </c>
      <c r="G1078">
        <v>93.559997999999993</v>
      </c>
      <c r="H1078">
        <v>27380900</v>
      </c>
      <c r="I1078">
        <f t="shared" si="114"/>
        <v>0</v>
      </c>
      <c r="J1078">
        <f t="shared" si="115"/>
        <v>0.49</v>
      </c>
      <c r="K1078" t="str">
        <f t="shared" si="116"/>
        <v>Positive</v>
      </c>
      <c r="L1078" s="10">
        <f t="shared" si="117"/>
        <v>5.2372596245673277E-3</v>
      </c>
      <c r="M1078" t="str">
        <f t="shared" si="118"/>
        <v/>
      </c>
    </row>
    <row r="1079" spans="1:13" x14ac:dyDescent="0.2">
      <c r="A1079" s="21" t="s">
        <v>1106</v>
      </c>
      <c r="B1079" s="21" t="str">
        <f t="shared" si="112"/>
        <v>Tuesday</v>
      </c>
      <c r="C1079" s="9">
        <f t="shared" si="113"/>
        <v>44908</v>
      </c>
      <c r="D1079">
        <v>98.07</v>
      </c>
      <c r="E1079">
        <v>99.800003000000004</v>
      </c>
      <c r="F1079">
        <v>95.379997000000003</v>
      </c>
      <c r="G1079">
        <v>95.849997999999999</v>
      </c>
      <c r="H1079">
        <v>34788500</v>
      </c>
      <c r="I1079">
        <f t="shared" si="114"/>
        <v>0</v>
      </c>
      <c r="J1079">
        <f t="shared" si="115"/>
        <v>2.29</v>
      </c>
      <c r="K1079" t="str">
        <f t="shared" si="116"/>
        <v>Positive</v>
      </c>
      <c r="L1079" s="10">
        <f t="shared" si="117"/>
        <v>2.3891497629452287E-2</v>
      </c>
      <c r="M1079" t="str">
        <f t="shared" si="118"/>
        <v/>
      </c>
    </row>
    <row r="1080" spans="1:13" x14ac:dyDescent="0.2">
      <c r="A1080" s="21" t="s">
        <v>1107</v>
      </c>
      <c r="B1080" s="21" t="str">
        <f t="shared" si="112"/>
        <v>Wednesday</v>
      </c>
      <c r="C1080" s="9">
        <f t="shared" si="113"/>
        <v>44909</v>
      </c>
      <c r="D1080">
        <v>95.540001000000004</v>
      </c>
      <c r="E1080">
        <v>97.220000999999996</v>
      </c>
      <c r="F1080">
        <v>93.940002000000007</v>
      </c>
      <c r="G1080">
        <v>95.309997999999993</v>
      </c>
      <c r="H1080">
        <v>26452900</v>
      </c>
      <c r="I1080">
        <f t="shared" si="114"/>
        <v>0</v>
      </c>
      <c r="J1080">
        <f t="shared" si="115"/>
        <v>-0.54</v>
      </c>
      <c r="K1080" t="str">
        <f t="shared" si="116"/>
        <v>Negative</v>
      </c>
      <c r="L1080" s="10">
        <f t="shared" si="117"/>
        <v>-5.6657224984938753E-3</v>
      </c>
      <c r="M1080" t="str">
        <f t="shared" si="118"/>
        <v/>
      </c>
    </row>
    <row r="1081" spans="1:13" x14ac:dyDescent="0.2">
      <c r="A1081" s="21" t="s">
        <v>1108</v>
      </c>
      <c r="B1081" s="21" t="str">
        <f t="shared" si="112"/>
        <v>Thursday</v>
      </c>
      <c r="C1081" s="9">
        <f t="shared" si="113"/>
        <v>44910</v>
      </c>
      <c r="D1081">
        <v>93.540001000000004</v>
      </c>
      <c r="E1081">
        <v>94.029999000000004</v>
      </c>
      <c r="F1081">
        <v>90.43</v>
      </c>
      <c r="G1081">
        <v>91.199996999999996</v>
      </c>
      <c r="H1081">
        <v>28298800</v>
      </c>
      <c r="I1081">
        <f t="shared" si="114"/>
        <v>0</v>
      </c>
      <c r="J1081">
        <f t="shared" si="115"/>
        <v>-4.1100000000000003</v>
      </c>
      <c r="K1081" t="str">
        <f t="shared" si="116"/>
        <v>Negative</v>
      </c>
      <c r="L1081" s="10">
        <f t="shared" si="117"/>
        <v>-4.5065801921024155E-2</v>
      </c>
      <c r="M1081" t="str">
        <f t="shared" si="118"/>
        <v/>
      </c>
    </row>
    <row r="1082" spans="1:13" x14ac:dyDescent="0.2">
      <c r="A1082" s="21" t="s">
        <v>1109</v>
      </c>
      <c r="B1082" s="21" t="str">
        <f t="shared" si="112"/>
        <v>Friday</v>
      </c>
      <c r="C1082" s="9">
        <f t="shared" si="113"/>
        <v>44911</v>
      </c>
      <c r="D1082">
        <v>91.199996999999996</v>
      </c>
      <c r="E1082">
        <v>91.75</v>
      </c>
      <c r="F1082">
        <v>90.010002</v>
      </c>
      <c r="G1082">
        <v>90.860000999999997</v>
      </c>
      <c r="H1082">
        <v>48485500</v>
      </c>
      <c r="I1082">
        <f t="shared" si="114"/>
        <v>0</v>
      </c>
      <c r="J1082">
        <f t="shared" si="115"/>
        <v>-0.34</v>
      </c>
      <c r="K1082" t="str">
        <f t="shared" si="116"/>
        <v>Negative</v>
      </c>
      <c r="L1082" s="10">
        <f t="shared" si="117"/>
        <v>-3.7419766262164066E-3</v>
      </c>
      <c r="M1082" t="str">
        <f t="shared" si="118"/>
        <v/>
      </c>
    </row>
    <row r="1083" spans="1:13" x14ac:dyDescent="0.2">
      <c r="A1083" s="21" t="s">
        <v>1110</v>
      </c>
      <c r="B1083" s="21" t="str">
        <f t="shared" si="112"/>
        <v>Monday</v>
      </c>
      <c r="C1083" s="9">
        <f t="shared" si="113"/>
        <v>44914</v>
      </c>
      <c r="D1083">
        <v>90.879997000000003</v>
      </c>
      <c r="E1083">
        <v>91.199996999999996</v>
      </c>
      <c r="F1083">
        <v>88.925003000000004</v>
      </c>
      <c r="G1083">
        <v>89.150002000000001</v>
      </c>
      <c r="H1083">
        <v>23020500</v>
      </c>
      <c r="I1083">
        <f t="shared" si="114"/>
        <v>0</v>
      </c>
      <c r="J1083">
        <f t="shared" si="115"/>
        <v>-1.71</v>
      </c>
      <c r="K1083" t="str">
        <f t="shared" si="116"/>
        <v>Negative</v>
      </c>
      <c r="L1083" s="10">
        <f t="shared" si="117"/>
        <v>-1.9181143708779685E-2</v>
      </c>
      <c r="M1083" t="str">
        <f t="shared" si="118"/>
        <v/>
      </c>
    </row>
    <row r="1084" spans="1:13" x14ac:dyDescent="0.2">
      <c r="A1084" s="21" t="s">
        <v>1111</v>
      </c>
      <c r="B1084" s="21" t="str">
        <f t="shared" si="112"/>
        <v>Tuesday</v>
      </c>
      <c r="C1084" s="9">
        <f t="shared" si="113"/>
        <v>44915</v>
      </c>
      <c r="D1084">
        <v>88.730002999999996</v>
      </c>
      <c r="E1084">
        <v>89.779999000000004</v>
      </c>
      <c r="F1084">
        <v>88.040001000000004</v>
      </c>
      <c r="G1084">
        <v>89.629997000000003</v>
      </c>
      <c r="H1084">
        <v>21976800</v>
      </c>
      <c r="I1084">
        <f t="shared" si="114"/>
        <v>0</v>
      </c>
      <c r="J1084">
        <f t="shared" si="115"/>
        <v>0.48</v>
      </c>
      <c r="K1084" t="str">
        <f t="shared" si="116"/>
        <v>Positive</v>
      </c>
      <c r="L1084" s="10">
        <f t="shared" si="117"/>
        <v>5.3552941656352208E-3</v>
      </c>
      <c r="M1084" t="str">
        <f t="shared" si="118"/>
        <v/>
      </c>
    </row>
    <row r="1085" spans="1:13" x14ac:dyDescent="0.2">
      <c r="A1085" s="21" t="s">
        <v>1112</v>
      </c>
      <c r="B1085" s="21" t="str">
        <f t="shared" si="112"/>
        <v>Wednesday</v>
      </c>
      <c r="C1085" s="9">
        <f t="shared" si="113"/>
        <v>44916</v>
      </c>
      <c r="D1085">
        <v>89.730002999999996</v>
      </c>
      <c r="E1085">
        <v>90.915001000000004</v>
      </c>
      <c r="F1085">
        <v>88.910004000000001</v>
      </c>
      <c r="G1085">
        <v>90.25</v>
      </c>
      <c r="H1085">
        <v>20336400</v>
      </c>
      <c r="I1085">
        <f t="shared" si="114"/>
        <v>0</v>
      </c>
      <c r="J1085">
        <f t="shared" si="115"/>
        <v>0.62</v>
      </c>
      <c r="K1085" t="str">
        <f t="shared" si="116"/>
        <v>Positive</v>
      </c>
      <c r="L1085" s="10">
        <f t="shared" si="117"/>
        <v>6.8698393351800217E-3</v>
      </c>
      <c r="M1085" t="str">
        <f t="shared" si="118"/>
        <v/>
      </c>
    </row>
    <row r="1086" spans="1:13" x14ac:dyDescent="0.2">
      <c r="A1086" s="21" t="s">
        <v>1113</v>
      </c>
      <c r="B1086" s="21" t="str">
        <f t="shared" si="112"/>
        <v>Thursday</v>
      </c>
      <c r="C1086" s="9">
        <f t="shared" si="113"/>
        <v>44917</v>
      </c>
      <c r="D1086">
        <v>88.93</v>
      </c>
      <c r="E1086">
        <v>89.18</v>
      </c>
      <c r="F1086">
        <v>86.940002000000007</v>
      </c>
      <c r="G1086">
        <v>88.260002</v>
      </c>
      <c r="H1086">
        <v>23656100</v>
      </c>
      <c r="I1086">
        <f t="shared" si="114"/>
        <v>0</v>
      </c>
      <c r="J1086">
        <f t="shared" si="115"/>
        <v>-1.99</v>
      </c>
      <c r="K1086" t="str">
        <f t="shared" si="116"/>
        <v>Negative</v>
      </c>
      <c r="L1086" s="10">
        <f t="shared" si="117"/>
        <v>-2.2546996996442397E-2</v>
      </c>
      <c r="M1086" t="str">
        <f t="shared" si="118"/>
        <v/>
      </c>
    </row>
    <row r="1087" spans="1:13" x14ac:dyDescent="0.2">
      <c r="A1087" s="21" t="s">
        <v>1114</v>
      </c>
      <c r="B1087" s="21" t="str">
        <f t="shared" si="112"/>
        <v>Friday</v>
      </c>
      <c r="C1087" s="9">
        <f t="shared" si="113"/>
        <v>44918</v>
      </c>
      <c r="D1087">
        <v>87.620002999999997</v>
      </c>
      <c r="E1087">
        <v>90.099997999999999</v>
      </c>
      <c r="F1087">
        <v>87.620002999999997</v>
      </c>
      <c r="G1087">
        <v>89.809997999999993</v>
      </c>
      <c r="H1087">
        <v>17815000</v>
      </c>
      <c r="I1087">
        <f t="shared" si="114"/>
        <v>0</v>
      </c>
      <c r="J1087">
        <f t="shared" si="115"/>
        <v>1.55</v>
      </c>
      <c r="K1087" t="str">
        <f t="shared" si="116"/>
        <v>Positive</v>
      </c>
      <c r="L1087" s="10">
        <f t="shared" si="117"/>
        <v>1.7258613010992307E-2</v>
      </c>
      <c r="M1087" t="str">
        <f t="shared" si="118"/>
        <v/>
      </c>
    </row>
    <row r="1088" spans="1:13" x14ac:dyDescent="0.2">
      <c r="A1088" s="21" t="s">
        <v>1115</v>
      </c>
      <c r="B1088" s="21" t="str">
        <f t="shared" si="112"/>
        <v>Tuesday</v>
      </c>
      <c r="C1088" s="9">
        <f t="shared" si="113"/>
        <v>44922</v>
      </c>
      <c r="D1088">
        <v>89.309997999999993</v>
      </c>
      <c r="E1088">
        <v>89.5</v>
      </c>
      <c r="F1088">
        <v>87.535004000000001</v>
      </c>
      <c r="G1088">
        <v>87.93</v>
      </c>
      <c r="H1088">
        <v>15470900</v>
      </c>
      <c r="I1088">
        <f t="shared" si="114"/>
        <v>0</v>
      </c>
      <c r="J1088">
        <f t="shared" si="115"/>
        <v>-1.88</v>
      </c>
      <c r="K1088" t="str">
        <f t="shared" si="116"/>
        <v>Negative</v>
      </c>
      <c r="L1088" s="10">
        <f t="shared" si="117"/>
        <v>-2.1380620948481588E-2</v>
      </c>
      <c r="M1088" t="str">
        <f t="shared" si="118"/>
        <v/>
      </c>
    </row>
    <row r="1089" spans="1:13" x14ac:dyDescent="0.2">
      <c r="A1089" s="21" t="s">
        <v>1116</v>
      </c>
      <c r="B1089" s="21" t="str">
        <f t="shared" si="112"/>
        <v>Wednesday</v>
      </c>
      <c r="C1089" s="9">
        <f t="shared" si="113"/>
        <v>44923</v>
      </c>
      <c r="D1089">
        <v>87.5</v>
      </c>
      <c r="E1089">
        <v>88.519997000000004</v>
      </c>
      <c r="F1089">
        <v>86.370002999999997</v>
      </c>
      <c r="G1089">
        <v>86.459998999999996</v>
      </c>
      <c r="H1089">
        <v>17879600</v>
      </c>
      <c r="I1089">
        <f t="shared" si="114"/>
        <v>0</v>
      </c>
      <c r="J1089">
        <f t="shared" si="115"/>
        <v>-1.47</v>
      </c>
      <c r="K1089" t="str">
        <f t="shared" si="116"/>
        <v>Negative</v>
      </c>
      <c r="L1089" s="10">
        <f t="shared" si="117"/>
        <v>-1.7002093650267225E-2</v>
      </c>
      <c r="M1089" t="str">
        <f t="shared" si="118"/>
        <v/>
      </c>
    </row>
    <row r="1090" spans="1:13" x14ac:dyDescent="0.2">
      <c r="A1090" s="21" t="s">
        <v>1117</v>
      </c>
      <c r="B1090" s="21" t="str">
        <f t="shared" si="112"/>
        <v>Thursday</v>
      </c>
      <c r="C1090" s="9">
        <f t="shared" si="113"/>
        <v>44924</v>
      </c>
      <c r="D1090">
        <v>87.029999000000004</v>
      </c>
      <c r="E1090">
        <v>89.364998</v>
      </c>
      <c r="F1090">
        <v>86.989998</v>
      </c>
      <c r="G1090">
        <v>88.949996999999996</v>
      </c>
      <c r="H1090">
        <v>18280700</v>
      </c>
      <c r="I1090">
        <f t="shared" si="114"/>
        <v>0</v>
      </c>
      <c r="J1090">
        <f t="shared" si="115"/>
        <v>2.4900000000000002</v>
      </c>
      <c r="K1090" t="str">
        <f t="shared" si="116"/>
        <v>Positive</v>
      </c>
      <c r="L1090" s="10">
        <f t="shared" si="117"/>
        <v>2.7993233097017418E-2</v>
      </c>
      <c r="M1090" t="str">
        <f t="shared" si="118"/>
        <v/>
      </c>
    </row>
    <row r="1091" spans="1:13" x14ac:dyDescent="0.2">
      <c r="A1091" s="21" t="s">
        <v>1118</v>
      </c>
      <c r="B1091" s="21" t="str">
        <f t="shared" ref="B1091:B1154" si="119">LEFT(A1091,SEARCH(",",A1091)-1)</f>
        <v>Friday</v>
      </c>
      <c r="C1091" s="9">
        <f t="shared" ref="C1091:C1154" si="120">DATEVALUE(RIGHT(A1091,LEN(A1091) - SEARCH(",",A1091)))</f>
        <v>44925</v>
      </c>
      <c r="D1091">
        <v>87.364998</v>
      </c>
      <c r="E1091">
        <v>88.830001999999993</v>
      </c>
      <c r="F1091">
        <v>87.029999000000004</v>
      </c>
      <c r="G1091">
        <v>88.730002999999996</v>
      </c>
      <c r="H1091">
        <v>19190300</v>
      </c>
      <c r="I1091">
        <f t="shared" ref="I1091:I1154" si="121">COUNTBLANK(A1091:H1091)</f>
        <v>0</v>
      </c>
      <c r="J1091">
        <f t="shared" ref="J1091:J1154" si="122">ROUND(IF(ISNUMBER(G1090),G1091-G1090,0),2)</f>
        <v>-0.22</v>
      </c>
      <c r="K1091" t="str">
        <f t="shared" ref="K1091:K1154" si="123">IF(J1091=0,"Neutral",IF(J1091&gt;0,"Positive","Negative"))</f>
        <v>Negative</v>
      </c>
      <c r="L1091" s="10">
        <f t="shared" ref="L1091:L1154" si="124">IF(ISNUMBER(G1090),((G1091-G1090)/G1091),0)</f>
        <v>-2.4793642799719033E-3</v>
      </c>
      <c r="M1091" t="str">
        <f t="shared" ref="M1091:M1154" si="125">IF(L1091&gt;0.05,L1091,"")</f>
        <v/>
      </c>
    </row>
    <row r="1092" spans="1:13" x14ac:dyDescent="0.2">
      <c r="A1092" s="21" t="s">
        <v>1119</v>
      </c>
      <c r="B1092" s="21" t="str">
        <f t="shared" si="119"/>
        <v>Tuesday</v>
      </c>
      <c r="C1092" s="9">
        <f t="shared" si="120"/>
        <v>44929</v>
      </c>
      <c r="D1092">
        <v>89.830001999999993</v>
      </c>
      <c r="E1092">
        <v>91.550003000000004</v>
      </c>
      <c r="F1092">
        <v>89.019997000000004</v>
      </c>
      <c r="G1092">
        <v>89.699996999999996</v>
      </c>
      <c r="H1092">
        <v>20738500</v>
      </c>
      <c r="I1092">
        <f t="shared" si="121"/>
        <v>0</v>
      </c>
      <c r="J1092">
        <f t="shared" si="122"/>
        <v>0.97</v>
      </c>
      <c r="K1092" t="str">
        <f t="shared" si="123"/>
        <v>Positive</v>
      </c>
      <c r="L1092" s="10">
        <f t="shared" si="124"/>
        <v>1.0813757329334135E-2</v>
      </c>
      <c r="M1092" t="str">
        <f t="shared" si="125"/>
        <v/>
      </c>
    </row>
    <row r="1093" spans="1:13" x14ac:dyDescent="0.2">
      <c r="A1093" s="21" t="s">
        <v>1120</v>
      </c>
      <c r="B1093" s="21" t="str">
        <f t="shared" si="119"/>
        <v>Wednesday</v>
      </c>
      <c r="C1093" s="9">
        <f t="shared" si="120"/>
        <v>44930</v>
      </c>
      <c r="D1093">
        <v>91.010002</v>
      </c>
      <c r="E1093">
        <v>91.239998</v>
      </c>
      <c r="F1093">
        <v>87.800003000000004</v>
      </c>
      <c r="G1093">
        <v>88.709998999999996</v>
      </c>
      <c r="H1093">
        <v>27046500</v>
      </c>
      <c r="I1093">
        <f t="shared" si="121"/>
        <v>0</v>
      </c>
      <c r="J1093">
        <f t="shared" si="122"/>
        <v>-0.99</v>
      </c>
      <c r="K1093" t="str">
        <f t="shared" si="123"/>
        <v>Negative</v>
      </c>
      <c r="L1093" s="10">
        <f t="shared" si="124"/>
        <v>-1.1159936998759295E-2</v>
      </c>
      <c r="M1093" t="str">
        <f t="shared" si="125"/>
        <v/>
      </c>
    </row>
    <row r="1094" spans="1:13" x14ac:dyDescent="0.2">
      <c r="A1094" s="21" t="s">
        <v>1121</v>
      </c>
      <c r="B1094" s="21" t="str">
        <f t="shared" si="119"/>
        <v>Thursday</v>
      </c>
      <c r="C1094" s="9">
        <f t="shared" si="120"/>
        <v>44931</v>
      </c>
      <c r="D1094">
        <v>88.07</v>
      </c>
      <c r="E1094">
        <v>88.209998999999996</v>
      </c>
      <c r="F1094">
        <v>86.559997999999993</v>
      </c>
      <c r="G1094">
        <v>86.769997000000004</v>
      </c>
      <c r="H1094">
        <v>23136100</v>
      </c>
      <c r="I1094">
        <f t="shared" si="121"/>
        <v>0</v>
      </c>
      <c r="J1094">
        <f t="shared" si="122"/>
        <v>-1.94</v>
      </c>
      <c r="K1094" t="str">
        <f t="shared" si="123"/>
        <v>Negative</v>
      </c>
      <c r="L1094" s="10">
        <f t="shared" si="124"/>
        <v>-2.2357981641972311E-2</v>
      </c>
      <c r="M1094" t="str">
        <f t="shared" si="125"/>
        <v/>
      </c>
    </row>
    <row r="1095" spans="1:13" x14ac:dyDescent="0.2">
      <c r="A1095" s="21" t="s">
        <v>1122</v>
      </c>
      <c r="B1095" s="21" t="str">
        <f t="shared" si="119"/>
        <v>Friday</v>
      </c>
      <c r="C1095" s="9">
        <f t="shared" si="120"/>
        <v>44932</v>
      </c>
      <c r="D1095">
        <v>87.360000999999997</v>
      </c>
      <c r="E1095">
        <v>88.470000999999996</v>
      </c>
      <c r="F1095">
        <v>85.57</v>
      </c>
      <c r="G1095">
        <v>88.160004000000001</v>
      </c>
      <c r="H1095">
        <v>26612600</v>
      </c>
      <c r="I1095">
        <f t="shared" si="121"/>
        <v>0</v>
      </c>
      <c r="J1095">
        <f t="shared" si="122"/>
        <v>1.39</v>
      </c>
      <c r="K1095" t="str">
        <f t="shared" si="123"/>
        <v>Positive</v>
      </c>
      <c r="L1095" s="10">
        <f t="shared" si="124"/>
        <v>1.5766866344516014E-2</v>
      </c>
      <c r="M1095" t="str">
        <f t="shared" si="125"/>
        <v/>
      </c>
    </row>
    <row r="1096" spans="1:13" x14ac:dyDescent="0.2">
      <c r="A1096" s="21" t="s">
        <v>1123</v>
      </c>
      <c r="B1096" s="21" t="str">
        <f t="shared" si="119"/>
        <v>Monday</v>
      </c>
      <c r="C1096" s="9">
        <f t="shared" si="120"/>
        <v>44935</v>
      </c>
      <c r="D1096">
        <v>89.194999999999993</v>
      </c>
      <c r="E1096">
        <v>90.830001999999993</v>
      </c>
      <c r="F1096">
        <v>88.580001999999993</v>
      </c>
      <c r="G1096">
        <v>88.800003000000004</v>
      </c>
      <c r="H1096">
        <v>22996700</v>
      </c>
      <c r="I1096">
        <f t="shared" si="121"/>
        <v>0</v>
      </c>
      <c r="J1096">
        <f t="shared" si="122"/>
        <v>0.64</v>
      </c>
      <c r="K1096" t="str">
        <f t="shared" si="123"/>
        <v>Positive</v>
      </c>
      <c r="L1096" s="10">
        <f t="shared" si="124"/>
        <v>7.2071957024596395E-3</v>
      </c>
      <c r="M1096" t="str">
        <f t="shared" si="125"/>
        <v/>
      </c>
    </row>
    <row r="1097" spans="1:13" x14ac:dyDescent="0.2">
      <c r="A1097" s="21" t="s">
        <v>1124</v>
      </c>
      <c r="B1097" s="21" t="str">
        <f t="shared" si="119"/>
        <v>Tuesday</v>
      </c>
      <c r="C1097" s="9">
        <f t="shared" si="120"/>
        <v>44936</v>
      </c>
      <c r="D1097">
        <v>86.720000999999996</v>
      </c>
      <c r="E1097">
        <v>89.474997999999999</v>
      </c>
      <c r="F1097">
        <v>86.699996999999996</v>
      </c>
      <c r="G1097">
        <v>89.239998</v>
      </c>
      <c r="H1097">
        <v>22855600</v>
      </c>
      <c r="I1097">
        <f t="shared" si="121"/>
        <v>0</v>
      </c>
      <c r="J1097">
        <f t="shared" si="122"/>
        <v>0.44</v>
      </c>
      <c r="K1097" t="str">
        <f t="shared" si="123"/>
        <v>Positive</v>
      </c>
      <c r="L1097" s="10">
        <f t="shared" si="124"/>
        <v>4.9304685103197347E-3</v>
      </c>
      <c r="M1097" t="str">
        <f t="shared" si="125"/>
        <v/>
      </c>
    </row>
    <row r="1098" spans="1:13" x14ac:dyDescent="0.2">
      <c r="A1098" s="21" t="s">
        <v>1125</v>
      </c>
      <c r="B1098" s="21" t="str">
        <f t="shared" si="119"/>
        <v>Wednesday</v>
      </c>
      <c r="C1098" s="9">
        <f t="shared" si="120"/>
        <v>44937</v>
      </c>
      <c r="D1098">
        <v>90.059997999999993</v>
      </c>
      <c r="E1098">
        <v>92.449996999999996</v>
      </c>
      <c r="F1098">
        <v>89.739998</v>
      </c>
      <c r="G1098">
        <v>92.260002</v>
      </c>
      <c r="H1098">
        <v>25998800</v>
      </c>
      <c r="I1098">
        <f t="shared" si="121"/>
        <v>0</v>
      </c>
      <c r="J1098">
        <f t="shared" si="122"/>
        <v>3.02</v>
      </c>
      <c r="K1098" t="str">
        <f t="shared" si="123"/>
        <v>Positive</v>
      </c>
      <c r="L1098" s="10">
        <f t="shared" si="124"/>
        <v>3.2733621661963544E-2</v>
      </c>
      <c r="M1098" t="str">
        <f t="shared" si="125"/>
        <v/>
      </c>
    </row>
    <row r="1099" spans="1:13" x14ac:dyDescent="0.2">
      <c r="A1099" s="21" t="s">
        <v>1126</v>
      </c>
      <c r="B1099" s="21" t="str">
        <f t="shared" si="119"/>
        <v>Thursday</v>
      </c>
      <c r="C1099" s="9">
        <f t="shared" si="120"/>
        <v>44938</v>
      </c>
      <c r="D1099">
        <v>92.400002000000001</v>
      </c>
      <c r="E1099">
        <v>92.620002999999997</v>
      </c>
      <c r="F1099">
        <v>90.57</v>
      </c>
      <c r="G1099">
        <v>91.910004000000001</v>
      </c>
      <c r="H1099">
        <v>22754200</v>
      </c>
      <c r="I1099">
        <f t="shared" si="121"/>
        <v>0</v>
      </c>
      <c r="J1099">
        <f t="shared" si="122"/>
        <v>-0.35</v>
      </c>
      <c r="K1099" t="str">
        <f t="shared" si="123"/>
        <v>Negative</v>
      </c>
      <c r="L1099" s="10">
        <f t="shared" si="124"/>
        <v>-3.8080511888564312E-3</v>
      </c>
      <c r="M1099" t="str">
        <f t="shared" si="125"/>
        <v/>
      </c>
    </row>
    <row r="1100" spans="1:13" x14ac:dyDescent="0.2">
      <c r="A1100" s="21" t="s">
        <v>1127</v>
      </c>
      <c r="B1100" s="21" t="str">
        <f t="shared" si="119"/>
        <v>Friday</v>
      </c>
      <c r="C1100" s="9">
        <f t="shared" si="120"/>
        <v>44939</v>
      </c>
      <c r="D1100">
        <v>91.528000000000006</v>
      </c>
      <c r="E1100">
        <v>92.980002999999996</v>
      </c>
      <c r="F1100">
        <v>90.93</v>
      </c>
      <c r="G1100">
        <v>92.800003000000004</v>
      </c>
      <c r="H1100">
        <v>18630700</v>
      </c>
      <c r="I1100">
        <f t="shared" si="121"/>
        <v>0</v>
      </c>
      <c r="J1100">
        <f t="shared" si="122"/>
        <v>0.89</v>
      </c>
      <c r="K1100" t="str">
        <f t="shared" si="123"/>
        <v>Positive</v>
      </c>
      <c r="L1100" s="10">
        <f t="shared" si="124"/>
        <v>9.5905061554793607E-3</v>
      </c>
      <c r="M1100" t="str">
        <f t="shared" si="125"/>
        <v/>
      </c>
    </row>
    <row r="1101" spans="1:13" x14ac:dyDescent="0.2">
      <c r="A1101" s="21" t="s">
        <v>1128</v>
      </c>
      <c r="B1101" s="21" t="str">
        <f t="shared" si="119"/>
        <v>Tuesday</v>
      </c>
      <c r="C1101" s="9">
        <f t="shared" si="120"/>
        <v>44943</v>
      </c>
      <c r="D1101">
        <v>92.779999000000004</v>
      </c>
      <c r="E1101">
        <v>92.970000999999996</v>
      </c>
      <c r="F1101">
        <v>90.839995999999999</v>
      </c>
      <c r="G1101">
        <v>92.160004000000001</v>
      </c>
      <c r="H1101">
        <v>22935800</v>
      </c>
      <c r="I1101">
        <f t="shared" si="121"/>
        <v>0</v>
      </c>
      <c r="J1101">
        <f t="shared" si="122"/>
        <v>-0.64</v>
      </c>
      <c r="K1101" t="str">
        <f t="shared" si="123"/>
        <v>Negative</v>
      </c>
      <c r="L1101" s="10">
        <f t="shared" si="124"/>
        <v>-6.9444332923423386E-3</v>
      </c>
      <c r="M1101" t="str">
        <f t="shared" si="125"/>
        <v/>
      </c>
    </row>
    <row r="1102" spans="1:13" x14ac:dyDescent="0.2">
      <c r="A1102" s="21" t="s">
        <v>1129</v>
      </c>
      <c r="B1102" s="21" t="str">
        <f t="shared" si="119"/>
        <v>Wednesday</v>
      </c>
      <c r="C1102" s="9">
        <f t="shared" si="120"/>
        <v>44944</v>
      </c>
      <c r="D1102">
        <v>92.940002000000007</v>
      </c>
      <c r="E1102">
        <v>93.587997000000001</v>
      </c>
      <c r="F1102">
        <v>91.400002000000001</v>
      </c>
      <c r="G1102">
        <v>91.779999000000004</v>
      </c>
      <c r="H1102">
        <v>19641600</v>
      </c>
      <c r="I1102">
        <f t="shared" si="121"/>
        <v>0</v>
      </c>
      <c r="J1102">
        <f t="shared" si="122"/>
        <v>-0.38</v>
      </c>
      <c r="K1102" t="str">
        <f t="shared" si="123"/>
        <v>Negative</v>
      </c>
      <c r="L1102" s="10">
        <f t="shared" si="124"/>
        <v>-4.1403901083066803E-3</v>
      </c>
      <c r="M1102" t="str">
        <f t="shared" si="125"/>
        <v/>
      </c>
    </row>
    <row r="1103" spans="1:13" x14ac:dyDescent="0.2">
      <c r="A1103" s="21" t="s">
        <v>1130</v>
      </c>
      <c r="B1103" s="21" t="str">
        <f t="shared" si="119"/>
        <v>Thursday</v>
      </c>
      <c r="C1103" s="9">
        <f t="shared" si="120"/>
        <v>44945</v>
      </c>
      <c r="D1103">
        <v>91.389999000000003</v>
      </c>
      <c r="E1103">
        <v>94.400002000000001</v>
      </c>
      <c r="F1103">
        <v>91.379997000000003</v>
      </c>
      <c r="G1103">
        <v>93.910004000000001</v>
      </c>
      <c r="H1103">
        <v>28707700</v>
      </c>
      <c r="I1103">
        <f t="shared" si="121"/>
        <v>0</v>
      </c>
      <c r="J1103">
        <f t="shared" si="122"/>
        <v>2.13</v>
      </c>
      <c r="K1103" t="str">
        <f t="shared" si="123"/>
        <v>Positive</v>
      </c>
      <c r="L1103" s="10">
        <f t="shared" si="124"/>
        <v>2.2681342873758125E-2</v>
      </c>
      <c r="M1103" t="str">
        <f t="shared" si="125"/>
        <v/>
      </c>
    </row>
    <row r="1104" spans="1:13" x14ac:dyDescent="0.2">
      <c r="A1104" s="21" t="s">
        <v>1131</v>
      </c>
      <c r="B1104" s="21" t="str">
        <f t="shared" si="119"/>
        <v>Friday</v>
      </c>
      <c r="C1104" s="9">
        <f t="shared" si="120"/>
        <v>44946</v>
      </c>
      <c r="D1104">
        <v>95.949996999999996</v>
      </c>
      <c r="E1104">
        <v>99.419998000000007</v>
      </c>
      <c r="F1104">
        <v>95.910004000000001</v>
      </c>
      <c r="G1104">
        <v>99.279999000000004</v>
      </c>
      <c r="H1104">
        <v>53704800</v>
      </c>
      <c r="I1104">
        <f t="shared" si="121"/>
        <v>0</v>
      </c>
      <c r="J1104">
        <f t="shared" si="122"/>
        <v>5.37</v>
      </c>
      <c r="K1104" t="str">
        <f t="shared" si="123"/>
        <v>Positive</v>
      </c>
      <c r="L1104" s="10">
        <f t="shared" si="124"/>
        <v>5.4089394178982647E-2</v>
      </c>
      <c r="M1104">
        <f t="shared" si="125"/>
        <v>5.4089394178982647E-2</v>
      </c>
    </row>
    <row r="1105" spans="1:13" x14ac:dyDescent="0.2">
      <c r="A1105" s="21" t="s">
        <v>1132</v>
      </c>
      <c r="B1105" s="21" t="str">
        <f t="shared" si="119"/>
        <v>Monday</v>
      </c>
      <c r="C1105" s="9">
        <f t="shared" si="120"/>
        <v>44949</v>
      </c>
      <c r="D1105">
        <v>99.129997000000003</v>
      </c>
      <c r="E1105">
        <v>101.400002</v>
      </c>
      <c r="F1105">
        <v>98.75</v>
      </c>
      <c r="G1105">
        <v>101.209999</v>
      </c>
      <c r="H1105">
        <v>31791800</v>
      </c>
      <c r="I1105">
        <f t="shared" si="121"/>
        <v>0</v>
      </c>
      <c r="J1105">
        <f t="shared" si="122"/>
        <v>1.93</v>
      </c>
      <c r="K1105" t="str">
        <f t="shared" si="123"/>
        <v>Positive</v>
      </c>
      <c r="L1105" s="10">
        <f t="shared" si="124"/>
        <v>1.9069262119052018E-2</v>
      </c>
      <c r="M1105" t="str">
        <f t="shared" si="125"/>
        <v/>
      </c>
    </row>
    <row r="1106" spans="1:13" x14ac:dyDescent="0.2">
      <c r="A1106" s="21" t="s">
        <v>1133</v>
      </c>
      <c r="B1106" s="21" t="str">
        <f t="shared" si="119"/>
        <v>Tuesday</v>
      </c>
      <c r="C1106" s="9">
        <f t="shared" si="120"/>
        <v>44950</v>
      </c>
      <c r="D1106">
        <v>99.550003000000004</v>
      </c>
      <c r="E1106">
        <v>101.089996</v>
      </c>
      <c r="F1106">
        <v>98.699996999999996</v>
      </c>
      <c r="G1106">
        <v>99.209998999999996</v>
      </c>
      <c r="H1106">
        <v>27391400</v>
      </c>
      <c r="I1106">
        <f t="shared" si="121"/>
        <v>0</v>
      </c>
      <c r="J1106">
        <f t="shared" si="122"/>
        <v>-2</v>
      </c>
      <c r="K1106" t="str">
        <f t="shared" si="123"/>
        <v>Negative</v>
      </c>
      <c r="L1106" s="10">
        <f t="shared" si="124"/>
        <v>-2.0159258342498321E-2</v>
      </c>
      <c r="M1106" t="str">
        <f t="shared" si="125"/>
        <v/>
      </c>
    </row>
    <row r="1107" spans="1:13" x14ac:dyDescent="0.2">
      <c r="A1107" s="21" t="s">
        <v>1134</v>
      </c>
      <c r="B1107" s="21" t="str">
        <f t="shared" si="119"/>
        <v>Wednesday</v>
      </c>
      <c r="C1107" s="9">
        <f t="shared" si="120"/>
        <v>44951</v>
      </c>
      <c r="D1107">
        <v>97.199996999999996</v>
      </c>
      <c r="E1107">
        <v>97.720000999999996</v>
      </c>
      <c r="F1107">
        <v>95.262000999999998</v>
      </c>
      <c r="G1107">
        <v>96.730002999999996</v>
      </c>
      <c r="H1107">
        <v>31000900</v>
      </c>
      <c r="I1107">
        <f t="shared" si="121"/>
        <v>0</v>
      </c>
      <c r="J1107">
        <f t="shared" si="122"/>
        <v>-2.48</v>
      </c>
      <c r="K1107" t="str">
        <f t="shared" si="123"/>
        <v>Negative</v>
      </c>
      <c r="L1107" s="10">
        <f t="shared" si="124"/>
        <v>-2.5638332710482804E-2</v>
      </c>
      <c r="M1107" t="str">
        <f t="shared" si="125"/>
        <v/>
      </c>
    </row>
    <row r="1108" spans="1:13" x14ac:dyDescent="0.2">
      <c r="A1108" s="21" t="s">
        <v>1135</v>
      </c>
      <c r="B1108" s="21" t="str">
        <f t="shared" si="119"/>
        <v>Thursday</v>
      </c>
      <c r="C1108" s="9">
        <f t="shared" si="120"/>
        <v>44952</v>
      </c>
      <c r="D1108">
        <v>98.279999000000004</v>
      </c>
      <c r="E1108">
        <v>99.209998999999996</v>
      </c>
      <c r="F1108">
        <v>96.82</v>
      </c>
      <c r="G1108">
        <v>99.160004000000001</v>
      </c>
      <c r="H1108">
        <v>24542100</v>
      </c>
      <c r="I1108">
        <f t="shared" si="121"/>
        <v>0</v>
      </c>
      <c r="J1108">
        <f t="shared" si="122"/>
        <v>2.4300000000000002</v>
      </c>
      <c r="K1108" t="str">
        <f t="shared" si="123"/>
        <v>Positive</v>
      </c>
      <c r="L1108" s="10">
        <f t="shared" si="124"/>
        <v>2.4505858228888375E-2</v>
      </c>
      <c r="M1108" t="str">
        <f t="shared" si="125"/>
        <v/>
      </c>
    </row>
    <row r="1109" spans="1:13" x14ac:dyDescent="0.2">
      <c r="A1109" s="21" t="s">
        <v>1136</v>
      </c>
      <c r="B1109" s="21" t="str">
        <f t="shared" si="119"/>
        <v>Friday</v>
      </c>
      <c r="C1109" s="9">
        <f t="shared" si="120"/>
        <v>44953</v>
      </c>
      <c r="D1109">
        <v>99.050003000000004</v>
      </c>
      <c r="E1109">
        <v>101.58000199999999</v>
      </c>
      <c r="F1109">
        <v>98.970000999999996</v>
      </c>
      <c r="G1109">
        <v>100.709999</v>
      </c>
      <c r="H1109">
        <v>29020400</v>
      </c>
      <c r="I1109">
        <f t="shared" si="121"/>
        <v>0</v>
      </c>
      <c r="J1109">
        <f t="shared" si="122"/>
        <v>1.55</v>
      </c>
      <c r="K1109" t="str">
        <f t="shared" si="123"/>
        <v>Positive</v>
      </c>
      <c r="L1109" s="10">
        <f t="shared" si="124"/>
        <v>1.5390676351808876E-2</v>
      </c>
      <c r="M1109" t="str">
        <f t="shared" si="125"/>
        <v/>
      </c>
    </row>
    <row r="1110" spans="1:13" x14ac:dyDescent="0.2">
      <c r="A1110" s="21" t="s">
        <v>1137</v>
      </c>
      <c r="B1110" s="21" t="str">
        <f t="shared" si="119"/>
        <v>Monday</v>
      </c>
      <c r="C1110" s="9">
        <f t="shared" si="120"/>
        <v>44956</v>
      </c>
      <c r="D1110">
        <v>98.745002999999997</v>
      </c>
      <c r="E1110">
        <v>99.408996999999999</v>
      </c>
      <c r="F1110">
        <v>97.519997000000004</v>
      </c>
      <c r="G1110">
        <v>97.949996999999996</v>
      </c>
      <c r="H1110">
        <v>24365100</v>
      </c>
      <c r="I1110">
        <f t="shared" si="121"/>
        <v>0</v>
      </c>
      <c r="J1110">
        <f t="shared" si="122"/>
        <v>-2.76</v>
      </c>
      <c r="K1110" t="str">
        <f t="shared" si="123"/>
        <v>Negative</v>
      </c>
      <c r="L1110" s="10">
        <f t="shared" si="124"/>
        <v>-2.8177662935507799E-2</v>
      </c>
      <c r="M1110" t="str">
        <f t="shared" si="125"/>
        <v/>
      </c>
    </row>
    <row r="1111" spans="1:13" x14ac:dyDescent="0.2">
      <c r="A1111" s="21" t="s">
        <v>1138</v>
      </c>
      <c r="B1111" s="21" t="str">
        <f t="shared" si="119"/>
        <v>Tuesday</v>
      </c>
      <c r="C1111" s="9">
        <f t="shared" si="120"/>
        <v>44957</v>
      </c>
      <c r="D1111">
        <v>97.860000999999997</v>
      </c>
      <c r="E1111">
        <v>99.910004000000001</v>
      </c>
      <c r="F1111">
        <v>97.790001000000004</v>
      </c>
      <c r="G1111">
        <v>99.870002999999997</v>
      </c>
      <c r="H1111">
        <v>22306800</v>
      </c>
      <c r="I1111">
        <f t="shared" si="121"/>
        <v>0</v>
      </c>
      <c r="J1111">
        <f t="shared" si="122"/>
        <v>1.92</v>
      </c>
      <c r="K1111" t="str">
        <f t="shared" si="123"/>
        <v>Positive</v>
      </c>
      <c r="L1111" s="10">
        <f t="shared" si="124"/>
        <v>1.9225051990836538E-2</v>
      </c>
      <c r="M1111" t="str">
        <f t="shared" si="125"/>
        <v/>
      </c>
    </row>
    <row r="1112" spans="1:13" x14ac:dyDescent="0.2">
      <c r="A1112" s="21" t="s">
        <v>1139</v>
      </c>
      <c r="B1112" s="21" t="str">
        <f t="shared" si="119"/>
        <v>Wednesday</v>
      </c>
      <c r="C1112" s="9">
        <f t="shared" si="120"/>
        <v>44958</v>
      </c>
      <c r="D1112">
        <v>99.739998</v>
      </c>
      <c r="E1112">
        <v>102.19000200000001</v>
      </c>
      <c r="F1112">
        <v>98.419998000000007</v>
      </c>
      <c r="G1112">
        <v>101.43</v>
      </c>
      <c r="H1112">
        <v>26392600</v>
      </c>
      <c r="I1112">
        <f t="shared" si="121"/>
        <v>0</v>
      </c>
      <c r="J1112">
        <f t="shared" si="122"/>
        <v>1.56</v>
      </c>
      <c r="K1112" t="str">
        <f t="shared" si="123"/>
        <v>Positive</v>
      </c>
      <c r="L1112" s="10">
        <f t="shared" si="124"/>
        <v>1.5380035492457948E-2</v>
      </c>
      <c r="M1112" t="str">
        <f t="shared" si="125"/>
        <v/>
      </c>
    </row>
    <row r="1113" spans="1:13" x14ac:dyDescent="0.2">
      <c r="A1113" s="21" t="s">
        <v>1140</v>
      </c>
      <c r="B1113" s="21" t="str">
        <f t="shared" si="119"/>
        <v>Thursday</v>
      </c>
      <c r="C1113" s="9">
        <f t="shared" si="120"/>
        <v>44959</v>
      </c>
      <c r="D1113">
        <v>106.790001</v>
      </c>
      <c r="E1113">
        <v>108.82</v>
      </c>
      <c r="F1113">
        <v>106.540001</v>
      </c>
      <c r="G1113">
        <v>108.800003</v>
      </c>
      <c r="H1113">
        <v>46622600</v>
      </c>
      <c r="I1113">
        <f t="shared" si="121"/>
        <v>0</v>
      </c>
      <c r="J1113">
        <f t="shared" si="122"/>
        <v>7.37</v>
      </c>
      <c r="K1113" t="str">
        <f t="shared" si="123"/>
        <v>Positive</v>
      </c>
      <c r="L1113" s="10">
        <f t="shared" si="124"/>
        <v>6.7738996293961476E-2</v>
      </c>
      <c r="M1113">
        <f t="shared" si="125"/>
        <v>6.7738996293961476E-2</v>
      </c>
    </row>
    <row r="1114" spans="1:13" x14ac:dyDescent="0.2">
      <c r="A1114" s="21" t="s">
        <v>1141</v>
      </c>
      <c r="B1114" s="21" t="str">
        <f t="shared" si="119"/>
        <v>Friday</v>
      </c>
      <c r="C1114" s="9">
        <f t="shared" si="120"/>
        <v>44960</v>
      </c>
      <c r="D1114">
        <v>103.510002</v>
      </c>
      <c r="E1114">
        <v>108.019997</v>
      </c>
      <c r="F1114">
        <v>103.300003</v>
      </c>
      <c r="G1114">
        <v>105.220001</v>
      </c>
      <c r="H1114">
        <v>36823400</v>
      </c>
      <c r="I1114">
        <f t="shared" si="121"/>
        <v>0</v>
      </c>
      <c r="J1114">
        <f t="shared" si="122"/>
        <v>-3.58</v>
      </c>
      <c r="K1114" t="str">
        <f t="shared" si="123"/>
        <v>Negative</v>
      </c>
      <c r="L1114" s="10">
        <f t="shared" si="124"/>
        <v>-3.4023968503858956E-2</v>
      </c>
      <c r="M1114" t="str">
        <f t="shared" si="125"/>
        <v/>
      </c>
    </row>
    <row r="1115" spans="1:13" x14ac:dyDescent="0.2">
      <c r="A1115" s="21" t="s">
        <v>1142</v>
      </c>
      <c r="B1115" s="21" t="str">
        <f t="shared" si="119"/>
        <v>Monday</v>
      </c>
      <c r="C1115" s="9">
        <f t="shared" si="120"/>
        <v>44963</v>
      </c>
      <c r="D1115">
        <v>102.68499799999999</v>
      </c>
      <c r="E1115">
        <v>104.699997</v>
      </c>
      <c r="F1115">
        <v>102.209999</v>
      </c>
      <c r="G1115">
        <v>103.470001</v>
      </c>
      <c r="H1115">
        <v>25573000</v>
      </c>
      <c r="I1115">
        <f t="shared" si="121"/>
        <v>0</v>
      </c>
      <c r="J1115">
        <f t="shared" si="122"/>
        <v>-1.75</v>
      </c>
      <c r="K1115" t="str">
        <f t="shared" si="123"/>
        <v>Negative</v>
      </c>
      <c r="L1115" s="10">
        <f t="shared" si="124"/>
        <v>-1.6913114749075919E-2</v>
      </c>
      <c r="M1115" t="str">
        <f t="shared" si="125"/>
        <v/>
      </c>
    </row>
    <row r="1116" spans="1:13" x14ac:dyDescent="0.2">
      <c r="A1116" s="21" t="s">
        <v>1143</v>
      </c>
      <c r="B1116" s="21" t="str">
        <f t="shared" si="119"/>
        <v>Tuesday</v>
      </c>
      <c r="C1116" s="9">
        <f t="shared" si="120"/>
        <v>44964</v>
      </c>
      <c r="D1116">
        <v>103.629997</v>
      </c>
      <c r="E1116">
        <v>108.66999800000001</v>
      </c>
      <c r="F1116">
        <v>103.547997</v>
      </c>
      <c r="G1116">
        <v>108.040001</v>
      </c>
      <c r="H1116">
        <v>33738800</v>
      </c>
      <c r="I1116">
        <f t="shared" si="121"/>
        <v>0</v>
      </c>
      <c r="J1116">
        <f t="shared" si="122"/>
        <v>4.57</v>
      </c>
      <c r="K1116" t="str">
        <f t="shared" si="123"/>
        <v>Positive</v>
      </c>
      <c r="L1116" s="10">
        <f t="shared" si="124"/>
        <v>4.2299148072018317E-2</v>
      </c>
      <c r="M1116" t="str">
        <f t="shared" si="125"/>
        <v/>
      </c>
    </row>
    <row r="1117" spans="1:13" x14ac:dyDescent="0.2">
      <c r="A1117" s="21" t="s">
        <v>1144</v>
      </c>
      <c r="B1117" s="21" t="str">
        <f t="shared" si="119"/>
        <v>Wednesday</v>
      </c>
      <c r="C1117" s="9">
        <f t="shared" si="120"/>
        <v>44965</v>
      </c>
      <c r="D1117">
        <v>102.69000200000001</v>
      </c>
      <c r="E1117">
        <v>103.58000199999999</v>
      </c>
      <c r="F1117">
        <v>98.455001999999993</v>
      </c>
      <c r="G1117">
        <v>100</v>
      </c>
      <c r="H1117">
        <v>73546000</v>
      </c>
      <c r="I1117">
        <f t="shared" si="121"/>
        <v>0</v>
      </c>
      <c r="J1117">
        <f t="shared" si="122"/>
        <v>-8.0399999999999991</v>
      </c>
      <c r="K1117" t="str">
        <f t="shared" si="123"/>
        <v>Negative</v>
      </c>
      <c r="L1117" s="10">
        <f t="shared" si="124"/>
        <v>-8.0400010000000036E-2</v>
      </c>
      <c r="M1117" t="str">
        <f t="shared" si="125"/>
        <v/>
      </c>
    </row>
    <row r="1118" spans="1:13" x14ac:dyDescent="0.2">
      <c r="A1118" s="21" t="s">
        <v>1145</v>
      </c>
      <c r="B1118" s="21" t="str">
        <f t="shared" si="119"/>
        <v>Thursday</v>
      </c>
      <c r="C1118" s="9">
        <f t="shared" si="120"/>
        <v>44966</v>
      </c>
      <c r="D1118">
        <v>100.540001</v>
      </c>
      <c r="E1118">
        <v>100.610001</v>
      </c>
      <c r="F1118">
        <v>93.860000999999997</v>
      </c>
      <c r="G1118">
        <v>95.459998999999996</v>
      </c>
      <c r="H1118">
        <v>97798600</v>
      </c>
      <c r="I1118">
        <f t="shared" si="121"/>
        <v>0</v>
      </c>
      <c r="J1118">
        <f t="shared" si="122"/>
        <v>-4.54</v>
      </c>
      <c r="K1118" t="str">
        <f t="shared" si="123"/>
        <v>Negative</v>
      </c>
      <c r="L1118" s="10">
        <f t="shared" si="124"/>
        <v>-4.7559198067873475E-2</v>
      </c>
      <c r="M1118" t="str">
        <f t="shared" si="125"/>
        <v/>
      </c>
    </row>
    <row r="1119" spans="1:13" x14ac:dyDescent="0.2">
      <c r="A1119" s="21" t="s">
        <v>1146</v>
      </c>
      <c r="B1119" s="21" t="str">
        <f t="shared" si="119"/>
        <v>Friday</v>
      </c>
      <c r="C1119" s="9">
        <f t="shared" si="120"/>
        <v>44967</v>
      </c>
      <c r="D1119">
        <v>95.739998</v>
      </c>
      <c r="E1119">
        <v>97.019997000000004</v>
      </c>
      <c r="F1119">
        <v>94.529999000000004</v>
      </c>
      <c r="G1119">
        <v>94.860000999999997</v>
      </c>
      <c r="H1119">
        <v>49325300</v>
      </c>
      <c r="I1119">
        <f t="shared" si="121"/>
        <v>0</v>
      </c>
      <c r="J1119">
        <f t="shared" si="122"/>
        <v>-0.6</v>
      </c>
      <c r="K1119" t="str">
        <f t="shared" si="123"/>
        <v>Negative</v>
      </c>
      <c r="L1119" s="10">
        <f t="shared" si="124"/>
        <v>-6.3250895390566083E-3</v>
      </c>
      <c r="M1119" t="str">
        <f t="shared" si="125"/>
        <v/>
      </c>
    </row>
    <row r="1120" spans="1:13" x14ac:dyDescent="0.2">
      <c r="A1120" s="21" t="s">
        <v>1147</v>
      </c>
      <c r="B1120" s="21" t="str">
        <f t="shared" si="119"/>
        <v>Monday</v>
      </c>
      <c r="C1120" s="9">
        <f t="shared" si="120"/>
        <v>44970</v>
      </c>
      <c r="D1120">
        <v>95.010002</v>
      </c>
      <c r="E1120">
        <v>95.349997999999999</v>
      </c>
      <c r="F1120">
        <v>94.050003000000004</v>
      </c>
      <c r="G1120">
        <v>95</v>
      </c>
      <c r="H1120">
        <v>43116600</v>
      </c>
      <c r="I1120">
        <f t="shared" si="121"/>
        <v>0</v>
      </c>
      <c r="J1120">
        <f t="shared" si="122"/>
        <v>0.14000000000000001</v>
      </c>
      <c r="K1120" t="str">
        <f t="shared" si="123"/>
        <v>Positive</v>
      </c>
      <c r="L1120" s="10">
        <f t="shared" si="124"/>
        <v>1.4736736842105589E-3</v>
      </c>
      <c r="M1120" t="str">
        <f t="shared" si="125"/>
        <v/>
      </c>
    </row>
    <row r="1121" spans="1:13" x14ac:dyDescent="0.2">
      <c r="A1121" s="21" t="s">
        <v>1148</v>
      </c>
      <c r="B1121" s="21" t="str">
        <f t="shared" si="119"/>
        <v>Tuesday</v>
      </c>
      <c r="C1121" s="9">
        <f t="shared" si="120"/>
        <v>44971</v>
      </c>
      <c r="D1121">
        <v>94.660004000000001</v>
      </c>
      <c r="E1121">
        <v>95.175003000000004</v>
      </c>
      <c r="F1121">
        <v>92.650002000000001</v>
      </c>
      <c r="G1121">
        <v>94.949996999999996</v>
      </c>
      <c r="H1121">
        <v>42513100</v>
      </c>
      <c r="I1121">
        <f t="shared" si="121"/>
        <v>0</v>
      </c>
      <c r="J1121">
        <f t="shared" si="122"/>
        <v>-0.05</v>
      </c>
      <c r="K1121" t="str">
        <f t="shared" si="123"/>
        <v>Negative</v>
      </c>
      <c r="L1121" s="10">
        <f t="shared" si="124"/>
        <v>-5.2662455587022079E-4</v>
      </c>
      <c r="M1121" t="str">
        <f t="shared" si="125"/>
        <v/>
      </c>
    </row>
    <row r="1122" spans="1:13" x14ac:dyDescent="0.2">
      <c r="A1122" s="21" t="s">
        <v>1149</v>
      </c>
      <c r="B1122" s="21" t="str">
        <f t="shared" si="119"/>
        <v>Wednesday</v>
      </c>
      <c r="C1122" s="9">
        <f t="shared" si="120"/>
        <v>44972</v>
      </c>
      <c r="D1122">
        <v>94.739998</v>
      </c>
      <c r="E1122">
        <v>97.339995999999999</v>
      </c>
      <c r="F1122">
        <v>94.360000999999997</v>
      </c>
      <c r="G1122">
        <v>97.099997999999999</v>
      </c>
      <c r="H1122">
        <v>36964500</v>
      </c>
      <c r="I1122">
        <f t="shared" si="121"/>
        <v>0</v>
      </c>
      <c r="J1122">
        <f t="shared" si="122"/>
        <v>2.15</v>
      </c>
      <c r="K1122" t="str">
        <f t="shared" si="123"/>
        <v>Positive</v>
      </c>
      <c r="L1122" s="10">
        <f t="shared" si="124"/>
        <v>2.2142132278931696E-2</v>
      </c>
      <c r="M1122" t="str">
        <f t="shared" si="125"/>
        <v/>
      </c>
    </row>
    <row r="1123" spans="1:13" x14ac:dyDescent="0.2">
      <c r="A1123" s="21" t="s">
        <v>1150</v>
      </c>
      <c r="B1123" s="21" t="str">
        <f t="shared" si="119"/>
        <v>Thursday</v>
      </c>
      <c r="C1123" s="9">
        <f t="shared" si="120"/>
        <v>44973</v>
      </c>
      <c r="D1123">
        <v>95.540001000000004</v>
      </c>
      <c r="E1123">
        <v>97.879997000000003</v>
      </c>
      <c r="F1123">
        <v>94.970000999999996</v>
      </c>
      <c r="G1123">
        <v>95.779999000000004</v>
      </c>
      <c r="H1123">
        <v>35642100</v>
      </c>
      <c r="I1123">
        <f t="shared" si="121"/>
        <v>0</v>
      </c>
      <c r="J1123">
        <f t="shared" si="122"/>
        <v>-1.32</v>
      </c>
      <c r="K1123" t="str">
        <f t="shared" si="123"/>
        <v>Negative</v>
      </c>
      <c r="L1123" s="10">
        <f t="shared" si="124"/>
        <v>-1.3781572497197412E-2</v>
      </c>
      <c r="M1123" t="str">
        <f t="shared" si="125"/>
        <v/>
      </c>
    </row>
    <row r="1124" spans="1:13" x14ac:dyDescent="0.2">
      <c r="A1124" s="21" t="s">
        <v>1151</v>
      </c>
      <c r="B1124" s="21" t="str">
        <f t="shared" si="119"/>
        <v>Friday</v>
      </c>
      <c r="C1124" s="9">
        <f t="shared" si="120"/>
        <v>44974</v>
      </c>
      <c r="D1124">
        <v>95.07</v>
      </c>
      <c r="E1124">
        <v>95.75</v>
      </c>
      <c r="F1124">
        <v>93.449996999999996</v>
      </c>
      <c r="G1124">
        <v>94.589995999999999</v>
      </c>
      <c r="H1124">
        <v>31095100</v>
      </c>
      <c r="I1124">
        <f t="shared" si="121"/>
        <v>0</v>
      </c>
      <c r="J1124">
        <f t="shared" si="122"/>
        <v>-1.19</v>
      </c>
      <c r="K1124" t="str">
        <f t="shared" si="123"/>
        <v>Negative</v>
      </c>
      <c r="L1124" s="10">
        <f t="shared" si="124"/>
        <v>-1.2580643306084972E-2</v>
      </c>
      <c r="M1124" t="str">
        <f t="shared" si="125"/>
        <v/>
      </c>
    </row>
    <row r="1125" spans="1:13" x14ac:dyDescent="0.2">
      <c r="A1125" s="21" t="s">
        <v>1152</v>
      </c>
      <c r="B1125" s="21" t="str">
        <f t="shared" si="119"/>
        <v>Tuesday</v>
      </c>
      <c r="C1125" s="9">
        <f t="shared" si="120"/>
        <v>44978</v>
      </c>
      <c r="D1125">
        <v>93.239998</v>
      </c>
      <c r="E1125">
        <v>93.415001000000004</v>
      </c>
      <c r="F1125">
        <v>92</v>
      </c>
      <c r="G1125">
        <v>92.050003000000004</v>
      </c>
      <c r="H1125">
        <v>28367200</v>
      </c>
      <c r="I1125">
        <f t="shared" si="121"/>
        <v>0</v>
      </c>
      <c r="J1125">
        <f t="shared" si="122"/>
        <v>-2.54</v>
      </c>
      <c r="K1125" t="str">
        <f t="shared" si="123"/>
        <v>Negative</v>
      </c>
      <c r="L1125" s="10">
        <f t="shared" si="124"/>
        <v>-2.759362213165811E-2</v>
      </c>
      <c r="M1125" t="str">
        <f t="shared" si="125"/>
        <v/>
      </c>
    </row>
    <row r="1126" spans="1:13" x14ac:dyDescent="0.2">
      <c r="A1126" s="21" t="s">
        <v>1153</v>
      </c>
      <c r="B1126" s="21" t="str">
        <f t="shared" si="119"/>
        <v>Wednesday</v>
      </c>
      <c r="C1126" s="9">
        <f t="shared" si="120"/>
        <v>44979</v>
      </c>
      <c r="D1126">
        <v>91.933998000000003</v>
      </c>
      <c r="E1126">
        <v>92.360000999999997</v>
      </c>
      <c r="F1126">
        <v>90.870002999999997</v>
      </c>
      <c r="G1126">
        <v>91.800003000000004</v>
      </c>
      <c r="H1126">
        <v>29891100</v>
      </c>
      <c r="I1126">
        <f t="shared" si="121"/>
        <v>0</v>
      </c>
      <c r="J1126">
        <f t="shared" si="122"/>
        <v>-0.25</v>
      </c>
      <c r="K1126" t="str">
        <f t="shared" si="123"/>
        <v>Negative</v>
      </c>
      <c r="L1126" s="10">
        <f t="shared" si="124"/>
        <v>-2.7233114578438522E-3</v>
      </c>
      <c r="M1126" t="str">
        <f t="shared" si="125"/>
        <v/>
      </c>
    </row>
    <row r="1127" spans="1:13" x14ac:dyDescent="0.2">
      <c r="A1127" s="21" t="s">
        <v>1154</v>
      </c>
      <c r="B1127" s="21" t="str">
        <f t="shared" si="119"/>
        <v>Thursday</v>
      </c>
      <c r="C1127" s="9">
        <f t="shared" si="120"/>
        <v>44980</v>
      </c>
      <c r="D1127">
        <v>92.129997000000003</v>
      </c>
      <c r="E1127">
        <v>92.129997000000003</v>
      </c>
      <c r="F1127">
        <v>90.010002</v>
      </c>
      <c r="G1127">
        <v>91.07</v>
      </c>
      <c r="H1127">
        <v>32423700</v>
      </c>
      <c r="I1127">
        <f t="shared" si="121"/>
        <v>0</v>
      </c>
      <c r="J1127">
        <f t="shared" si="122"/>
        <v>-0.73</v>
      </c>
      <c r="K1127" t="str">
        <f t="shared" si="123"/>
        <v>Negative</v>
      </c>
      <c r="L1127" s="10">
        <f t="shared" si="124"/>
        <v>-8.0158449544307751E-3</v>
      </c>
      <c r="M1127" t="str">
        <f t="shared" si="125"/>
        <v/>
      </c>
    </row>
    <row r="1128" spans="1:13" x14ac:dyDescent="0.2">
      <c r="A1128" s="21" t="s">
        <v>1155</v>
      </c>
      <c r="B1128" s="21" t="str">
        <f t="shared" si="119"/>
        <v>Friday</v>
      </c>
      <c r="C1128" s="9">
        <f t="shared" si="120"/>
        <v>44981</v>
      </c>
      <c r="D1128">
        <v>89.629997000000003</v>
      </c>
      <c r="E1128">
        <v>90.129997000000003</v>
      </c>
      <c r="F1128">
        <v>88.860000999999997</v>
      </c>
      <c r="G1128">
        <v>89.349997999999999</v>
      </c>
      <c r="H1128">
        <v>31295600</v>
      </c>
      <c r="I1128">
        <f t="shared" si="121"/>
        <v>0</v>
      </c>
      <c r="J1128">
        <f t="shared" si="122"/>
        <v>-1.72</v>
      </c>
      <c r="K1128" t="str">
        <f t="shared" si="123"/>
        <v>Negative</v>
      </c>
      <c r="L1128" s="10">
        <f t="shared" si="124"/>
        <v>-1.925016271404946E-2</v>
      </c>
      <c r="M1128" t="str">
        <f t="shared" si="125"/>
        <v/>
      </c>
    </row>
    <row r="1129" spans="1:13" x14ac:dyDescent="0.2">
      <c r="A1129" s="21" t="s">
        <v>1156</v>
      </c>
      <c r="B1129" s="21" t="str">
        <f t="shared" si="119"/>
        <v>Monday</v>
      </c>
      <c r="C1129" s="9">
        <f t="shared" si="120"/>
        <v>44984</v>
      </c>
      <c r="D1129">
        <v>90.089995999999999</v>
      </c>
      <c r="E1129">
        <v>90.449996999999996</v>
      </c>
      <c r="F1129">
        <v>89.610000999999997</v>
      </c>
      <c r="G1129">
        <v>90.099997999999999</v>
      </c>
      <c r="H1129">
        <v>22724300</v>
      </c>
      <c r="I1129">
        <f t="shared" si="121"/>
        <v>0</v>
      </c>
      <c r="J1129">
        <f t="shared" si="122"/>
        <v>0.75</v>
      </c>
      <c r="K1129" t="str">
        <f t="shared" si="123"/>
        <v>Positive</v>
      </c>
      <c r="L1129" s="10">
        <f t="shared" si="124"/>
        <v>8.3240845354957717E-3</v>
      </c>
      <c r="M1129" t="str">
        <f t="shared" si="125"/>
        <v/>
      </c>
    </row>
    <row r="1130" spans="1:13" x14ac:dyDescent="0.2">
      <c r="A1130" s="21" t="s">
        <v>1157</v>
      </c>
      <c r="B1130" s="21" t="str">
        <f t="shared" si="119"/>
        <v>Tuesday</v>
      </c>
      <c r="C1130" s="9">
        <f t="shared" si="120"/>
        <v>44985</v>
      </c>
      <c r="D1130">
        <v>89.540001000000004</v>
      </c>
      <c r="E1130">
        <v>91.449996999999996</v>
      </c>
      <c r="F1130">
        <v>89.519997000000004</v>
      </c>
      <c r="G1130">
        <v>90.300003000000004</v>
      </c>
      <c r="H1130">
        <v>30546900</v>
      </c>
      <c r="I1130">
        <f t="shared" si="121"/>
        <v>0</v>
      </c>
      <c r="J1130">
        <f t="shared" si="122"/>
        <v>0.2</v>
      </c>
      <c r="K1130" t="str">
        <f t="shared" si="123"/>
        <v>Positive</v>
      </c>
      <c r="L1130" s="10">
        <f t="shared" si="124"/>
        <v>2.21489472154286E-3</v>
      </c>
      <c r="M1130" t="str">
        <f t="shared" si="125"/>
        <v/>
      </c>
    </row>
    <row r="1131" spans="1:13" x14ac:dyDescent="0.2">
      <c r="A1131" s="21" t="s">
        <v>1158</v>
      </c>
      <c r="B1131" s="21" t="str">
        <f t="shared" si="119"/>
        <v>Wednesday</v>
      </c>
      <c r="C1131" s="9">
        <f t="shared" si="120"/>
        <v>44986</v>
      </c>
      <c r="D1131">
        <v>90.160004000000001</v>
      </c>
      <c r="E1131">
        <v>91.199996999999996</v>
      </c>
      <c r="F1131">
        <v>89.849997999999999</v>
      </c>
      <c r="G1131">
        <v>90.510002</v>
      </c>
      <c r="H1131">
        <v>26323900</v>
      </c>
      <c r="I1131">
        <f t="shared" si="121"/>
        <v>0</v>
      </c>
      <c r="J1131">
        <f t="shared" si="122"/>
        <v>0.21</v>
      </c>
      <c r="K1131" t="str">
        <f t="shared" si="123"/>
        <v>Positive</v>
      </c>
      <c r="L1131" s="10">
        <f t="shared" si="124"/>
        <v>2.3201745150773089E-3</v>
      </c>
      <c r="M1131" t="str">
        <f t="shared" si="125"/>
        <v/>
      </c>
    </row>
    <row r="1132" spans="1:13" x14ac:dyDescent="0.2">
      <c r="A1132" s="21" t="s">
        <v>1159</v>
      </c>
      <c r="B1132" s="21" t="str">
        <f t="shared" si="119"/>
        <v>Thursday</v>
      </c>
      <c r="C1132" s="9">
        <f t="shared" si="120"/>
        <v>44987</v>
      </c>
      <c r="D1132">
        <v>89.860000999999997</v>
      </c>
      <c r="E1132">
        <v>92.480002999999996</v>
      </c>
      <c r="F1132">
        <v>89.769997000000004</v>
      </c>
      <c r="G1132">
        <v>92.309997999999993</v>
      </c>
      <c r="H1132">
        <v>23328600</v>
      </c>
      <c r="I1132">
        <f t="shared" si="121"/>
        <v>0</v>
      </c>
      <c r="J1132">
        <f t="shared" si="122"/>
        <v>1.8</v>
      </c>
      <c r="K1132" t="str">
        <f t="shared" si="123"/>
        <v>Positive</v>
      </c>
      <c r="L1132" s="10">
        <f t="shared" si="124"/>
        <v>1.949946960241504E-2</v>
      </c>
      <c r="M1132" t="str">
        <f t="shared" si="125"/>
        <v/>
      </c>
    </row>
    <row r="1133" spans="1:13" x14ac:dyDescent="0.2">
      <c r="A1133" s="21" t="s">
        <v>1160</v>
      </c>
      <c r="B1133" s="21" t="str">
        <f t="shared" si="119"/>
        <v>Friday</v>
      </c>
      <c r="C1133" s="9">
        <f t="shared" si="120"/>
        <v>44988</v>
      </c>
      <c r="D1133">
        <v>92.739998</v>
      </c>
      <c r="E1133">
        <v>94.110000999999997</v>
      </c>
      <c r="F1133">
        <v>92.660004000000001</v>
      </c>
      <c r="G1133">
        <v>94.019997000000004</v>
      </c>
      <c r="H1133">
        <v>30242500</v>
      </c>
      <c r="I1133">
        <f t="shared" si="121"/>
        <v>0</v>
      </c>
      <c r="J1133">
        <f t="shared" si="122"/>
        <v>1.71</v>
      </c>
      <c r="K1133" t="str">
        <f t="shared" si="123"/>
        <v>Positive</v>
      </c>
      <c r="L1133" s="10">
        <f t="shared" si="124"/>
        <v>1.8187609599689843E-2</v>
      </c>
      <c r="M1133" t="str">
        <f t="shared" si="125"/>
        <v/>
      </c>
    </row>
    <row r="1134" spans="1:13" x14ac:dyDescent="0.2">
      <c r="A1134" s="21" t="s">
        <v>1161</v>
      </c>
      <c r="B1134" s="21" t="str">
        <f t="shared" si="119"/>
        <v>Monday</v>
      </c>
      <c r="C1134" s="9">
        <f t="shared" si="120"/>
        <v>44991</v>
      </c>
      <c r="D1134">
        <v>94.360000999999997</v>
      </c>
      <c r="E1134">
        <v>96.300003000000004</v>
      </c>
      <c r="F1134">
        <v>94.300003000000004</v>
      </c>
      <c r="G1134">
        <v>95.580001999999993</v>
      </c>
      <c r="H1134">
        <v>28288200</v>
      </c>
      <c r="I1134">
        <f t="shared" si="121"/>
        <v>0</v>
      </c>
      <c r="J1134">
        <f t="shared" si="122"/>
        <v>1.56</v>
      </c>
      <c r="K1134" t="str">
        <f t="shared" si="123"/>
        <v>Positive</v>
      </c>
      <c r="L1134" s="10">
        <f t="shared" si="124"/>
        <v>1.6321458122589175E-2</v>
      </c>
      <c r="M1134" t="str">
        <f t="shared" si="125"/>
        <v/>
      </c>
    </row>
    <row r="1135" spans="1:13" x14ac:dyDescent="0.2">
      <c r="A1135" s="21" t="s">
        <v>1162</v>
      </c>
      <c r="B1135" s="21" t="str">
        <f t="shared" si="119"/>
        <v>Tuesday</v>
      </c>
      <c r="C1135" s="9">
        <f t="shared" si="120"/>
        <v>44992</v>
      </c>
      <c r="D1135">
        <v>95.419998000000007</v>
      </c>
      <c r="E1135">
        <v>96.089995999999999</v>
      </c>
      <c r="F1135">
        <v>93.844002000000003</v>
      </c>
      <c r="G1135">
        <v>94.169998000000007</v>
      </c>
      <c r="H1135">
        <v>24101500</v>
      </c>
      <c r="I1135">
        <f t="shared" si="121"/>
        <v>0</v>
      </c>
      <c r="J1135">
        <f t="shared" si="122"/>
        <v>-1.41</v>
      </c>
      <c r="K1135" t="str">
        <f t="shared" si="123"/>
        <v>Negative</v>
      </c>
      <c r="L1135" s="10">
        <f t="shared" si="124"/>
        <v>-1.4972964106890885E-2</v>
      </c>
      <c r="M1135" t="str">
        <f t="shared" si="125"/>
        <v/>
      </c>
    </row>
    <row r="1136" spans="1:13" x14ac:dyDescent="0.2">
      <c r="A1136" s="21" t="s">
        <v>1163</v>
      </c>
      <c r="B1136" s="21" t="str">
        <f t="shared" si="119"/>
        <v>Wednesday</v>
      </c>
      <c r="C1136" s="9">
        <f t="shared" si="120"/>
        <v>44993</v>
      </c>
      <c r="D1136">
        <v>94.404999000000004</v>
      </c>
      <c r="E1136">
        <v>96.239998</v>
      </c>
      <c r="F1136">
        <v>94.404999000000004</v>
      </c>
      <c r="G1136">
        <v>94.650002000000001</v>
      </c>
      <c r="H1136">
        <v>25395200</v>
      </c>
      <c r="I1136">
        <f t="shared" si="121"/>
        <v>0</v>
      </c>
      <c r="J1136">
        <f t="shared" si="122"/>
        <v>0.48</v>
      </c>
      <c r="K1136" t="str">
        <f t="shared" si="123"/>
        <v>Positive</v>
      </c>
      <c r="L1136" s="10">
        <f t="shared" si="124"/>
        <v>5.0713575262258722E-3</v>
      </c>
      <c r="M1136" t="str">
        <f t="shared" si="125"/>
        <v/>
      </c>
    </row>
    <row r="1137" spans="1:13" x14ac:dyDescent="0.2">
      <c r="A1137" s="21" t="s">
        <v>1164</v>
      </c>
      <c r="B1137" s="21" t="str">
        <f t="shared" si="119"/>
        <v>Thursday</v>
      </c>
      <c r="C1137" s="9">
        <f t="shared" si="120"/>
        <v>44994</v>
      </c>
      <c r="D1137">
        <v>94.489998</v>
      </c>
      <c r="E1137">
        <v>95.919998000000007</v>
      </c>
      <c r="F1137">
        <v>92.355002999999996</v>
      </c>
      <c r="G1137">
        <v>92.660004000000001</v>
      </c>
      <c r="H1137">
        <v>24438900</v>
      </c>
      <c r="I1137">
        <f t="shared" si="121"/>
        <v>0</v>
      </c>
      <c r="J1137">
        <f t="shared" si="122"/>
        <v>-1.99</v>
      </c>
      <c r="K1137" t="str">
        <f t="shared" si="123"/>
        <v>Negative</v>
      </c>
      <c r="L1137" s="10">
        <f t="shared" si="124"/>
        <v>-2.1476342694740223E-2</v>
      </c>
      <c r="M1137" t="str">
        <f t="shared" si="125"/>
        <v/>
      </c>
    </row>
    <row r="1138" spans="1:13" x14ac:dyDescent="0.2">
      <c r="A1138" s="21" t="s">
        <v>1165</v>
      </c>
      <c r="B1138" s="21" t="str">
        <f t="shared" si="119"/>
        <v>Friday</v>
      </c>
      <c r="C1138" s="9">
        <f t="shared" si="120"/>
        <v>44995</v>
      </c>
      <c r="D1138">
        <v>92.5</v>
      </c>
      <c r="E1138">
        <v>93.18</v>
      </c>
      <c r="F1138">
        <v>90.800003000000004</v>
      </c>
      <c r="G1138">
        <v>91.010002</v>
      </c>
      <c r="H1138">
        <v>32850100</v>
      </c>
      <c r="I1138">
        <f t="shared" si="121"/>
        <v>0</v>
      </c>
      <c r="J1138">
        <f t="shared" si="122"/>
        <v>-1.65</v>
      </c>
      <c r="K1138" t="str">
        <f t="shared" si="123"/>
        <v>Negative</v>
      </c>
      <c r="L1138" s="10">
        <f t="shared" si="124"/>
        <v>-1.81298974150116E-2</v>
      </c>
      <c r="M1138" t="str">
        <f t="shared" si="125"/>
        <v/>
      </c>
    </row>
    <row r="1139" spans="1:13" x14ac:dyDescent="0.2">
      <c r="A1139" s="21" t="s">
        <v>1166</v>
      </c>
      <c r="B1139" s="21" t="str">
        <f t="shared" si="119"/>
        <v>Monday</v>
      </c>
      <c r="C1139" s="9">
        <f t="shared" si="120"/>
        <v>44998</v>
      </c>
      <c r="D1139">
        <v>90.565002000000007</v>
      </c>
      <c r="E1139">
        <v>93.080001999999993</v>
      </c>
      <c r="F1139">
        <v>89.940002000000007</v>
      </c>
      <c r="G1139">
        <v>91.660004000000001</v>
      </c>
      <c r="H1139">
        <v>31508600</v>
      </c>
      <c r="I1139">
        <f t="shared" si="121"/>
        <v>0</v>
      </c>
      <c r="J1139">
        <f t="shared" si="122"/>
        <v>0.65</v>
      </c>
      <c r="K1139" t="str">
        <f t="shared" si="123"/>
        <v>Positive</v>
      </c>
      <c r="L1139" s="10">
        <f t="shared" si="124"/>
        <v>7.0914463411980719E-3</v>
      </c>
      <c r="M1139" t="str">
        <f t="shared" si="125"/>
        <v/>
      </c>
    </row>
    <row r="1140" spans="1:13" x14ac:dyDescent="0.2">
      <c r="A1140" s="21" t="s">
        <v>1167</v>
      </c>
      <c r="B1140" s="21" t="str">
        <f t="shared" si="119"/>
        <v>Tuesday</v>
      </c>
      <c r="C1140" s="9">
        <f t="shared" si="120"/>
        <v>44999</v>
      </c>
      <c r="D1140">
        <v>93.07</v>
      </c>
      <c r="E1140">
        <v>94.830001999999993</v>
      </c>
      <c r="F1140">
        <v>92.779999000000004</v>
      </c>
      <c r="G1140">
        <v>94.25</v>
      </c>
      <c r="H1140">
        <v>32303900</v>
      </c>
      <c r="I1140">
        <f t="shared" si="121"/>
        <v>0</v>
      </c>
      <c r="J1140">
        <f t="shared" si="122"/>
        <v>2.59</v>
      </c>
      <c r="K1140" t="str">
        <f t="shared" si="123"/>
        <v>Positive</v>
      </c>
      <c r="L1140" s="10">
        <f t="shared" si="124"/>
        <v>2.7480063660477446E-2</v>
      </c>
      <c r="M1140" t="str">
        <f t="shared" si="125"/>
        <v/>
      </c>
    </row>
    <row r="1141" spans="1:13" x14ac:dyDescent="0.2">
      <c r="A1141" s="21" t="s">
        <v>1168</v>
      </c>
      <c r="B1141" s="21" t="str">
        <f t="shared" si="119"/>
        <v>Wednesday</v>
      </c>
      <c r="C1141" s="9">
        <f t="shared" si="120"/>
        <v>45000</v>
      </c>
      <c r="D1141">
        <v>93.540001000000004</v>
      </c>
      <c r="E1141">
        <v>97.25</v>
      </c>
      <c r="F1141">
        <v>93.040001000000004</v>
      </c>
      <c r="G1141">
        <v>96.550003000000004</v>
      </c>
      <c r="H1141">
        <v>38367300</v>
      </c>
      <c r="I1141">
        <f t="shared" si="121"/>
        <v>0</v>
      </c>
      <c r="J1141">
        <f t="shared" si="122"/>
        <v>2.2999999999999998</v>
      </c>
      <c r="K1141" t="str">
        <f t="shared" si="123"/>
        <v>Positive</v>
      </c>
      <c r="L1141" s="10">
        <f t="shared" si="124"/>
        <v>2.3821884293468161E-2</v>
      </c>
      <c r="M1141" t="str">
        <f t="shared" si="125"/>
        <v/>
      </c>
    </row>
    <row r="1142" spans="1:13" x14ac:dyDescent="0.2">
      <c r="A1142" s="21" t="s">
        <v>1169</v>
      </c>
      <c r="B1142" s="21" t="str">
        <f t="shared" si="119"/>
        <v>Thursday</v>
      </c>
      <c r="C1142" s="9">
        <f t="shared" si="120"/>
        <v>45001</v>
      </c>
      <c r="D1142">
        <v>96.57</v>
      </c>
      <c r="E1142">
        <v>101.970001</v>
      </c>
      <c r="F1142">
        <v>95.870002999999997</v>
      </c>
      <c r="G1142">
        <v>101.07</v>
      </c>
      <c r="H1142">
        <v>54499500</v>
      </c>
      <c r="I1142">
        <f t="shared" si="121"/>
        <v>0</v>
      </c>
      <c r="J1142">
        <f t="shared" si="122"/>
        <v>4.5199999999999996</v>
      </c>
      <c r="K1142" t="str">
        <f t="shared" si="123"/>
        <v>Positive</v>
      </c>
      <c r="L1142" s="10">
        <f t="shared" si="124"/>
        <v>4.4721450479865338E-2</v>
      </c>
      <c r="M1142" t="str">
        <f t="shared" si="125"/>
        <v/>
      </c>
    </row>
    <row r="1143" spans="1:13" x14ac:dyDescent="0.2">
      <c r="A1143" s="21" t="s">
        <v>1170</v>
      </c>
      <c r="B1143" s="21" t="str">
        <f t="shared" si="119"/>
        <v>Friday</v>
      </c>
      <c r="C1143" s="9">
        <f t="shared" si="120"/>
        <v>45002</v>
      </c>
      <c r="D1143">
        <v>100.839996</v>
      </c>
      <c r="E1143">
        <v>103.489998</v>
      </c>
      <c r="F1143">
        <v>100.75</v>
      </c>
      <c r="G1143">
        <v>102.459999</v>
      </c>
      <c r="H1143">
        <v>76140300</v>
      </c>
      <c r="I1143">
        <f t="shared" si="121"/>
        <v>0</v>
      </c>
      <c r="J1143">
        <f t="shared" si="122"/>
        <v>1.39</v>
      </c>
      <c r="K1143" t="str">
        <f t="shared" si="123"/>
        <v>Positive</v>
      </c>
      <c r="L1143" s="10">
        <f t="shared" si="124"/>
        <v>1.356626013630942E-2</v>
      </c>
      <c r="M1143" t="str">
        <f t="shared" si="125"/>
        <v/>
      </c>
    </row>
    <row r="1144" spans="1:13" x14ac:dyDescent="0.2">
      <c r="A1144" s="21" t="s">
        <v>1171</v>
      </c>
      <c r="B1144" s="21" t="str">
        <f t="shared" si="119"/>
        <v>Monday</v>
      </c>
      <c r="C1144" s="9">
        <f t="shared" si="120"/>
        <v>45005</v>
      </c>
      <c r="D1144">
        <v>101.05999799999999</v>
      </c>
      <c r="E1144">
        <v>102.58000199999999</v>
      </c>
      <c r="F1144">
        <v>100.790001</v>
      </c>
      <c r="G1144">
        <v>101.93</v>
      </c>
      <c r="H1144">
        <v>26033900</v>
      </c>
      <c r="I1144">
        <f t="shared" si="121"/>
        <v>0</v>
      </c>
      <c r="J1144">
        <f t="shared" si="122"/>
        <v>-0.53</v>
      </c>
      <c r="K1144" t="str">
        <f t="shared" si="123"/>
        <v>Negative</v>
      </c>
      <c r="L1144" s="10">
        <f t="shared" si="124"/>
        <v>-5.1996370057881824E-3</v>
      </c>
      <c r="M1144" t="str">
        <f t="shared" si="125"/>
        <v/>
      </c>
    </row>
    <row r="1145" spans="1:13" x14ac:dyDescent="0.2">
      <c r="A1145" s="21" t="s">
        <v>1172</v>
      </c>
      <c r="B1145" s="21" t="str">
        <f t="shared" si="119"/>
        <v>Tuesday</v>
      </c>
      <c r="C1145" s="9">
        <f t="shared" si="120"/>
        <v>45006</v>
      </c>
      <c r="D1145">
        <v>101.980003</v>
      </c>
      <c r="E1145">
        <v>105.959999</v>
      </c>
      <c r="F1145">
        <v>101.860001</v>
      </c>
      <c r="G1145">
        <v>105.839996</v>
      </c>
      <c r="H1145">
        <v>33122800</v>
      </c>
      <c r="I1145">
        <f t="shared" si="121"/>
        <v>0</v>
      </c>
      <c r="J1145">
        <f t="shared" si="122"/>
        <v>3.91</v>
      </c>
      <c r="K1145" t="str">
        <f t="shared" si="123"/>
        <v>Positive</v>
      </c>
      <c r="L1145" s="10">
        <f t="shared" si="124"/>
        <v>3.6942518402967368E-2</v>
      </c>
      <c r="M1145" t="str">
        <f t="shared" si="125"/>
        <v/>
      </c>
    </row>
    <row r="1146" spans="1:13" x14ac:dyDescent="0.2">
      <c r="A1146" s="21" t="s">
        <v>1173</v>
      </c>
      <c r="B1146" s="21" t="str">
        <f t="shared" si="119"/>
        <v>Wednesday</v>
      </c>
      <c r="C1146" s="9">
        <f t="shared" si="120"/>
        <v>45007</v>
      </c>
      <c r="D1146">
        <v>105.139999</v>
      </c>
      <c r="E1146">
        <v>107.510002</v>
      </c>
      <c r="F1146">
        <v>104.209999</v>
      </c>
      <c r="G1146">
        <v>104.220001</v>
      </c>
      <c r="H1146">
        <v>32336900</v>
      </c>
      <c r="I1146">
        <f t="shared" si="121"/>
        <v>0</v>
      </c>
      <c r="J1146">
        <f t="shared" si="122"/>
        <v>-1.62</v>
      </c>
      <c r="K1146" t="str">
        <f t="shared" si="123"/>
        <v>Negative</v>
      </c>
      <c r="L1146" s="10">
        <f t="shared" si="124"/>
        <v>-1.5543993326194681E-2</v>
      </c>
      <c r="M1146" t="str">
        <f t="shared" si="125"/>
        <v/>
      </c>
    </row>
    <row r="1147" spans="1:13" x14ac:dyDescent="0.2">
      <c r="A1147" s="21" t="s">
        <v>1174</v>
      </c>
      <c r="B1147" s="21" t="str">
        <f t="shared" si="119"/>
        <v>Thursday</v>
      </c>
      <c r="C1147" s="9">
        <f t="shared" si="120"/>
        <v>45008</v>
      </c>
      <c r="D1147">
        <v>105.889999</v>
      </c>
      <c r="E1147">
        <v>107.100998</v>
      </c>
      <c r="F1147">
        <v>105.410004</v>
      </c>
      <c r="G1147">
        <v>106.260002</v>
      </c>
      <c r="H1147">
        <v>31385800</v>
      </c>
      <c r="I1147">
        <f t="shared" si="121"/>
        <v>0</v>
      </c>
      <c r="J1147">
        <f t="shared" si="122"/>
        <v>2.04</v>
      </c>
      <c r="K1147" t="str">
        <f t="shared" si="123"/>
        <v>Positive</v>
      </c>
      <c r="L1147" s="10">
        <f t="shared" si="124"/>
        <v>1.9198202160771685E-2</v>
      </c>
      <c r="M1147" t="str">
        <f t="shared" si="125"/>
        <v/>
      </c>
    </row>
    <row r="1148" spans="1:13" x14ac:dyDescent="0.2">
      <c r="A1148" s="21" t="s">
        <v>1175</v>
      </c>
      <c r="B1148" s="21" t="str">
        <f t="shared" si="119"/>
        <v>Friday</v>
      </c>
      <c r="C1148" s="9">
        <f t="shared" si="120"/>
        <v>45009</v>
      </c>
      <c r="D1148">
        <v>105.739998</v>
      </c>
      <c r="E1148">
        <v>106.160004</v>
      </c>
      <c r="F1148">
        <v>104.739998</v>
      </c>
      <c r="G1148">
        <v>106.05999799999999</v>
      </c>
      <c r="H1148">
        <v>25236200</v>
      </c>
      <c r="I1148">
        <f t="shared" si="121"/>
        <v>0</v>
      </c>
      <c r="J1148">
        <f t="shared" si="122"/>
        <v>-0.2</v>
      </c>
      <c r="K1148" t="str">
        <f t="shared" si="123"/>
        <v>Negative</v>
      </c>
      <c r="L1148" s="10">
        <f t="shared" si="124"/>
        <v>-1.8857628113476579E-3</v>
      </c>
      <c r="M1148" t="str">
        <f t="shared" si="125"/>
        <v/>
      </c>
    </row>
    <row r="1149" spans="1:13" x14ac:dyDescent="0.2">
      <c r="A1149" s="21" t="s">
        <v>1176</v>
      </c>
      <c r="B1149" s="21" t="str">
        <f t="shared" si="119"/>
        <v>Monday</v>
      </c>
      <c r="C1149" s="9">
        <f t="shared" si="120"/>
        <v>45012</v>
      </c>
      <c r="D1149">
        <v>105.32</v>
      </c>
      <c r="E1149">
        <v>105.400002</v>
      </c>
      <c r="F1149">
        <v>102.629997</v>
      </c>
      <c r="G1149">
        <v>103.05999799999999</v>
      </c>
      <c r="H1149">
        <v>25393400</v>
      </c>
      <c r="I1149">
        <f t="shared" si="121"/>
        <v>0</v>
      </c>
      <c r="J1149">
        <f t="shared" si="122"/>
        <v>-3</v>
      </c>
      <c r="K1149" t="str">
        <f t="shared" si="123"/>
        <v>Negative</v>
      </c>
      <c r="L1149" s="10">
        <f t="shared" si="124"/>
        <v>-2.9109257308543711E-2</v>
      </c>
      <c r="M1149" t="str">
        <f t="shared" si="125"/>
        <v/>
      </c>
    </row>
    <row r="1150" spans="1:13" x14ac:dyDescent="0.2">
      <c r="A1150" s="21" t="s">
        <v>1177</v>
      </c>
      <c r="B1150" s="21" t="str">
        <f t="shared" si="119"/>
        <v>Tuesday</v>
      </c>
      <c r="C1150" s="9">
        <f t="shared" si="120"/>
        <v>45013</v>
      </c>
      <c r="D1150">
        <v>103</v>
      </c>
      <c r="E1150">
        <v>103</v>
      </c>
      <c r="F1150">
        <v>100.279999</v>
      </c>
      <c r="G1150">
        <v>101.360001</v>
      </c>
      <c r="H1150">
        <v>24913500</v>
      </c>
      <c r="I1150">
        <f t="shared" si="121"/>
        <v>0</v>
      </c>
      <c r="J1150">
        <f t="shared" si="122"/>
        <v>-1.7</v>
      </c>
      <c r="K1150" t="str">
        <f t="shared" si="123"/>
        <v>Negative</v>
      </c>
      <c r="L1150" s="10">
        <f t="shared" si="124"/>
        <v>-1.6771872368075414E-2</v>
      </c>
      <c r="M1150" t="str">
        <f t="shared" si="125"/>
        <v/>
      </c>
    </row>
    <row r="1151" spans="1:13" x14ac:dyDescent="0.2">
      <c r="A1151" s="21" t="s">
        <v>1178</v>
      </c>
      <c r="B1151" s="21" t="str">
        <f t="shared" si="119"/>
        <v>Wednesday</v>
      </c>
      <c r="C1151" s="9">
        <f t="shared" si="120"/>
        <v>45014</v>
      </c>
      <c r="D1151">
        <v>102.720001</v>
      </c>
      <c r="E1151">
        <v>102.82</v>
      </c>
      <c r="F1151">
        <v>101.029999</v>
      </c>
      <c r="G1151">
        <v>101.900002</v>
      </c>
      <c r="H1151">
        <v>26148300</v>
      </c>
      <c r="I1151">
        <f t="shared" si="121"/>
        <v>0</v>
      </c>
      <c r="J1151">
        <f t="shared" si="122"/>
        <v>0.54</v>
      </c>
      <c r="K1151" t="str">
        <f t="shared" si="123"/>
        <v>Positive</v>
      </c>
      <c r="L1151" s="10">
        <f t="shared" si="124"/>
        <v>5.2993227615442413E-3</v>
      </c>
      <c r="M1151" t="str">
        <f t="shared" si="125"/>
        <v/>
      </c>
    </row>
    <row r="1152" spans="1:13" x14ac:dyDescent="0.2">
      <c r="A1152" s="21" t="s">
        <v>1179</v>
      </c>
      <c r="B1152" s="21" t="str">
        <f t="shared" si="119"/>
        <v>Thursday</v>
      </c>
      <c r="C1152" s="9">
        <f t="shared" si="120"/>
        <v>45015</v>
      </c>
      <c r="D1152">
        <v>101.44000200000001</v>
      </c>
      <c r="E1152">
        <v>101.610001</v>
      </c>
      <c r="F1152">
        <v>100.290001</v>
      </c>
      <c r="G1152">
        <v>101.32</v>
      </c>
      <c r="H1152">
        <v>25009800</v>
      </c>
      <c r="I1152">
        <f t="shared" si="121"/>
        <v>0</v>
      </c>
      <c r="J1152">
        <f t="shared" si="122"/>
        <v>-0.57999999999999996</v>
      </c>
      <c r="K1152" t="str">
        <f t="shared" si="123"/>
        <v>Negative</v>
      </c>
      <c r="L1152" s="10">
        <f t="shared" si="124"/>
        <v>-5.7244571654165759E-3</v>
      </c>
      <c r="M1152" t="str">
        <f t="shared" si="125"/>
        <v/>
      </c>
    </row>
    <row r="1153" spans="1:13" x14ac:dyDescent="0.2">
      <c r="A1153" s="21" t="s">
        <v>1180</v>
      </c>
      <c r="B1153" s="21" t="str">
        <f t="shared" si="119"/>
        <v>Friday</v>
      </c>
      <c r="C1153" s="9">
        <f t="shared" si="120"/>
        <v>45016</v>
      </c>
      <c r="D1153">
        <v>101.709999</v>
      </c>
      <c r="E1153">
        <v>104.19000200000001</v>
      </c>
      <c r="F1153">
        <v>101.44000200000001</v>
      </c>
      <c r="G1153">
        <v>104</v>
      </c>
      <c r="H1153">
        <v>28108000</v>
      </c>
      <c r="I1153">
        <f t="shared" si="121"/>
        <v>0</v>
      </c>
      <c r="J1153">
        <f t="shared" si="122"/>
        <v>2.68</v>
      </c>
      <c r="K1153" t="str">
        <f t="shared" si="123"/>
        <v>Positive</v>
      </c>
      <c r="L1153" s="10">
        <f t="shared" si="124"/>
        <v>2.5769230769230836E-2</v>
      </c>
      <c r="M1153" t="str">
        <f t="shared" si="125"/>
        <v/>
      </c>
    </row>
    <row r="1154" spans="1:13" x14ac:dyDescent="0.2">
      <c r="A1154" s="21" t="s">
        <v>1181</v>
      </c>
      <c r="B1154" s="21" t="str">
        <f t="shared" si="119"/>
        <v>Monday</v>
      </c>
      <c r="C1154" s="9">
        <f t="shared" si="120"/>
        <v>45019</v>
      </c>
      <c r="D1154">
        <v>102.66999800000001</v>
      </c>
      <c r="E1154">
        <v>104.949997</v>
      </c>
      <c r="F1154">
        <v>102.379997</v>
      </c>
      <c r="G1154">
        <v>104.910004</v>
      </c>
      <c r="H1154">
        <v>20719900</v>
      </c>
      <c r="I1154">
        <f t="shared" si="121"/>
        <v>0</v>
      </c>
      <c r="J1154">
        <f t="shared" si="122"/>
        <v>0.91</v>
      </c>
      <c r="K1154" t="str">
        <f t="shared" si="123"/>
        <v>Positive</v>
      </c>
      <c r="L1154" s="10">
        <f t="shared" si="124"/>
        <v>8.6741394080968749E-3</v>
      </c>
      <c r="M1154" t="str">
        <f t="shared" si="125"/>
        <v/>
      </c>
    </row>
    <row r="1155" spans="1:13" x14ac:dyDescent="0.2">
      <c r="A1155" s="21" t="s">
        <v>1182</v>
      </c>
      <c r="B1155" s="21" t="str">
        <f t="shared" ref="B1155:B1218" si="126">LEFT(A1155,SEARCH(",",A1155)-1)</f>
        <v>Tuesday</v>
      </c>
      <c r="C1155" s="9">
        <f t="shared" ref="C1155:C1218" si="127">DATEVALUE(RIGHT(A1155,LEN(A1155) - SEARCH(",",A1155)))</f>
        <v>45020</v>
      </c>
      <c r="D1155">
        <v>104.839996</v>
      </c>
      <c r="E1155">
        <v>106.099998</v>
      </c>
      <c r="F1155">
        <v>104.599998</v>
      </c>
      <c r="G1155">
        <v>105.120003</v>
      </c>
      <c r="H1155">
        <v>20377200</v>
      </c>
      <c r="I1155">
        <f t="shared" ref="I1155:I1218" si="128">COUNTBLANK(A1155:H1155)</f>
        <v>0</v>
      </c>
      <c r="J1155">
        <f t="shared" ref="J1155:J1218" si="129">ROUND(IF(ISNUMBER(G1154),G1155-G1154,0),2)</f>
        <v>0.21</v>
      </c>
      <c r="K1155" t="str">
        <f t="shared" ref="K1155:K1218" si="130">IF(J1155=0,"Neutral",IF(J1155&gt;0,"Positive","Negative"))</f>
        <v>Positive</v>
      </c>
      <c r="L1155" s="10">
        <f t="shared" ref="L1155:L1218" si="131">IF(ISNUMBER(G1154),((G1155-G1154)/G1155),0)</f>
        <v>1.9977073250273432E-3</v>
      </c>
      <c r="M1155" t="str">
        <f t="shared" ref="M1155:M1218" si="132">IF(L1155&gt;0.05,L1155,"")</f>
        <v/>
      </c>
    </row>
    <row r="1156" spans="1:13" x14ac:dyDescent="0.2">
      <c r="A1156" s="21" t="s">
        <v>1183</v>
      </c>
      <c r="B1156" s="21" t="str">
        <f t="shared" si="126"/>
        <v>Wednesday</v>
      </c>
      <c r="C1156" s="9">
        <f t="shared" si="127"/>
        <v>45021</v>
      </c>
      <c r="D1156">
        <v>106.120003</v>
      </c>
      <c r="E1156">
        <v>106.540001</v>
      </c>
      <c r="F1156">
        <v>104.101997</v>
      </c>
      <c r="G1156">
        <v>104.949997</v>
      </c>
      <c r="H1156">
        <v>21864200</v>
      </c>
      <c r="I1156">
        <f t="shared" si="128"/>
        <v>0</v>
      </c>
      <c r="J1156">
        <f t="shared" si="129"/>
        <v>-0.17</v>
      </c>
      <c r="K1156" t="str">
        <f t="shared" si="130"/>
        <v>Negative</v>
      </c>
      <c r="L1156" s="10">
        <f t="shared" si="131"/>
        <v>-1.6198761777954198E-3</v>
      </c>
      <c r="M1156" t="str">
        <f t="shared" si="132"/>
        <v/>
      </c>
    </row>
    <row r="1157" spans="1:13" x14ac:dyDescent="0.2">
      <c r="A1157" s="21" t="s">
        <v>1184</v>
      </c>
      <c r="B1157" s="21" t="str">
        <f t="shared" si="126"/>
        <v>Thursday</v>
      </c>
      <c r="C1157" s="9">
        <f t="shared" si="127"/>
        <v>45022</v>
      </c>
      <c r="D1157">
        <v>105.769997</v>
      </c>
      <c r="E1157">
        <v>109.629997</v>
      </c>
      <c r="F1157">
        <v>104.81500200000001</v>
      </c>
      <c r="G1157">
        <v>108.900002</v>
      </c>
      <c r="H1157">
        <v>34684200</v>
      </c>
      <c r="I1157">
        <f t="shared" si="128"/>
        <v>0</v>
      </c>
      <c r="J1157">
        <f t="shared" si="129"/>
        <v>3.95</v>
      </c>
      <c r="K1157" t="str">
        <f t="shared" si="130"/>
        <v>Positive</v>
      </c>
      <c r="L1157" s="10">
        <f t="shared" si="131"/>
        <v>3.6271854246614291E-2</v>
      </c>
      <c r="M1157" t="str">
        <f t="shared" si="132"/>
        <v/>
      </c>
    </row>
    <row r="1158" spans="1:13" x14ac:dyDescent="0.2">
      <c r="A1158" s="21" t="s">
        <v>1185</v>
      </c>
      <c r="B1158" s="21" t="str">
        <f t="shared" si="126"/>
        <v>Monday</v>
      </c>
      <c r="C1158" s="9">
        <f t="shared" si="127"/>
        <v>45026</v>
      </c>
      <c r="D1158">
        <v>107.389999</v>
      </c>
      <c r="E1158">
        <v>107.970001</v>
      </c>
      <c r="F1158">
        <v>105.599998</v>
      </c>
      <c r="G1158">
        <v>106.949997</v>
      </c>
      <c r="H1158">
        <v>19741500</v>
      </c>
      <c r="I1158">
        <f t="shared" si="128"/>
        <v>0</v>
      </c>
      <c r="J1158">
        <f t="shared" si="129"/>
        <v>-1.95</v>
      </c>
      <c r="K1158" t="str">
        <f t="shared" si="130"/>
        <v>Negative</v>
      </c>
      <c r="L1158" s="10">
        <f t="shared" si="131"/>
        <v>-1.8232866336592834E-2</v>
      </c>
      <c r="M1158" t="str">
        <f t="shared" si="132"/>
        <v/>
      </c>
    </row>
    <row r="1159" spans="1:13" x14ac:dyDescent="0.2">
      <c r="A1159" s="21" t="s">
        <v>1186</v>
      </c>
      <c r="B1159" s="21" t="str">
        <f t="shared" si="126"/>
        <v>Tuesday</v>
      </c>
      <c r="C1159" s="9">
        <f t="shared" si="127"/>
        <v>45027</v>
      </c>
      <c r="D1159">
        <v>106.91999800000001</v>
      </c>
      <c r="E1159">
        <v>107.220001</v>
      </c>
      <c r="F1159">
        <v>105.279999</v>
      </c>
      <c r="G1159">
        <v>106.120003</v>
      </c>
      <c r="H1159">
        <v>18721300</v>
      </c>
      <c r="I1159">
        <f t="shared" si="128"/>
        <v>0</v>
      </c>
      <c r="J1159">
        <f t="shared" si="129"/>
        <v>-0.83</v>
      </c>
      <c r="K1159" t="str">
        <f t="shared" si="130"/>
        <v>Negative</v>
      </c>
      <c r="L1159" s="10">
        <f t="shared" si="131"/>
        <v>-7.821277577611821E-3</v>
      </c>
      <c r="M1159" t="str">
        <f t="shared" si="132"/>
        <v/>
      </c>
    </row>
    <row r="1160" spans="1:13" x14ac:dyDescent="0.2">
      <c r="A1160" s="21" t="s">
        <v>1187</v>
      </c>
      <c r="B1160" s="21" t="str">
        <f t="shared" si="126"/>
        <v>Wednesday</v>
      </c>
      <c r="C1160" s="9">
        <f t="shared" si="127"/>
        <v>45028</v>
      </c>
      <c r="D1160">
        <v>107.389999</v>
      </c>
      <c r="E1160">
        <v>107.58699799999999</v>
      </c>
      <c r="F1160">
        <v>104.970001</v>
      </c>
      <c r="G1160">
        <v>105.220001</v>
      </c>
      <c r="H1160">
        <v>22761600</v>
      </c>
      <c r="I1160">
        <f t="shared" si="128"/>
        <v>0</v>
      </c>
      <c r="J1160">
        <f t="shared" si="129"/>
        <v>-0.9</v>
      </c>
      <c r="K1160" t="str">
        <f t="shared" si="130"/>
        <v>Negative</v>
      </c>
      <c r="L1160" s="10">
        <f t="shared" si="131"/>
        <v>-8.5535258643458928E-3</v>
      </c>
      <c r="M1160" t="str">
        <f t="shared" si="132"/>
        <v/>
      </c>
    </row>
    <row r="1161" spans="1:13" x14ac:dyDescent="0.2">
      <c r="A1161" s="21" t="s">
        <v>1188</v>
      </c>
      <c r="B1161" s="21" t="str">
        <f t="shared" si="126"/>
        <v>Thursday</v>
      </c>
      <c r="C1161" s="9">
        <f t="shared" si="127"/>
        <v>45029</v>
      </c>
      <c r="D1161">
        <v>106.470001</v>
      </c>
      <c r="E1161">
        <v>108.264999</v>
      </c>
      <c r="F1161">
        <v>106.44000200000001</v>
      </c>
      <c r="G1161">
        <v>108.19000200000001</v>
      </c>
      <c r="H1161">
        <v>21650700</v>
      </c>
      <c r="I1161">
        <f t="shared" si="128"/>
        <v>0</v>
      </c>
      <c r="J1161">
        <f t="shared" si="129"/>
        <v>2.97</v>
      </c>
      <c r="K1161" t="str">
        <f t="shared" si="130"/>
        <v>Positive</v>
      </c>
      <c r="L1161" s="10">
        <f t="shared" si="131"/>
        <v>2.7451714068736317E-2</v>
      </c>
      <c r="M1161" t="str">
        <f t="shared" si="132"/>
        <v/>
      </c>
    </row>
    <row r="1162" spans="1:13" x14ac:dyDescent="0.2">
      <c r="A1162" s="21" t="s">
        <v>1189</v>
      </c>
      <c r="B1162" s="21" t="str">
        <f t="shared" si="126"/>
        <v>Friday</v>
      </c>
      <c r="C1162" s="9">
        <f t="shared" si="127"/>
        <v>45030</v>
      </c>
      <c r="D1162">
        <v>107.69000200000001</v>
      </c>
      <c r="E1162">
        <v>109.58000199999999</v>
      </c>
      <c r="F1162">
        <v>107.589996</v>
      </c>
      <c r="G1162">
        <v>109.459999</v>
      </c>
      <c r="H1162">
        <v>20758700</v>
      </c>
      <c r="I1162">
        <f t="shared" si="128"/>
        <v>0</v>
      </c>
      <c r="J1162">
        <f t="shared" si="129"/>
        <v>1.27</v>
      </c>
      <c r="K1162" t="str">
        <f t="shared" si="130"/>
        <v>Positive</v>
      </c>
      <c r="L1162" s="10">
        <f t="shared" si="131"/>
        <v>1.1602384538665942E-2</v>
      </c>
      <c r="M1162" t="str">
        <f t="shared" si="132"/>
        <v/>
      </c>
    </row>
    <row r="1163" spans="1:13" x14ac:dyDescent="0.2">
      <c r="A1163" s="21" t="s">
        <v>1190</v>
      </c>
      <c r="B1163" s="21" t="str">
        <f t="shared" si="126"/>
        <v>Monday</v>
      </c>
      <c r="C1163" s="9">
        <f t="shared" si="127"/>
        <v>45033</v>
      </c>
      <c r="D1163">
        <v>105.43</v>
      </c>
      <c r="E1163">
        <v>106.709999</v>
      </c>
      <c r="F1163">
        <v>105.32</v>
      </c>
      <c r="G1163">
        <v>106.41999800000001</v>
      </c>
      <c r="H1163">
        <v>29043400</v>
      </c>
      <c r="I1163">
        <f t="shared" si="128"/>
        <v>0</v>
      </c>
      <c r="J1163">
        <f t="shared" si="129"/>
        <v>-3.04</v>
      </c>
      <c r="K1163" t="str">
        <f t="shared" si="130"/>
        <v>Negative</v>
      </c>
      <c r="L1163" s="10">
        <f t="shared" si="131"/>
        <v>-2.8566068945049119E-2</v>
      </c>
      <c r="M1163" t="str">
        <f t="shared" si="132"/>
        <v/>
      </c>
    </row>
    <row r="1164" spans="1:13" x14ac:dyDescent="0.2">
      <c r="A1164" s="21" t="s">
        <v>1191</v>
      </c>
      <c r="B1164" s="21" t="str">
        <f t="shared" si="126"/>
        <v>Tuesday</v>
      </c>
      <c r="C1164" s="9">
        <f t="shared" si="127"/>
        <v>45034</v>
      </c>
      <c r="D1164">
        <v>107</v>
      </c>
      <c r="E1164">
        <v>107.050003</v>
      </c>
      <c r="F1164">
        <v>104.779999</v>
      </c>
      <c r="G1164">
        <v>105.120003</v>
      </c>
      <c r="H1164">
        <v>17641400</v>
      </c>
      <c r="I1164">
        <f t="shared" si="128"/>
        <v>0</v>
      </c>
      <c r="J1164">
        <f t="shared" si="129"/>
        <v>-1.3</v>
      </c>
      <c r="K1164" t="str">
        <f t="shared" si="130"/>
        <v>Negative</v>
      </c>
      <c r="L1164" s="10">
        <f t="shared" si="131"/>
        <v>-1.2366770956047345E-2</v>
      </c>
      <c r="M1164" t="str">
        <f t="shared" si="132"/>
        <v/>
      </c>
    </row>
    <row r="1165" spans="1:13" x14ac:dyDescent="0.2">
      <c r="A1165" s="21" t="s">
        <v>1192</v>
      </c>
      <c r="B1165" s="21" t="str">
        <f t="shared" si="126"/>
        <v>Wednesday</v>
      </c>
      <c r="C1165" s="9">
        <f t="shared" si="127"/>
        <v>45035</v>
      </c>
      <c r="D1165">
        <v>104.214996</v>
      </c>
      <c r="E1165">
        <v>105.724998</v>
      </c>
      <c r="F1165">
        <v>103.800003</v>
      </c>
      <c r="G1165">
        <v>105.019997</v>
      </c>
      <c r="H1165">
        <v>16732000</v>
      </c>
      <c r="I1165">
        <f t="shared" si="128"/>
        <v>0</v>
      </c>
      <c r="J1165">
        <f t="shared" si="129"/>
        <v>-0.1</v>
      </c>
      <c r="K1165" t="str">
        <f t="shared" si="130"/>
        <v>Negative</v>
      </c>
      <c r="L1165" s="10">
        <f t="shared" si="131"/>
        <v>-9.5225674020913721E-4</v>
      </c>
      <c r="M1165" t="str">
        <f t="shared" si="132"/>
        <v/>
      </c>
    </row>
    <row r="1166" spans="1:13" x14ac:dyDescent="0.2">
      <c r="A1166" s="21" t="s">
        <v>1193</v>
      </c>
      <c r="B1166" s="21" t="str">
        <f t="shared" si="126"/>
        <v>Thursday</v>
      </c>
      <c r="C1166" s="9">
        <f t="shared" si="127"/>
        <v>45036</v>
      </c>
      <c r="D1166">
        <v>104.650002</v>
      </c>
      <c r="E1166">
        <v>106.88800000000001</v>
      </c>
      <c r="F1166">
        <v>104.639999</v>
      </c>
      <c r="G1166">
        <v>105.900002</v>
      </c>
      <c r="H1166">
        <v>22515300</v>
      </c>
      <c r="I1166">
        <f t="shared" si="128"/>
        <v>0</v>
      </c>
      <c r="J1166">
        <f t="shared" si="129"/>
        <v>0.88</v>
      </c>
      <c r="K1166" t="str">
        <f t="shared" si="130"/>
        <v>Positive</v>
      </c>
      <c r="L1166" s="10">
        <f t="shared" si="131"/>
        <v>8.3097732141685608E-3</v>
      </c>
      <c r="M1166" t="str">
        <f t="shared" si="132"/>
        <v/>
      </c>
    </row>
    <row r="1167" spans="1:13" x14ac:dyDescent="0.2">
      <c r="A1167" s="21" t="s">
        <v>1194</v>
      </c>
      <c r="B1167" s="21" t="str">
        <f t="shared" si="126"/>
        <v>Friday</v>
      </c>
      <c r="C1167" s="9">
        <f t="shared" si="127"/>
        <v>45037</v>
      </c>
      <c r="D1167">
        <v>106.089996</v>
      </c>
      <c r="E1167">
        <v>106.639999</v>
      </c>
      <c r="F1167">
        <v>105.485001</v>
      </c>
      <c r="G1167">
        <v>105.910004</v>
      </c>
      <c r="H1167">
        <v>22379000</v>
      </c>
      <c r="I1167">
        <f t="shared" si="128"/>
        <v>0</v>
      </c>
      <c r="J1167">
        <f t="shared" si="129"/>
        <v>0.01</v>
      </c>
      <c r="K1167" t="str">
        <f t="shared" si="130"/>
        <v>Positive</v>
      </c>
      <c r="L1167" s="10">
        <f t="shared" si="131"/>
        <v>9.4438670779391782E-5</v>
      </c>
      <c r="M1167" t="str">
        <f t="shared" si="132"/>
        <v/>
      </c>
    </row>
    <row r="1168" spans="1:13" x14ac:dyDescent="0.2">
      <c r="A1168" s="21" t="s">
        <v>1195</v>
      </c>
      <c r="B1168" s="21" t="str">
        <f t="shared" si="126"/>
        <v>Monday</v>
      </c>
      <c r="C1168" s="9">
        <f t="shared" si="127"/>
        <v>45040</v>
      </c>
      <c r="D1168">
        <v>106.050003</v>
      </c>
      <c r="E1168">
        <v>107.32</v>
      </c>
      <c r="F1168">
        <v>105.360001</v>
      </c>
      <c r="G1168">
        <v>106.779999</v>
      </c>
      <c r="H1168">
        <v>21410900</v>
      </c>
      <c r="I1168">
        <f t="shared" si="128"/>
        <v>0</v>
      </c>
      <c r="J1168">
        <f t="shared" si="129"/>
        <v>0.87</v>
      </c>
      <c r="K1168" t="str">
        <f t="shared" si="130"/>
        <v>Positive</v>
      </c>
      <c r="L1168" s="10">
        <f t="shared" si="131"/>
        <v>8.1475464332978961E-3</v>
      </c>
      <c r="M1168" t="str">
        <f t="shared" si="132"/>
        <v/>
      </c>
    </row>
    <row r="1169" spans="1:13" x14ac:dyDescent="0.2">
      <c r="A1169" s="21" t="s">
        <v>1196</v>
      </c>
      <c r="B1169" s="21" t="str">
        <f t="shared" si="126"/>
        <v>Tuesday</v>
      </c>
      <c r="C1169" s="9">
        <f t="shared" si="127"/>
        <v>45041</v>
      </c>
      <c r="D1169">
        <v>106.610001</v>
      </c>
      <c r="E1169">
        <v>107.44000200000001</v>
      </c>
      <c r="F1169">
        <v>104.55999799999999</v>
      </c>
      <c r="G1169">
        <v>104.610001</v>
      </c>
      <c r="H1169">
        <v>31408100</v>
      </c>
      <c r="I1169">
        <f t="shared" si="128"/>
        <v>0</v>
      </c>
      <c r="J1169">
        <f t="shared" si="129"/>
        <v>-2.17</v>
      </c>
      <c r="K1169" t="str">
        <f t="shared" si="130"/>
        <v>Negative</v>
      </c>
      <c r="L1169" s="10">
        <f t="shared" si="131"/>
        <v>-2.0743695433097328E-2</v>
      </c>
      <c r="M1169" t="str">
        <f t="shared" si="132"/>
        <v/>
      </c>
    </row>
    <row r="1170" spans="1:13" x14ac:dyDescent="0.2">
      <c r="A1170" s="21" t="s">
        <v>1197</v>
      </c>
      <c r="B1170" s="21" t="str">
        <f t="shared" si="126"/>
        <v>Wednesday</v>
      </c>
      <c r="C1170" s="9">
        <f t="shared" si="127"/>
        <v>45042</v>
      </c>
      <c r="D1170">
        <v>105.55999799999999</v>
      </c>
      <c r="E1170">
        <v>107.019997</v>
      </c>
      <c r="F1170">
        <v>103.269997</v>
      </c>
      <c r="G1170">
        <v>104.449997</v>
      </c>
      <c r="H1170">
        <v>37068200</v>
      </c>
      <c r="I1170">
        <f t="shared" si="128"/>
        <v>0</v>
      </c>
      <c r="J1170">
        <f t="shared" si="129"/>
        <v>-0.16</v>
      </c>
      <c r="K1170" t="str">
        <f t="shared" si="130"/>
        <v>Negative</v>
      </c>
      <c r="L1170" s="10">
        <f t="shared" si="131"/>
        <v>-1.5318717529498895E-3</v>
      </c>
      <c r="M1170" t="str">
        <f t="shared" si="132"/>
        <v/>
      </c>
    </row>
    <row r="1171" spans="1:13" x14ac:dyDescent="0.2">
      <c r="A1171" s="21" t="s">
        <v>1198</v>
      </c>
      <c r="B1171" s="21" t="str">
        <f t="shared" si="126"/>
        <v>Thursday</v>
      </c>
      <c r="C1171" s="9">
        <f t="shared" si="127"/>
        <v>45043</v>
      </c>
      <c r="D1171">
        <v>105.230003</v>
      </c>
      <c r="E1171">
        <v>109.150002</v>
      </c>
      <c r="F1171">
        <v>104.41999800000001</v>
      </c>
      <c r="G1171">
        <v>108.370003</v>
      </c>
      <c r="H1171">
        <v>38235200</v>
      </c>
      <c r="I1171">
        <f t="shared" si="128"/>
        <v>0</v>
      </c>
      <c r="J1171">
        <f t="shared" si="129"/>
        <v>3.92</v>
      </c>
      <c r="K1171" t="str">
        <f t="shared" si="130"/>
        <v>Positive</v>
      </c>
      <c r="L1171" s="10">
        <f t="shared" si="131"/>
        <v>3.6172426792310794E-2</v>
      </c>
      <c r="M1171" t="str">
        <f t="shared" si="132"/>
        <v/>
      </c>
    </row>
    <row r="1172" spans="1:13" x14ac:dyDescent="0.2">
      <c r="A1172" s="21" t="s">
        <v>1199</v>
      </c>
      <c r="B1172" s="21" t="str">
        <f t="shared" si="126"/>
        <v>Friday</v>
      </c>
      <c r="C1172" s="9">
        <f t="shared" si="127"/>
        <v>45044</v>
      </c>
      <c r="D1172">
        <v>107.800003</v>
      </c>
      <c r="E1172">
        <v>108.290001</v>
      </c>
      <c r="F1172">
        <v>106.040001</v>
      </c>
      <c r="G1172">
        <v>108.220001</v>
      </c>
      <c r="H1172">
        <v>23957900</v>
      </c>
      <c r="I1172">
        <f t="shared" si="128"/>
        <v>0</v>
      </c>
      <c r="J1172">
        <f t="shared" si="129"/>
        <v>-0.15</v>
      </c>
      <c r="K1172" t="str">
        <f t="shared" si="130"/>
        <v>Negative</v>
      </c>
      <c r="L1172" s="10">
        <f t="shared" si="131"/>
        <v>-1.3860838903522153E-3</v>
      </c>
      <c r="M1172" t="str">
        <f t="shared" si="132"/>
        <v/>
      </c>
    </row>
    <row r="1173" spans="1:13" x14ac:dyDescent="0.2">
      <c r="A1173" s="21" t="s">
        <v>1200</v>
      </c>
      <c r="B1173" s="21" t="str">
        <f t="shared" si="126"/>
        <v>Monday</v>
      </c>
      <c r="C1173" s="9">
        <f t="shared" si="127"/>
        <v>45047</v>
      </c>
      <c r="D1173">
        <v>107.720001</v>
      </c>
      <c r="E1173">
        <v>108.68</v>
      </c>
      <c r="F1173">
        <v>107.5</v>
      </c>
      <c r="G1173">
        <v>107.709999</v>
      </c>
      <c r="H1173">
        <v>20926300</v>
      </c>
      <c r="I1173">
        <f t="shared" si="128"/>
        <v>0</v>
      </c>
      <c r="J1173">
        <f t="shared" si="129"/>
        <v>-0.51</v>
      </c>
      <c r="K1173" t="str">
        <f t="shared" si="130"/>
        <v>Negative</v>
      </c>
      <c r="L1173" s="10">
        <f t="shared" si="131"/>
        <v>-4.7349550156434413E-3</v>
      </c>
      <c r="M1173" t="str">
        <f t="shared" si="132"/>
        <v/>
      </c>
    </row>
    <row r="1174" spans="1:13" x14ac:dyDescent="0.2">
      <c r="A1174" s="21" t="s">
        <v>1201</v>
      </c>
      <c r="B1174" s="21" t="str">
        <f t="shared" si="126"/>
        <v>Tuesday</v>
      </c>
      <c r="C1174" s="9">
        <f t="shared" si="127"/>
        <v>45048</v>
      </c>
      <c r="D1174">
        <v>107.660004</v>
      </c>
      <c r="E1174">
        <v>107.730003</v>
      </c>
      <c r="F1174">
        <v>104.5</v>
      </c>
      <c r="G1174">
        <v>105.980003</v>
      </c>
      <c r="H1174">
        <v>20343100</v>
      </c>
      <c r="I1174">
        <f t="shared" si="128"/>
        <v>0</v>
      </c>
      <c r="J1174">
        <f t="shared" si="129"/>
        <v>-1.73</v>
      </c>
      <c r="K1174" t="str">
        <f t="shared" si="130"/>
        <v>Negative</v>
      </c>
      <c r="L1174" s="10">
        <f t="shared" si="131"/>
        <v>-1.6323796480737975E-2</v>
      </c>
      <c r="M1174" t="str">
        <f t="shared" si="132"/>
        <v/>
      </c>
    </row>
    <row r="1175" spans="1:13" x14ac:dyDescent="0.2">
      <c r="A1175" s="21" t="s">
        <v>1202</v>
      </c>
      <c r="B1175" s="21" t="str">
        <f t="shared" si="126"/>
        <v>Wednesday</v>
      </c>
      <c r="C1175" s="9">
        <f t="shared" si="127"/>
        <v>45049</v>
      </c>
      <c r="D1175">
        <v>106.220001</v>
      </c>
      <c r="E1175">
        <v>108.129997</v>
      </c>
      <c r="F1175">
        <v>105.620003</v>
      </c>
      <c r="G1175">
        <v>106.120003</v>
      </c>
      <c r="H1175">
        <v>17116300</v>
      </c>
      <c r="I1175">
        <f t="shared" si="128"/>
        <v>0</v>
      </c>
      <c r="J1175">
        <f t="shared" si="129"/>
        <v>0.14000000000000001</v>
      </c>
      <c r="K1175" t="str">
        <f t="shared" si="130"/>
        <v>Positive</v>
      </c>
      <c r="L1175" s="10">
        <f t="shared" si="131"/>
        <v>1.3192611764249627E-3</v>
      </c>
      <c r="M1175" t="str">
        <f t="shared" si="132"/>
        <v/>
      </c>
    </row>
    <row r="1176" spans="1:13" x14ac:dyDescent="0.2">
      <c r="A1176" s="21" t="s">
        <v>1203</v>
      </c>
      <c r="B1176" s="21" t="str">
        <f t="shared" si="126"/>
        <v>Thursday</v>
      </c>
      <c r="C1176" s="9">
        <f t="shared" si="127"/>
        <v>45050</v>
      </c>
      <c r="D1176">
        <v>106.160004</v>
      </c>
      <c r="E1176">
        <v>106.300003</v>
      </c>
      <c r="F1176">
        <v>104.699997</v>
      </c>
      <c r="G1176">
        <v>105.209999</v>
      </c>
      <c r="H1176">
        <v>19780600</v>
      </c>
      <c r="I1176">
        <f t="shared" si="128"/>
        <v>0</v>
      </c>
      <c r="J1176">
        <f t="shared" si="129"/>
        <v>-0.91</v>
      </c>
      <c r="K1176" t="str">
        <f t="shared" si="130"/>
        <v>Negative</v>
      </c>
      <c r="L1176" s="10">
        <f t="shared" si="131"/>
        <v>-8.649406032215633E-3</v>
      </c>
      <c r="M1176" t="str">
        <f t="shared" si="132"/>
        <v/>
      </c>
    </row>
    <row r="1177" spans="1:13" x14ac:dyDescent="0.2">
      <c r="A1177" s="21" t="s">
        <v>1204</v>
      </c>
      <c r="B1177" s="21" t="str">
        <f t="shared" si="126"/>
        <v>Friday</v>
      </c>
      <c r="C1177" s="9">
        <f t="shared" si="127"/>
        <v>45051</v>
      </c>
      <c r="D1177">
        <v>105.32</v>
      </c>
      <c r="E1177">
        <v>106.44000200000001</v>
      </c>
      <c r="F1177">
        <v>104.738998</v>
      </c>
      <c r="G1177">
        <v>106.214996</v>
      </c>
      <c r="H1177">
        <v>20705300</v>
      </c>
      <c r="I1177">
        <f t="shared" si="128"/>
        <v>0</v>
      </c>
      <c r="J1177">
        <f t="shared" si="129"/>
        <v>1</v>
      </c>
      <c r="K1177" t="str">
        <f t="shared" si="130"/>
        <v>Positive</v>
      </c>
      <c r="L1177" s="10">
        <f t="shared" si="131"/>
        <v>9.4619125156301196E-3</v>
      </c>
      <c r="M1177" t="str">
        <f t="shared" si="132"/>
        <v/>
      </c>
    </row>
    <row r="1178" spans="1:13" x14ac:dyDescent="0.2">
      <c r="A1178" s="21" t="s">
        <v>1205</v>
      </c>
      <c r="B1178" s="21" t="str">
        <f t="shared" si="126"/>
        <v>Monday</v>
      </c>
      <c r="C1178" s="9">
        <f t="shared" si="127"/>
        <v>45054</v>
      </c>
      <c r="D1178">
        <v>105.79499800000001</v>
      </c>
      <c r="E1178">
        <v>108.41999800000001</v>
      </c>
      <c r="F1178">
        <v>105.790001</v>
      </c>
      <c r="G1178">
        <v>108.239998</v>
      </c>
      <c r="H1178">
        <v>17266000</v>
      </c>
      <c r="I1178">
        <f t="shared" si="128"/>
        <v>0</v>
      </c>
      <c r="J1178">
        <f t="shared" si="129"/>
        <v>2.0299999999999998</v>
      </c>
      <c r="K1178" t="str">
        <f t="shared" si="130"/>
        <v>Positive</v>
      </c>
      <c r="L1178" s="10">
        <f t="shared" si="131"/>
        <v>1.8708444543762838E-2</v>
      </c>
      <c r="M1178" t="str">
        <f t="shared" si="132"/>
        <v/>
      </c>
    </row>
    <row r="1179" spans="1:13" x14ac:dyDescent="0.2">
      <c r="A1179" s="21" t="s">
        <v>1206</v>
      </c>
      <c r="B1179" s="21" t="str">
        <f t="shared" si="126"/>
        <v>Tuesday</v>
      </c>
      <c r="C1179" s="9">
        <f t="shared" si="127"/>
        <v>45055</v>
      </c>
      <c r="D1179">
        <v>108.779999</v>
      </c>
      <c r="E1179">
        <v>110.595001</v>
      </c>
      <c r="F1179">
        <v>107.724998</v>
      </c>
      <c r="G1179">
        <v>107.94000200000001</v>
      </c>
      <c r="H1179">
        <v>24782400</v>
      </c>
      <c r="I1179">
        <f t="shared" si="128"/>
        <v>0</v>
      </c>
      <c r="J1179">
        <f t="shared" si="129"/>
        <v>-0.3</v>
      </c>
      <c r="K1179" t="str">
        <f t="shared" si="130"/>
        <v>Negative</v>
      </c>
      <c r="L1179" s="10">
        <f t="shared" si="131"/>
        <v>-2.7792847363481894E-3</v>
      </c>
      <c r="M1179" t="str">
        <f t="shared" si="132"/>
        <v/>
      </c>
    </row>
    <row r="1180" spans="1:13" x14ac:dyDescent="0.2">
      <c r="A1180" s="21" t="s">
        <v>1207</v>
      </c>
      <c r="B1180" s="21" t="str">
        <f t="shared" si="126"/>
        <v>Wednesday</v>
      </c>
      <c r="C1180" s="9">
        <f t="shared" si="127"/>
        <v>45056</v>
      </c>
      <c r="D1180">
        <v>108.550003</v>
      </c>
      <c r="E1180">
        <v>113.510002</v>
      </c>
      <c r="F1180">
        <v>108.480003</v>
      </c>
      <c r="G1180">
        <v>112.279999</v>
      </c>
      <c r="H1180">
        <v>47533500</v>
      </c>
      <c r="I1180">
        <f t="shared" si="128"/>
        <v>0</v>
      </c>
      <c r="J1180">
        <f t="shared" si="129"/>
        <v>4.34</v>
      </c>
      <c r="K1180" t="str">
        <f t="shared" si="130"/>
        <v>Positive</v>
      </c>
      <c r="L1180" s="10">
        <f t="shared" si="131"/>
        <v>3.8653340208882586E-2</v>
      </c>
      <c r="M1180" t="str">
        <f t="shared" si="132"/>
        <v/>
      </c>
    </row>
    <row r="1181" spans="1:13" x14ac:dyDescent="0.2">
      <c r="A1181" s="21" t="s">
        <v>1208</v>
      </c>
      <c r="B1181" s="21" t="str">
        <f t="shared" si="126"/>
        <v>Thursday</v>
      </c>
      <c r="C1181" s="9">
        <f t="shared" si="127"/>
        <v>45057</v>
      </c>
      <c r="D1181">
        <v>115.860001</v>
      </c>
      <c r="E1181">
        <v>118.44000200000001</v>
      </c>
      <c r="F1181">
        <v>114.93</v>
      </c>
      <c r="G1181">
        <v>116.900002</v>
      </c>
      <c r="H1181">
        <v>57115100</v>
      </c>
      <c r="I1181">
        <f t="shared" si="128"/>
        <v>0</v>
      </c>
      <c r="J1181">
        <f t="shared" si="129"/>
        <v>4.62</v>
      </c>
      <c r="K1181" t="str">
        <f t="shared" si="130"/>
        <v>Positive</v>
      </c>
      <c r="L1181" s="10">
        <f t="shared" si="131"/>
        <v>3.9520983070641835E-2</v>
      </c>
      <c r="M1181" t="str">
        <f t="shared" si="132"/>
        <v/>
      </c>
    </row>
    <row r="1182" spans="1:13" x14ac:dyDescent="0.2">
      <c r="A1182" s="21" t="s">
        <v>1209</v>
      </c>
      <c r="B1182" s="21" t="str">
        <f t="shared" si="126"/>
        <v>Friday</v>
      </c>
      <c r="C1182" s="9">
        <f t="shared" si="127"/>
        <v>45058</v>
      </c>
      <c r="D1182">
        <v>117</v>
      </c>
      <c r="E1182">
        <v>118.260002</v>
      </c>
      <c r="F1182">
        <v>116.550003</v>
      </c>
      <c r="G1182">
        <v>117.91999800000001</v>
      </c>
      <c r="H1182">
        <v>31272500</v>
      </c>
      <c r="I1182">
        <f t="shared" si="128"/>
        <v>0</v>
      </c>
      <c r="J1182">
        <f t="shared" si="129"/>
        <v>1.02</v>
      </c>
      <c r="K1182" t="str">
        <f t="shared" si="130"/>
        <v>Positive</v>
      </c>
      <c r="L1182" s="10">
        <f t="shared" si="131"/>
        <v>8.6498983828002269E-3</v>
      </c>
      <c r="M1182" t="str">
        <f t="shared" si="132"/>
        <v/>
      </c>
    </row>
    <row r="1183" spans="1:13" x14ac:dyDescent="0.2">
      <c r="A1183" s="21" t="s">
        <v>1210</v>
      </c>
      <c r="B1183" s="21" t="str">
        <f t="shared" si="126"/>
        <v>Monday</v>
      </c>
      <c r="C1183" s="9">
        <f t="shared" si="127"/>
        <v>45061</v>
      </c>
      <c r="D1183">
        <v>116.489998</v>
      </c>
      <c r="E1183">
        <v>118.79499800000001</v>
      </c>
      <c r="F1183">
        <v>116.480003</v>
      </c>
      <c r="G1183">
        <v>116.959999</v>
      </c>
      <c r="H1183">
        <v>22107900</v>
      </c>
      <c r="I1183">
        <f t="shared" si="128"/>
        <v>0</v>
      </c>
      <c r="J1183">
        <f t="shared" si="129"/>
        <v>-0.96</v>
      </c>
      <c r="K1183" t="str">
        <f t="shared" si="130"/>
        <v>Negative</v>
      </c>
      <c r="L1183" s="10">
        <f t="shared" si="131"/>
        <v>-8.207925856771001E-3</v>
      </c>
      <c r="M1183" t="str">
        <f t="shared" si="132"/>
        <v/>
      </c>
    </row>
    <row r="1184" spans="1:13" x14ac:dyDescent="0.2">
      <c r="A1184" s="21" t="s">
        <v>1211</v>
      </c>
      <c r="B1184" s="21" t="str">
        <f t="shared" si="126"/>
        <v>Tuesday</v>
      </c>
      <c r="C1184" s="9">
        <f t="shared" si="127"/>
        <v>45062</v>
      </c>
      <c r="D1184">
        <v>116.83000199999999</v>
      </c>
      <c r="E1184">
        <v>121.199997</v>
      </c>
      <c r="F1184">
        <v>116.83000199999999</v>
      </c>
      <c r="G1184">
        <v>120.089996</v>
      </c>
      <c r="H1184">
        <v>32370100</v>
      </c>
      <c r="I1184">
        <f t="shared" si="128"/>
        <v>0</v>
      </c>
      <c r="J1184">
        <f t="shared" si="129"/>
        <v>3.13</v>
      </c>
      <c r="K1184" t="str">
        <f t="shared" si="130"/>
        <v>Positive</v>
      </c>
      <c r="L1184" s="10">
        <f t="shared" si="131"/>
        <v>2.6063761381089588E-2</v>
      </c>
      <c r="M1184" t="str">
        <f t="shared" si="132"/>
        <v/>
      </c>
    </row>
    <row r="1185" spans="1:13" x14ac:dyDescent="0.2">
      <c r="A1185" s="21" t="s">
        <v>1212</v>
      </c>
      <c r="B1185" s="21" t="str">
        <f t="shared" si="126"/>
        <v>Wednesday</v>
      </c>
      <c r="C1185" s="9">
        <f t="shared" si="127"/>
        <v>45063</v>
      </c>
      <c r="D1185">
        <v>120.18</v>
      </c>
      <c r="E1185">
        <v>122.279999</v>
      </c>
      <c r="F1185">
        <v>119.459999</v>
      </c>
      <c r="G1185">
        <v>121.480003</v>
      </c>
      <c r="H1185">
        <v>26659600</v>
      </c>
      <c r="I1185">
        <f t="shared" si="128"/>
        <v>0</v>
      </c>
      <c r="J1185">
        <f t="shared" si="129"/>
        <v>1.39</v>
      </c>
      <c r="K1185" t="str">
        <f t="shared" si="130"/>
        <v>Positive</v>
      </c>
      <c r="L1185" s="10">
        <f t="shared" si="131"/>
        <v>1.1442270049993307E-2</v>
      </c>
      <c r="M1185" t="str">
        <f t="shared" si="132"/>
        <v/>
      </c>
    </row>
    <row r="1186" spans="1:13" x14ac:dyDescent="0.2">
      <c r="A1186" s="21" t="s">
        <v>1213</v>
      </c>
      <c r="B1186" s="21" t="str">
        <f t="shared" si="126"/>
        <v>Thursday</v>
      </c>
      <c r="C1186" s="9">
        <f t="shared" si="127"/>
        <v>45064</v>
      </c>
      <c r="D1186">
        <v>121.55999799999999</v>
      </c>
      <c r="E1186">
        <v>123.900002</v>
      </c>
      <c r="F1186">
        <v>121.489998</v>
      </c>
      <c r="G1186">
        <v>123.519997</v>
      </c>
      <c r="H1186">
        <v>27014500</v>
      </c>
      <c r="I1186">
        <f t="shared" si="128"/>
        <v>0</v>
      </c>
      <c r="J1186">
        <f t="shared" si="129"/>
        <v>2.04</v>
      </c>
      <c r="K1186" t="str">
        <f t="shared" si="130"/>
        <v>Positive</v>
      </c>
      <c r="L1186" s="10">
        <f t="shared" si="131"/>
        <v>1.6515495867442477E-2</v>
      </c>
      <c r="M1186" t="str">
        <f t="shared" si="132"/>
        <v/>
      </c>
    </row>
    <row r="1187" spans="1:13" x14ac:dyDescent="0.2">
      <c r="A1187" s="21" t="s">
        <v>1214</v>
      </c>
      <c r="B1187" s="21" t="str">
        <f t="shared" si="126"/>
        <v>Friday</v>
      </c>
      <c r="C1187" s="9">
        <f t="shared" si="127"/>
        <v>45065</v>
      </c>
      <c r="D1187">
        <v>124.199997</v>
      </c>
      <c r="E1187">
        <v>126.478996</v>
      </c>
      <c r="F1187">
        <v>122.720001</v>
      </c>
      <c r="G1187">
        <v>123.25</v>
      </c>
      <c r="H1187">
        <v>30251300</v>
      </c>
      <c r="I1187">
        <f t="shared" si="128"/>
        <v>0</v>
      </c>
      <c r="J1187">
        <f t="shared" si="129"/>
        <v>-0.27</v>
      </c>
      <c r="K1187" t="str">
        <f t="shared" si="130"/>
        <v>Negative</v>
      </c>
      <c r="L1187" s="10">
        <f t="shared" si="131"/>
        <v>-2.1906450304259926E-3</v>
      </c>
      <c r="M1187" t="str">
        <f t="shared" si="132"/>
        <v/>
      </c>
    </row>
    <row r="1188" spans="1:13" x14ac:dyDescent="0.2">
      <c r="A1188" s="21" t="s">
        <v>1215</v>
      </c>
      <c r="B1188" s="21" t="str">
        <f t="shared" si="126"/>
        <v>Monday</v>
      </c>
      <c r="C1188" s="9">
        <f t="shared" si="127"/>
        <v>45068</v>
      </c>
      <c r="D1188">
        <v>123.510002</v>
      </c>
      <c r="E1188">
        <v>127.050003</v>
      </c>
      <c r="F1188">
        <v>123.449997</v>
      </c>
      <c r="G1188">
        <v>125.870003</v>
      </c>
      <c r="H1188">
        <v>29760200</v>
      </c>
      <c r="I1188">
        <f t="shared" si="128"/>
        <v>0</v>
      </c>
      <c r="J1188">
        <f t="shared" si="129"/>
        <v>2.62</v>
      </c>
      <c r="K1188" t="str">
        <f t="shared" si="130"/>
        <v>Positive</v>
      </c>
      <c r="L1188" s="10">
        <f t="shared" si="131"/>
        <v>2.0815150056046294E-2</v>
      </c>
      <c r="M1188" t="str">
        <f t="shared" si="132"/>
        <v/>
      </c>
    </row>
    <row r="1189" spans="1:13" x14ac:dyDescent="0.2">
      <c r="A1189" s="21" t="s">
        <v>1216</v>
      </c>
      <c r="B1189" s="21" t="str">
        <f t="shared" si="126"/>
        <v>Tuesday</v>
      </c>
      <c r="C1189" s="9">
        <f t="shared" si="127"/>
        <v>45069</v>
      </c>
      <c r="D1189">
        <v>124.93</v>
      </c>
      <c r="E1189">
        <v>125.41999800000001</v>
      </c>
      <c r="F1189">
        <v>123.050003</v>
      </c>
      <c r="G1189">
        <v>123.290001</v>
      </c>
      <c r="H1189">
        <v>24477900</v>
      </c>
      <c r="I1189">
        <f t="shared" si="128"/>
        <v>0</v>
      </c>
      <c r="J1189">
        <f t="shared" si="129"/>
        <v>-2.58</v>
      </c>
      <c r="K1189" t="str">
        <f t="shared" si="130"/>
        <v>Negative</v>
      </c>
      <c r="L1189" s="10">
        <f t="shared" si="131"/>
        <v>-2.092628744483499E-2</v>
      </c>
      <c r="M1189" t="str">
        <f t="shared" si="132"/>
        <v/>
      </c>
    </row>
    <row r="1190" spans="1:13" x14ac:dyDescent="0.2">
      <c r="A1190" s="21" t="s">
        <v>1217</v>
      </c>
      <c r="B1190" s="21" t="str">
        <f t="shared" si="126"/>
        <v>Wednesday</v>
      </c>
      <c r="C1190" s="9">
        <f t="shared" si="127"/>
        <v>45070</v>
      </c>
      <c r="D1190">
        <v>121.879997</v>
      </c>
      <c r="E1190">
        <v>122.75</v>
      </c>
      <c r="F1190">
        <v>120.75</v>
      </c>
      <c r="G1190">
        <v>121.639999</v>
      </c>
      <c r="H1190">
        <v>23087900</v>
      </c>
      <c r="I1190">
        <f t="shared" si="128"/>
        <v>0</v>
      </c>
      <c r="J1190">
        <f t="shared" si="129"/>
        <v>-1.65</v>
      </c>
      <c r="K1190" t="str">
        <f t="shared" si="130"/>
        <v>Negative</v>
      </c>
      <c r="L1190" s="10">
        <f t="shared" si="131"/>
        <v>-1.3564633455809225E-2</v>
      </c>
      <c r="M1190" t="str">
        <f t="shared" si="132"/>
        <v/>
      </c>
    </row>
    <row r="1191" spans="1:13" x14ac:dyDescent="0.2">
      <c r="A1191" s="21" t="s">
        <v>1218</v>
      </c>
      <c r="B1191" s="21" t="str">
        <f t="shared" si="126"/>
        <v>Thursday</v>
      </c>
      <c r="C1191" s="9">
        <f t="shared" si="127"/>
        <v>45071</v>
      </c>
      <c r="D1191">
        <v>125.209999</v>
      </c>
      <c r="E1191">
        <v>125.980003</v>
      </c>
      <c r="F1191">
        <v>122.900002</v>
      </c>
      <c r="G1191">
        <v>124.349998</v>
      </c>
      <c r="H1191">
        <v>33812700</v>
      </c>
      <c r="I1191">
        <f t="shared" si="128"/>
        <v>0</v>
      </c>
      <c r="J1191">
        <f t="shared" si="129"/>
        <v>2.71</v>
      </c>
      <c r="K1191" t="str">
        <f t="shared" si="130"/>
        <v>Positive</v>
      </c>
      <c r="L1191" s="10">
        <f t="shared" si="131"/>
        <v>2.1793317600214166E-2</v>
      </c>
      <c r="M1191" t="str">
        <f t="shared" si="132"/>
        <v/>
      </c>
    </row>
    <row r="1192" spans="1:13" x14ac:dyDescent="0.2">
      <c r="A1192" s="21" t="s">
        <v>1219</v>
      </c>
      <c r="B1192" s="21" t="str">
        <f t="shared" si="126"/>
        <v>Friday</v>
      </c>
      <c r="C1192" s="9">
        <f t="shared" si="127"/>
        <v>45072</v>
      </c>
      <c r="D1192">
        <v>124.06500200000001</v>
      </c>
      <c r="E1192">
        <v>126</v>
      </c>
      <c r="F1192">
        <v>123.290001</v>
      </c>
      <c r="G1192">
        <v>125.43</v>
      </c>
      <c r="H1192">
        <v>25154700</v>
      </c>
      <c r="I1192">
        <f t="shared" si="128"/>
        <v>0</v>
      </c>
      <c r="J1192">
        <f t="shared" si="129"/>
        <v>1.08</v>
      </c>
      <c r="K1192" t="str">
        <f t="shared" si="130"/>
        <v>Positive</v>
      </c>
      <c r="L1192" s="10">
        <f t="shared" si="131"/>
        <v>8.6103962369449682E-3</v>
      </c>
      <c r="M1192" t="str">
        <f t="shared" si="132"/>
        <v/>
      </c>
    </row>
    <row r="1193" spans="1:13" x14ac:dyDescent="0.2">
      <c r="A1193" s="21" t="s">
        <v>1220</v>
      </c>
      <c r="B1193" s="21" t="str">
        <f t="shared" si="126"/>
        <v>Tuesday</v>
      </c>
      <c r="C1193" s="9">
        <f t="shared" si="127"/>
        <v>45076</v>
      </c>
      <c r="D1193">
        <v>126.290001</v>
      </c>
      <c r="E1193">
        <v>126.379997</v>
      </c>
      <c r="F1193">
        <v>122.889999</v>
      </c>
      <c r="G1193">
        <v>124.639999</v>
      </c>
      <c r="H1193">
        <v>27230700</v>
      </c>
      <c r="I1193">
        <f t="shared" si="128"/>
        <v>0</v>
      </c>
      <c r="J1193">
        <f t="shared" si="129"/>
        <v>-0.79</v>
      </c>
      <c r="K1193" t="str">
        <f t="shared" si="130"/>
        <v>Negative</v>
      </c>
      <c r="L1193" s="10">
        <f t="shared" si="131"/>
        <v>-6.338262245974534E-3</v>
      </c>
      <c r="M1193" t="str">
        <f t="shared" si="132"/>
        <v/>
      </c>
    </row>
    <row r="1194" spans="1:13" x14ac:dyDescent="0.2">
      <c r="A1194" s="21" t="s">
        <v>1221</v>
      </c>
      <c r="B1194" s="21" t="str">
        <f t="shared" si="126"/>
        <v>Wednesday</v>
      </c>
      <c r="C1194" s="9">
        <f t="shared" si="127"/>
        <v>45077</v>
      </c>
      <c r="D1194">
        <v>123.699997</v>
      </c>
      <c r="E1194">
        <v>124.900002</v>
      </c>
      <c r="F1194">
        <v>123.099998</v>
      </c>
      <c r="G1194">
        <v>123.370003</v>
      </c>
      <c r="H1194">
        <v>41548800</v>
      </c>
      <c r="I1194">
        <f t="shared" si="128"/>
        <v>0</v>
      </c>
      <c r="J1194">
        <f t="shared" si="129"/>
        <v>-1.27</v>
      </c>
      <c r="K1194" t="str">
        <f t="shared" si="130"/>
        <v>Negative</v>
      </c>
      <c r="L1194" s="10">
        <f t="shared" si="131"/>
        <v>-1.0294204175386184E-2</v>
      </c>
      <c r="M1194" t="str">
        <f t="shared" si="132"/>
        <v/>
      </c>
    </row>
    <row r="1195" spans="1:13" x14ac:dyDescent="0.2">
      <c r="A1195" s="21" t="s">
        <v>1222</v>
      </c>
      <c r="B1195" s="21" t="str">
        <f t="shared" si="126"/>
        <v>Thursday</v>
      </c>
      <c r="C1195" s="9">
        <f t="shared" si="127"/>
        <v>45078</v>
      </c>
      <c r="D1195">
        <v>123.5</v>
      </c>
      <c r="E1195">
        <v>125.040001</v>
      </c>
      <c r="F1195">
        <v>123.300003</v>
      </c>
      <c r="G1195">
        <v>124.370003</v>
      </c>
      <c r="H1195">
        <v>25017700</v>
      </c>
      <c r="I1195">
        <f t="shared" si="128"/>
        <v>0</v>
      </c>
      <c r="J1195">
        <f t="shared" si="129"/>
        <v>1</v>
      </c>
      <c r="K1195" t="str">
        <f t="shared" si="130"/>
        <v>Positive</v>
      </c>
      <c r="L1195" s="10">
        <f t="shared" si="131"/>
        <v>8.0405240482305049E-3</v>
      </c>
      <c r="M1195" t="str">
        <f t="shared" si="132"/>
        <v/>
      </c>
    </row>
    <row r="1196" spans="1:13" x14ac:dyDescent="0.2">
      <c r="A1196" s="21" t="s">
        <v>1223</v>
      </c>
      <c r="B1196" s="21" t="str">
        <f t="shared" si="126"/>
        <v>Friday</v>
      </c>
      <c r="C1196" s="9">
        <f t="shared" si="127"/>
        <v>45079</v>
      </c>
      <c r="D1196">
        <v>124.489998</v>
      </c>
      <c r="E1196">
        <v>126.745003</v>
      </c>
      <c r="F1196">
        <v>124.349998</v>
      </c>
      <c r="G1196">
        <v>125.230003</v>
      </c>
      <c r="H1196">
        <v>19362400</v>
      </c>
      <c r="I1196">
        <f t="shared" si="128"/>
        <v>0</v>
      </c>
      <c r="J1196">
        <f t="shared" si="129"/>
        <v>0.86</v>
      </c>
      <c r="K1196" t="str">
        <f t="shared" si="130"/>
        <v>Positive</v>
      </c>
      <c r="L1196" s="10">
        <f t="shared" si="131"/>
        <v>6.8673638856336962E-3</v>
      </c>
      <c r="M1196" t="str">
        <f t="shared" si="132"/>
        <v/>
      </c>
    </row>
    <row r="1197" spans="1:13" x14ac:dyDescent="0.2">
      <c r="A1197" s="21" t="s">
        <v>1224</v>
      </c>
      <c r="B1197" s="21" t="str">
        <f t="shared" si="126"/>
        <v>Monday</v>
      </c>
      <c r="C1197" s="9">
        <f t="shared" si="127"/>
        <v>45082</v>
      </c>
      <c r="D1197">
        <v>124.610001</v>
      </c>
      <c r="E1197">
        <v>127.989998</v>
      </c>
      <c r="F1197">
        <v>124.379997</v>
      </c>
      <c r="G1197">
        <v>126.629997</v>
      </c>
      <c r="H1197">
        <v>22672500</v>
      </c>
      <c r="I1197">
        <f t="shared" si="128"/>
        <v>0</v>
      </c>
      <c r="J1197">
        <f t="shared" si="129"/>
        <v>1.4</v>
      </c>
      <c r="K1197" t="str">
        <f t="shared" si="130"/>
        <v>Positive</v>
      </c>
      <c r="L1197" s="10">
        <f t="shared" si="131"/>
        <v>1.1055784831140813E-2</v>
      </c>
      <c r="M1197" t="str">
        <f t="shared" si="132"/>
        <v/>
      </c>
    </row>
    <row r="1198" spans="1:13" x14ac:dyDescent="0.2">
      <c r="A1198" s="21" t="s">
        <v>1225</v>
      </c>
      <c r="B1198" s="21" t="str">
        <f t="shared" si="126"/>
        <v>Tuesday</v>
      </c>
      <c r="C1198" s="9">
        <f t="shared" si="127"/>
        <v>45083</v>
      </c>
      <c r="D1198">
        <v>126.599998</v>
      </c>
      <c r="E1198">
        <v>128.88000500000001</v>
      </c>
      <c r="F1198">
        <v>125.970001</v>
      </c>
      <c r="G1198">
        <v>127.910004</v>
      </c>
      <c r="H1198">
        <v>19450100</v>
      </c>
      <c r="I1198">
        <f t="shared" si="128"/>
        <v>0</v>
      </c>
      <c r="J1198">
        <f t="shared" si="129"/>
        <v>1.28</v>
      </c>
      <c r="K1198" t="str">
        <f t="shared" si="130"/>
        <v>Positive</v>
      </c>
      <c r="L1198" s="10">
        <f t="shared" si="131"/>
        <v>1.0007090610363813E-2</v>
      </c>
      <c r="M1198" t="str">
        <f t="shared" si="132"/>
        <v/>
      </c>
    </row>
    <row r="1199" spans="1:13" x14ac:dyDescent="0.2">
      <c r="A1199" s="21" t="s">
        <v>1226</v>
      </c>
      <c r="B1199" s="21" t="str">
        <f t="shared" si="126"/>
        <v>Wednesday</v>
      </c>
      <c r="C1199" s="9">
        <f t="shared" si="127"/>
        <v>45084</v>
      </c>
      <c r="D1199">
        <v>127.574997</v>
      </c>
      <c r="E1199">
        <v>129.550003</v>
      </c>
      <c r="F1199">
        <v>122.629997</v>
      </c>
      <c r="G1199">
        <v>122.94000200000001</v>
      </c>
      <c r="H1199">
        <v>34179300</v>
      </c>
      <c r="I1199">
        <f t="shared" si="128"/>
        <v>0</v>
      </c>
      <c r="J1199">
        <f t="shared" si="129"/>
        <v>-4.97</v>
      </c>
      <c r="K1199" t="str">
        <f t="shared" si="130"/>
        <v>Negative</v>
      </c>
      <c r="L1199" s="10">
        <f t="shared" si="131"/>
        <v>-4.042623978483418E-2</v>
      </c>
      <c r="M1199" t="str">
        <f t="shared" si="132"/>
        <v/>
      </c>
    </row>
    <row r="1200" spans="1:13" x14ac:dyDescent="0.2">
      <c r="A1200" s="21" t="s">
        <v>1227</v>
      </c>
      <c r="B1200" s="21" t="str">
        <f t="shared" si="126"/>
        <v>Thursday</v>
      </c>
      <c r="C1200" s="9">
        <f t="shared" si="127"/>
        <v>45085</v>
      </c>
      <c r="D1200">
        <v>122.584999</v>
      </c>
      <c r="E1200">
        <v>123.730003</v>
      </c>
      <c r="F1200">
        <v>122.010002</v>
      </c>
      <c r="G1200">
        <v>122.66999800000001</v>
      </c>
      <c r="H1200">
        <v>24815000</v>
      </c>
      <c r="I1200">
        <f t="shared" si="128"/>
        <v>0</v>
      </c>
      <c r="J1200">
        <f t="shared" si="129"/>
        <v>-0.27</v>
      </c>
      <c r="K1200" t="str">
        <f t="shared" si="130"/>
        <v>Negative</v>
      </c>
      <c r="L1200" s="10">
        <f t="shared" si="131"/>
        <v>-2.2010597896969081E-3</v>
      </c>
      <c r="M1200" t="str">
        <f t="shared" si="132"/>
        <v/>
      </c>
    </row>
    <row r="1201" spans="1:13" x14ac:dyDescent="0.2">
      <c r="A1201" s="21" t="s">
        <v>1228</v>
      </c>
      <c r="B1201" s="21" t="str">
        <f t="shared" si="126"/>
        <v>Friday</v>
      </c>
      <c r="C1201" s="9">
        <f t="shared" si="127"/>
        <v>45086</v>
      </c>
      <c r="D1201">
        <v>122.55999799999999</v>
      </c>
      <c r="E1201">
        <v>124.285004</v>
      </c>
      <c r="F1201">
        <v>122.41999800000001</v>
      </c>
      <c r="G1201">
        <v>122.870003</v>
      </c>
      <c r="H1201">
        <v>20304500</v>
      </c>
      <c r="I1201">
        <f t="shared" si="128"/>
        <v>0</v>
      </c>
      <c r="J1201">
        <f t="shared" si="129"/>
        <v>0.2</v>
      </c>
      <c r="K1201" t="str">
        <f t="shared" si="130"/>
        <v>Positive</v>
      </c>
      <c r="L1201" s="10">
        <f t="shared" si="131"/>
        <v>1.6277772858847429E-3</v>
      </c>
      <c r="M1201" t="str">
        <f t="shared" si="132"/>
        <v/>
      </c>
    </row>
    <row r="1202" spans="1:13" x14ac:dyDescent="0.2">
      <c r="A1202" s="21" t="s">
        <v>1229</v>
      </c>
      <c r="B1202" s="21" t="str">
        <f t="shared" si="126"/>
        <v>Monday</v>
      </c>
      <c r="C1202" s="9">
        <f t="shared" si="127"/>
        <v>45089</v>
      </c>
      <c r="D1202">
        <v>123.394997</v>
      </c>
      <c r="E1202">
        <v>124.75</v>
      </c>
      <c r="F1202">
        <v>122.349998</v>
      </c>
      <c r="G1202">
        <v>124.349998</v>
      </c>
      <c r="H1202">
        <v>22255700</v>
      </c>
      <c r="I1202">
        <f t="shared" si="128"/>
        <v>0</v>
      </c>
      <c r="J1202">
        <f t="shared" si="129"/>
        <v>1.48</v>
      </c>
      <c r="K1202" t="str">
        <f t="shared" si="130"/>
        <v>Positive</v>
      </c>
      <c r="L1202" s="10">
        <f t="shared" si="131"/>
        <v>1.1901849809438697E-2</v>
      </c>
      <c r="M1202" t="str">
        <f t="shared" si="132"/>
        <v/>
      </c>
    </row>
    <row r="1203" spans="1:13" x14ac:dyDescent="0.2">
      <c r="A1203" s="21" t="s">
        <v>1230</v>
      </c>
      <c r="B1203" s="21" t="str">
        <f t="shared" si="126"/>
        <v>Tuesday</v>
      </c>
      <c r="C1203" s="9">
        <f t="shared" si="127"/>
        <v>45090</v>
      </c>
      <c r="D1203">
        <v>125.650002</v>
      </c>
      <c r="E1203">
        <v>125.860001</v>
      </c>
      <c r="F1203">
        <v>123.845001</v>
      </c>
      <c r="G1203">
        <v>124.43</v>
      </c>
      <c r="H1203">
        <v>19287700</v>
      </c>
      <c r="I1203">
        <f t="shared" si="128"/>
        <v>0</v>
      </c>
      <c r="J1203">
        <f t="shared" si="129"/>
        <v>0.08</v>
      </c>
      <c r="K1203" t="str">
        <f t="shared" si="130"/>
        <v>Positive</v>
      </c>
      <c r="L1203" s="10">
        <f t="shared" si="131"/>
        <v>6.4294784216031061E-4</v>
      </c>
      <c r="M1203" t="str">
        <f t="shared" si="132"/>
        <v/>
      </c>
    </row>
    <row r="1204" spans="1:13" x14ac:dyDescent="0.2">
      <c r="A1204" s="21" t="s">
        <v>1231</v>
      </c>
      <c r="B1204" s="21" t="str">
        <f t="shared" si="126"/>
        <v>Wednesday</v>
      </c>
      <c r="C1204" s="9">
        <f t="shared" si="127"/>
        <v>45091</v>
      </c>
      <c r="D1204">
        <v>123.800003</v>
      </c>
      <c r="E1204">
        <v>124.790001</v>
      </c>
      <c r="F1204">
        <v>122.160004</v>
      </c>
      <c r="G1204">
        <v>124.379997</v>
      </c>
      <c r="H1204">
        <v>24659600</v>
      </c>
      <c r="I1204">
        <f t="shared" si="128"/>
        <v>0</v>
      </c>
      <c r="J1204">
        <f t="shared" si="129"/>
        <v>-0.05</v>
      </c>
      <c r="K1204" t="str">
        <f t="shared" si="130"/>
        <v>Negative</v>
      </c>
      <c r="L1204" s="10">
        <f t="shared" si="131"/>
        <v>-4.0201801902281595E-4</v>
      </c>
      <c r="M1204" t="str">
        <f t="shared" si="132"/>
        <v/>
      </c>
    </row>
    <row r="1205" spans="1:13" x14ac:dyDescent="0.2">
      <c r="A1205" s="21" t="s">
        <v>1232</v>
      </c>
      <c r="B1205" s="21" t="str">
        <f t="shared" si="126"/>
        <v>Thursday</v>
      </c>
      <c r="C1205" s="9">
        <f t="shared" si="127"/>
        <v>45092</v>
      </c>
      <c r="D1205">
        <v>123.879997</v>
      </c>
      <c r="E1205">
        <v>126.160004</v>
      </c>
      <c r="F1205">
        <v>123.139999</v>
      </c>
      <c r="G1205">
        <v>125.790001</v>
      </c>
      <c r="H1205">
        <v>24517100</v>
      </c>
      <c r="I1205">
        <f t="shared" si="128"/>
        <v>0</v>
      </c>
      <c r="J1205">
        <f t="shared" si="129"/>
        <v>1.41</v>
      </c>
      <c r="K1205" t="str">
        <f t="shared" si="130"/>
        <v>Positive</v>
      </c>
      <c r="L1205" s="10">
        <f t="shared" si="131"/>
        <v>1.1209189830597113E-2</v>
      </c>
      <c r="M1205" t="str">
        <f t="shared" si="132"/>
        <v/>
      </c>
    </row>
    <row r="1206" spans="1:13" x14ac:dyDescent="0.2">
      <c r="A1206" s="21" t="s">
        <v>1233</v>
      </c>
      <c r="B1206" s="21" t="str">
        <f t="shared" si="126"/>
        <v>Friday</v>
      </c>
      <c r="C1206" s="9">
        <f t="shared" si="127"/>
        <v>45093</v>
      </c>
      <c r="D1206">
        <v>126.699997</v>
      </c>
      <c r="E1206">
        <v>126.699997</v>
      </c>
      <c r="F1206">
        <v>123.790001</v>
      </c>
      <c r="G1206">
        <v>124.05999799999999</v>
      </c>
      <c r="H1206">
        <v>56686800</v>
      </c>
      <c r="I1206">
        <f t="shared" si="128"/>
        <v>0</v>
      </c>
      <c r="J1206">
        <f t="shared" si="129"/>
        <v>-1.73</v>
      </c>
      <c r="K1206" t="str">
        <f t="shared" si="130"/>
        <v>Negative</v>
      </c>
      <c r="L1206" s="10">
        <f t="shared" si="131"/>
        <v>-1.3944889794371999E-2</v>
      </c>
      <c r="M1206" t="str">
        <f t="shared" si="132"/>
        <v/>
      </c>
    </row>
    <row r="1207" spans="1:13" x14ac:dyDescent="0.2">
      <c r="A1207" s="21" t="s">
        <v>1234</v>
      </c>
      <c r="B1207" s="21" t="str">
        <f t="shared" si="126"/>
        <v>Tuesday</v>
      </c>
      <c r="C1207" s="9">
        <f t="shared" si="127"/>
        <v>45097</v>
      </c>
      <c r="D1207">
        <v>123.535004</v>
      </c>
      <c r="E1207">
        <v>125.175003</v>
      </c>
      <c r="F1207">
        <v>122.83000199999999</v>
      </c>
      <c r="G1207">
        <v>123.849998</v>
      </c>
      <c r="H1207">
        <v>22698000</v>
      </c>
      <c r="I1207">
        <f t="shared" si="128"/>
        <v>0</v>
      </c>
      <c r="J1207">
        <f t="shared" si="129"/>
        <v>-0.21</v>
      </c>
      <c r="K1207" t="str">
        <f t="shared" si="130"/>
        <v>Negative</v>
      </c>
      <c r="L1207" s="10">
        <f t="shared" si="131"/>
        <v>-1.6955995429244477E-3</v>
      </c>
      <c r="M1207" t="str">
        <f t="shared" si="132"/>
        <v/>
      </c>
    </row>
    <row r="1208" spans="1:13" x14ac:dyDescent="0.2">
      <c r="A1208" s="21" t="s">
        <v>1235</v>
      </c>
      <c r="B1208" s="21" t="str">
        <f t="shared" si="126"/>
        <v>Wednesday</v>
      </c>
      <c r="C1208" s="9">
        <f t="shared" si="127"/>
        <v>45098</v>
      </c>
      <c r="D1208">
        <v>123.235001</v>
      </c>
      <c r="E1208">
        <v>123.410004</v>
      </c>
      <c r="F1208">
        <v>120.860001</v>
      </c>
      <c r="G1208">
        <v>121.260002</v>
      </c>
      <c r="H1208">
        <v>22612000</v>
      </c>
      <c r="I1208">
        <f t="shared" si="128"/>
        <v>0</v>
      </c>
      <c r="J1208">
        <f t="shared" si="129"/>
        <v>-2.59</v>
      </c>
      <c r="K1208" t="str">
        <f t="shared" si="130"/>
        <v>Negative</v>
      </c>
      <c r="L1208" s="10">
        <f t="shared" si="131"/>
        <v>-2.1359029830792839E-2</v>
      </c>
      <c r="M1208" t="str">
        <f t="shared" si="132"/>
        <v/>
      </c>
    </row>
    <row r="1209" spans="1:13" x14ac:dyDescent="0.2">
      <c r="A1209" s="21" t="s">
        <v>1236</v>
      </c>
      <c r="B1209" s="21" t="str">
        <f t="shared" si="126"/>
        <v>Thursday</v>
      </c>
      <c r="C1209" s="9">
        <f t="shared" si="127"/>
        <v>45099</v>
      </c>
      <c r="D1209">
        <v>120.660004</v>
      </c>
      <c r="E1209">
        <v>123.93499799999999</v>
      </c>
      <c r="F1209">
        <v>119.599998</v>
      </c>
      <c r="G1209">
        <v>123.870003</v>
      </c>
      <c r="H1209">
        <v>20781900</v>
      </c>
      <c r="I1209">
        <f t="shared" si="128"/>
        <v>0</v>
      </c>
      <c r="J1209">
        <f t="shared" si="129"/>
        <v>2.61</v>
      </c>
      <c r="K1209" t="str">
        <f t="shared" si="130"/>
        <v>Positive</v>
      </c>
      <c r="L1209" s="10">
        <f t="shared" si="131"/>
        <v>2.1070484675777372E-2</v>
      </c>
      <c r="M1209" t="str">
        <f t="shared" si="132"/>
        <v/>
      </c>
    </row>
    <row r="1210" spans="1:13" x14ac:dyDescent="0.2">
      <c r="A1210" s="21" t="s">
        <v>1237</v>
      </c>
      <c r="B1210" s="21" t="str">
        <f t="shared" si="126"/>
        <v>Friday</v>
      </c>
      <c r="C1210" s="9">
        <f t="shared" si="127"/>
        <v>45100</v>
      </c>
      <c r="D1210">
        <v>122.040001</v>
      </c>
      <c r="E1210">
        <v>123.44000200000001</v>
      </c>
      <c r="F1210">
        <v>121.860001</v>
      </c>
      <c r="G1210">
        <v>123.019997</v>
      </c>
      <c r="H1210">
        <v>29542900</v>
      </c>
      <c r="I1210">
        <f t="shared" si="128"/>
        <v>0</v>
      </c>
      <c r="J1210">
        <f t="shared" si="129"/>
        <v>-0.85</v>
      </c>
      <c r="K1210" t="str">
        <f t="shared" si="130"/>
        <v>Negative</v>
      </c>
      <c r="L1210" s="10">
        <f t="shared" si="131"/>
        <v>-6.9094945596527152E-3</v>
      </c>
      <c r="M1210" t="str">
        <f t="shared" si="132"/>
        <v/>
      </c>
    </row>
    <row r="1211" spans="1:13" x14ac:dyDescent="0.2">
      <c r="A1211" s="21" t="s">
        <v>1238</v>
      </c>
      <c r="B1211" s="21" t="str">
        <f t="shared" si="126"/>
        <v>Monday</v>
      </c>
      <c r="C1211" s="9">
        <f t="shared" si="127"/>
        <v>45103</v>
      </c>
      <c r="D1211">
        <v>121.466003</v>
      </c>
      <c r="E1211">
        <v>122.720001</v>
      </c>
      <c r="F1211">
        <v>118.989998</v>
      </c>
      <c r="G1211">
        <v>119.089996</v>
      </c>
      <c r="H1211">
        <v>23185000</v>
      </c>
      <c r="I1211">
        <f t="shared" si="128"/>
        <v>0</v>
      </c>
      <c r="J1211">
        <f t="shared" si="129"/>
        <v>-3.93</v>
      </c>
      <c r="K1211" t="str">
        <f t="shared" si="130"/>
        <v>Negative</v>
      </c>
      <c r="L1211" s="10">
        <f t="shared" si="131"/>
        <v>-3.3000261415744817E-2</v>
      </c>
      <c r="M1211" t="str">
        <f t="shared" si="132"/>
        <v/>
      </c>
    </row>
    <row r="1212" spans="1:13" x14ac:dyDescent="0.2">
      <c r="A1212" s="21" t="s">
        <v>1239</v>
      </c>
      <c r="B1212" s="21" t="str">
        <f t="shared" si="126"/>
        <v>Tuesday</v>
      </c>
      <c r="C1212" s="9">
        <f t="shared" si="127"/>
        <v>45104</v>
      </c>
      <c r="D1212">
        <v>117.839996</v>
      </c>
      <c r="E1212">
        <v>119.894997</v>
      </c>
      <c r="F1212">
        <v>116.910004</v>
      </c>
      <c r="G1212">
        <v>119.010002</v>
      </c>
      <c r="H1212">
        <v>27221700</v>
      </c>
      <c r="I1212">
        <f t="shared" si="128"/>
        <v>0</v>
      </c>
      <c r="J1212">
        <f t="shared" si="129"/>
        <v>-0.08</v>
      </c>
      <c r="K1212" t="str">
        <f t="shared" si="130"/>
        <v>Negative</v>
      </c>
      <c r="L1212" s="10">
        <f t="shared" si="131"/>
        <v>-6.7216199189711154E-4</v>
      </c>
      <c r="M1212" t="str">
        <f t="shared" si="132"/>
        <v/>
      </c>
    </row>
    <row r="1213" spans="1:13" x14ac:dyDescent="0.2">
      <c r="A1213" s="21" t="s">
        <v>1240</v>
      </c>
      <c r="B1213" s="21" t="str">
        <f t="shared" si="126"/>
        <v>Wednesday</v>
      </c>
      <c r="C1213" s="9">
        <f t="shared" si="127"/>
        <v>45105</v>
      </c>
      <c r="D1213">
        <v>117.959999</v>
      </c>
      <c r="E1213">
        <v>121.269997</v>
      </c>
      <c r="F1213">
        <v>117.599998</v>
      </c>
      <c r="G1213">
        <v>121.08000199999999</v>
      </c>
      <c r="H1213">
        <v>19753100</v>
      </c>
      <c r="I1213">
        <f t="shared" si="128"/>
        <v>0</v>
      </c>
      <c r="J1213">
        <f t="shared" si="129"/>
        <v>2.0699999999999998</v>
      </c>
      <c r="K1213" t="str">
        <f t="shared" si="130"/>
        <v>Positive</v>
      </c>
      <c r="L1213" s="10">
        <f t="shared" si="131"/>
        <v>1.7096134504523654E-2</v>
      </c>
      <c r="M1213" t="str">
        <f t="shared" si="132"/>
        <v/>
      </c>
    </row>
    <row r="1214" spans="1:13" x14ac:dyDescent="0.2">
      <c r="A1214" s="21" t="s">
        <v>1241</v>
      </c>
      <c r="B1214" s="21" t="str">
        <f t="shared" si="126"/>
        <v>Thursday</v>
      </c>
      <c r="C1214" s="9">
        <f t="shared" si="127"/>
        <v>45106</v>
      </c>
      <c r="D1214">
        <v>120.089996</v>
      </c>
      <c r="E1214">
        <v>120.910004</v>
      </c>
      <c r="F1214">
        <v>119.209999</v>
      </c>
      <c r="G1214">
        <v>120.010002</v>
      </c>
      <c r="H1214">
        <v>18517500</v>
      </c>
      <c r="I1214">
        <f t="shared" si="128"/>
        <v>0</v>
      </c>
      <c r="J1214">
        <f t="shared" si="129"/>
        <v>-1.07</v>
      </c>
      <c r="K1214" t="str">
        <f t="shared" si="130"/>
        <v>Negative</v>
      </c>
      <c r="L1214" s="10">
        <f t="shared" si="131"/>
        <v>-8.9159235244408476E-3</v>
      </c>
      <c r="M1214" t="str">
        <f t="shared" si="132"/>
        <v/>
      </c>
    </row>
    <row r="1215" spans="1:13" x14ac:dyDescent="0.2">
      <c r="A1215" s="21" t="s">
        <v>1242</v>
      </c>
      <c r="B1215" s="21" t="str">
        <f t="shared" si="126"/>
        <v>Friday</v>
      </c>
      <c r="C1215" s="9">
        <f t="shared" si="127"/>
        <v>45107</v>
      </c>
      <c r="D1215">
        <v>121.099998</v>
      </c>
      <c r="E1215">
        <v>122.029999</v>
      </c>
      <c r="F1215">
        <v>120.879997</v>
      </c>
      <c r="G1215">
        <v>120.970001</v>
      </c>
      <c r="H1215">
        <v>23865800</v>
      </c>
      <c r="I1215">
        <f t="shared" si="128"/>
        <v>0</v>
      </c>
      <c r="J1215">
        <f t="shared" si="129"/>
        <v>0.96</v>
      </c>
      <c r="K1215" t="str">
        <f t="shared" si="130"/>
        <v>Positive</v>
      </c>
      <c r="L1215" s="10">
        <f t="shared" si="131"/>
        <v>7.935843531984399E-3</v>
      </c>
      <c r="M1215" t="str">
        <f t="shared" si="132"/>
        <v/>
      </c>
    </row>
    <row r="1216" spans="1:13" x14ac:dyDescent="0.2">
      <c r="A1216" s="21" t="s">
        <v>1243</v>
      </c>
      <c r="B1216" s="21" t="str">
        <f t="shared" si="126"/>
        <v>Monday</v>
      </c>
      <c r="C1216" s="9">
        <f t="shared" si="127"/>
        <v>45110</v>
      </c>
      <c r="D1216">
        <v>120.32</v>
      </c>
      <c r="E1216">
        <v>121.019997</v>
      </c>
      <c r="F1216">
        <v>119.70500199999999</v>
      </c>
      <c r="G1216">
        <v>120.55999799999999</v>
      </c>
      <c r="H1216">
        <v>13888300</v>
      </c>
      <c r="I1216">
        <f t="shared" si="128"/>
        <v>0</v>
      </c>
      <c r="J1216">
        <f t="shared" si="129"/>
        <v>-0.41</v>
      </c>
      <c r="K1216" t="str">
        <f t="shared" si="130"/>
        <v>Negative</v>
      </c>
      <c r="L1216" s="10">
        <f t="shared" si="131"/>
        <v>-3.4008212243003128E-3</v>
      </c>
      <c r="M1216" t="str">
        <f t="shared" si="132"/>
        <v/>
      </c>
    </row>
    <row r="1217" spans="1:13" x14ac:dyDescent="0.2">
      <c r="A1217" s="21" t="s">
        <v>1244</v>
      </c>
      <c r="B1217" s="21" t="str">
        <f t="shared" si="126"/>
        <v>Wednesday</v>
      </c>
      <c r="C1217" s="9">
        <f t="shared" si="127"/>
        <v>45112</v>
      </c>
      <c r="D1217">
        <v>120.05999799999999</v>
      </c>
      <c r="E1217">
        <v>123.370003</v>
      </c>
      <c r="F1217">
        <v>120.05999799999999</v>
      </c>
      <c r="G1217">
        <v>122.629997</v>
      </c>
      <c r="H1217">
        <v>17830300</v>
      </c>
      <c r="I1217">
        <f t="shared" si="128"/>
        <v>0</v>
      </c>
      <c r="J1217">
        <f t="shared" si="129"/>
        <v>2.0699999999999998</v>
      </c>
      <c r="K1217" t="str">
        <f t="shared" si="130"/>
        <v>Positive</v>
      </c>
      <c r="L1217" s="10">
        <f t="shared" si="131"/>
        <v>1.6880037924163122E-2</v>
      </c>
      <c r="M1217" t="str">
        <f t="shared" si="132"/>
        <v/>
      </c>
    </row>
    <row r="1218" spans="1:13" x14ac:dyDescent="0.2">
      <c r="A1218" s="21" t="s">
        <v>1245</v>
      </c>
      <c r="B1218" s="21" t="str">
        <f t="shared" si="126"/>
        <v>Thursday</v>
      </c>
      <c r="C1218" s="9">
        <f t="shared" si="127"/>
        <v>45113</v>
      </c>
      <c r="D1218">
        <v>120.639999</v>
      </c>
      <c r="E1218">
        <v>121.150002</v>
      </c>
      <c r="F1218">
        <v>119.25</v>
      </c>
      <c r="G1218">
        <v>120.93</v>
      </c>
      <c r="H1218">
        <v>17732500</v>
      </c>
      <c r="I1218">
        <f t="shared" si="128"/>
        <v>0</v>
      </c>
      <c r="J1218">
        <f t="shared" si="129"/>
        <v>-1.7</v>
      </c>
      <c r="K1218" t="str">
        <f t="shared" si="130"/>
        <v>Negative</v>
      </c>
      <c r="L1218" s="10">
        <f t="shared" si="131"/>
        <v>-1.4057694534027918E-2</v>
      </c>
      <c r="M1218" t="str">
        <f t="shared" si="132"/>
        <v/>
      </c>
    </row>
    <row r="1219" spans="1:13" x14ac:dyDescent="0.2">
      <c r="A1219" s="21" t="s">
        <v>1246</v>
      </c>
      <c r="B1219" s="21" t="str">
        <f t="shared" ref="B1219:B1259" si="133">LEFT(A1219,SEARCH(",",A1219)-1)</f>
        <v>Friday</v>
      </c>
      <c r="C1219" s="9">
        <f t="shared" ref="C1219:C1259" si="134">DATEVALUE(RIGHT(A1219,LEN(A1219) - SEARCH(",",A1219)))</f>
        <v>45114</v>
      </c>
      <c r="D1219">
        <v>120.889999</v>
      </c>
      <c r="E1219">
        <v>121.75</v>
      </c>
      <c r="F1219">
        <v>120.089996</v>
      </c>
      <c r="G1219">
        <v>120.139999</v>
      </c>
      <c r="H1219">
        <v>20982400</v>
      </c>
      <c r="I1219">
        <f t="shared" ref="I1219:I1259" si="135">COUNTBLANK(A1219:H1219)</f>
        <v>0</v>
      </c>
      <c r="J1219">
        <f t="shared" ref="J1219:J1259" si="136">ROUND(IF(ISNUMBER(G1218),G1219-G1218,0),2)</f>
        <v>-0.79</v>
      </c>
      <c r="K1219" t="str">
        <f t="shared" ref="K1219:K1259" si="137">IF(J1219=0,"Neutral",IF(J1219&gt;0,"Positive","Negative"))</f>
        <v>Negative</v>
      </c>
      <c r="L1219" s="10">
        <f t="shared" ref="L1219:L1259" si="138">IF(ISNUMBER(G1218),((G1219-G1218)/G1219),0)</f>
        <v>-6.5756701063398853E-3</v>
      </c>
      <c r="M1219" t="str">
        <f t="shared" ref="M1219:M1259" si="139">IF(L1219&gt;0.05,L1219,"")</f>
        <v/>
      </c>
    </row>
    <row r="1220" spans="1:13" x14ac:dyDescent="0.2">
      <c r="A1220" s="21" t="s">
        <v>1247</v>
      </c>
      <c r="B1220" s="21" t="str">
        <f t="shared" si="133"/>
        <v>Monday</v>
      </c>
      <c r="C1220" s="9">
        <f t="shared" si="134"/>
        <v>45117</v>
      </c>
      <c r="D1220">
        <v>119.07</v>
      </c>
      <c r="E1220">
        <v>119.07</v>
      </c>
      <c r="F1220">
        <v>116.639999</v>
      </c>
      <c r="G1220">
        <v>116.870003</v>
      </c>
      <c r="H1220">
        <v>32960100</v>
      </c>
      <c r="I1220">
        <f t="shared" si="135"/>
        <v>0</v>
      </c>
      <c r="J1220">
        <f t="shared" si="136"/>
        <v>-3.27</v>
      </c>
      <c r="K1220" t="str">
        <f t="shared" si="137"/>
        <v>Negative</v>
      </c>
      <c r="L1220" s="10">
        <f t="shared" si="138"/>
        <v>-2.7979771678452052E-2</v>
      </c>
      <c r="M1220" t="str">
        <f t="shared" si="139"/>
        <v/>
      </c>
    </row>
    <row r="1221" spans="1:13" x14ac:dyDescent="0.2">
      <c r="A1221" s="21" t="s">
        <v>1248</v>
      </c>
      <c r="B1221" s="21" t="str">
        <f t="shared" si="133"/>
        <v>Tuesday</v>
      </c>
      <c r="C1221" s="9">
        <f t="shared" si="134"/>
        <v>45118</v>
      </c>
      <c r="D1221">
        <v>116.760002</v>
      </c>
      <c r="E1221">
        <v>118.224998</v>
      </c>
      <c r="F1221">
        <v>115.83000199999999</v>
      </c>
      <c r="G1221">
        <v>117.709999</v>
      </c>
      <c r="H1221">
        <v>18286600</v>
      </c>
      <c r="I1221">
        <f t="shared" si="135"/>
        <v>0</v>
      </c>
      <c r="J1221">
        <f t="shared" si="136"/>
        <v>0.84</v>
      </c>
      <c r="K1221" t="str">
        <f t="shared" si="137"/>
        <v>Positive</v>
      </c>
      <c r="L1221" s="10">
        <f t="shared" si="138"/>
        <v>7.1361482213588272E-3</v>
      </c>
      <c r="M1221" t="str">
        <f t="shared" si="139"/>
        <v/>
      </c>
    </row>
    <row r="1222" spans="1:13" x14ac:dyDescent="0.2">
      <c r="A1222" s="21" t="s">
        <v>1249</v>
      </c>
      <c r="B1222" s="21" t="str">
        <f t="shared" si="133"/>
        <v>Wednesday</v>
      </c>
      <c r="C1222" s="9">
        <f t="shared" si="134"/>
        <v>45119</v>
      </c>
      <c r="D1222">
        <v>119.300003</v>
      </c>
      <c r="E1222">
        <v>120.959999</v>
      </c>
      <c r="F1222">
        <v>119</v>
      </c>
      <c r="G1222">
        <v>119.620003</v>
      </c>
      <c r="H1222">
        <v>22059600</v>
      </c>
      <c r="I1222">
        <f t="shared" si="135"/>
        <v>0</v>
      </c>
      <c r="J1222">
        <f t="shared" si="136"/>
        <v>1.91</v>
      </c>
      <c r="K1222" t="str">
        <f t="shared" si="137"/>
        <v>Positive</v>
      </c>
      <c r="L1222" s="10">
        <f t="shared" si="138"/>
        <v>1.5967262599048761E-2</v>
      </c>
      <c r="M1222" t="str">
        <f t="shared" si="139"/>
        <v/>
      </c>
    </row>
    <row r="1223" spans="1:13" x14ac:dyDescent="0.2">
      <c r="A1223" s="21" t="s">
        <v>1250</v>
      </c>
      <c r="B1223" s="21" t="str">
        <f t="shared" si="133"/>
        <v>Thursday</v>
      </c>
      <c r="C1223" s="9">
        <f t="shared" si="134"/>
        <v>45120</v>
      </c>
      <c r="D1223">
        <v>121.540001</v>
      </c>
      <c r="E1223">
        <v>125.334999</v>
      </c>
      <c r="F1223">
        <v>121.05999799999999</v>
      </c>
      <c r="G1223">
        <v>124.83000199999999</v>
      </c>
      <c r="H1223">
        <v>31535900</v>
      </c>
      <c r="I1223">
        <f t="shared" si="135"/>
        <v>0</v>
      </c>
      <c r="J1223">
        <f t="shared" si="136"/>
        <v>5.21</v>
      </c>
      <c r="K1223" t="str">
        <f t="shared" si="137"/>
        <v>Positive</v>
      </c>
      <c r="L1223" s="10">
        <f t="shared" si="138"/>
        <v>4.1736753316722663E-2</v>
      </c>
      <c r="M1223" t="str">
        <f t="shared" si="139"/>
        <v/>
      </c>
    </row>
    <row r="1224" spans="1:13" x14ac:dyDescent="0.2">
      <c r="A1224" s="21" t="s">
        <v>1251</v>
      </c>
      <c r="B1224" s="21" t="str">
        <f t="shared" si="133"/>
        <v>Friday</v>
      </c>
      <c r="C1224" s="9">
        <f t="shared" si="134"/>
        <v>45121</v>
      </c>
      <c r="D1224">
        <v>125.129997</v>
      </c>
      <c r="E1224">
        <v>127.089996</v>
      </c>
      <c r="F1224">
        <v>124.900002</v>
      </c>
      <c r="G1224">
        <v>125.699997</v>
      </c>
      <c r="H1224">
        <v>20482800</v>
      </c>
      <c r="I1224">
        <f t="shared" si="135"/>
        <v>0</v>
      </c>
      <c r="J1224">
        <f t="shared" si="136"/>
        <v>0.87</v>
      </c>
      <c r="K1224" t="str">
        <f t="shared" si="137"/>
        <v>Positive</v>
      </c>
      <c r="L1224" s="10">
        <f t="shared" si="138"/>
        <v>6.9212014380557463E-3</v>
      </c>
      <c r="M1224" t="str">
        <f t="shared" si="139"/>
        <v/>
      </c>
    </row>
    <row r="1225" spans="1:13" x14ac:dyDescent="0.2">
      <c r="A1225" s="21" t="s">
        <v>1252</v>
      </c>
      <c r="B1225" s="21" t="str">
        <f t="shared" si="133"/>
        <v>Monday</v>
      </c>
      <c r="C1225" s="9">
        <f t="shared" si="134"/>
        <v>45124</v>
      </c>
      <c r="D1225">
        <v>126.05999799999999</v>
      </c>
      <c r="E1225">
        <v>127.279999</v>
      </c>
      <c r="F1225">
        <v>124.5</v>
      </c>
      <c r="G1225">
        <v>125.05999799999999</v>
      </c>
      <c r="H1225">
        <v>20675300</v>
      </c>
      <c r="I1225">
        <f t="shared" si="135"/>
        <v>0</v>
      </c>
      <c r="J1225">
        <f t="shared" si="136"/>
        <v>-0.64</v>
      </c>
      <c r="K1225" t="str">
        <f t="shared" si="137"/>
        <v>Negative</v>
      </c>
      <c r="L1225" s="10">
        <f t="shared" si="138"/>
        <v>-5.11753566476151E-3</v>
      </c>
      <c r="M1225" t="str">
        <f t="shared" si="139"/>
        <v/>
      </c>
    </row>
    <row r="1226" spans="1:13" x14ac:dyDescent="0.2">
      <c r="A1226" s="21" t="s">
        <v>1253</v>
      </c>
      <c r="B1226" s="21" t="str">
        <f t="shared" si="133"/>
        <v>Tuesday</v>
      </c>
      <c r="C1226" s="9">
        <f t="shared" si="134"/>
        <v>45125</v>
      </c>
      <c r="D1226">
        <v>124.904999</v>
      </c>
      <c r="E1226">
        <v>124.989998</v>
      </c>
      <c r="F1226">
        <v>123.300003</v>
      </c>
      <c r="G1226">
        <v>124.08000199999999</v>
      </c>
      <c r="H1226">
        <v>21071200</v>
      </c>
      <c r="I1226">
        <f t="shared" si="135"/>
        <v>0</v>
      </c>
      <c r="J1226">
        <f t="shared" si="136"/>
        <v>-0.98</v>
      </c>
      <c r="K1226" t="str">
        <f t="shared" si="137"/>
        <v>Negative</v>
      </c>
      <c r="L1226" s="10">
        <f t="shared" si="138"/>
        <v>-7.8980978739829483E-3</v>
      </c>
      <c r="M1226" t="str">
        <f t="shared" si="139"/>
        <v/>
      </c>
    </row>
    <row r="1227" spans="1:13" x14ac:dyDescent="0.2">
      <c r="A1227" s="21" t="s">
        <v>1254</v>
      </c>
      <c r="B1227" s="21" t="str">
        <f t="shared" si="133"/>
        <v>Wednesday</v>
      </c>
      <c r="C1227" s="9">
        <f t="shared" si="134"/>
        <v>45126</v>
      </c>
      <c r="D1227">
        <v>124.790001</v>
      </c>
      <c r="E1227">
        <v>125.470001</v>
      </c>
      <c r="F1227">
        <v>122.470001</v>
      </c>
      <c r="G1227">
        <v>122.779999</v>
      </c>
      <c r="H1227">
        <v>22313800</v>
      </c>
      <c r="I1227">
        <f t="shared" si="135"/>
        <v>0</v>
      </c>
      <c r="J1227">
        <f t="shared" si="136"/>
        <v>-1.3</v>
      </c>
      <c r="K1227" t="str">
        <f t="shared" si="137"/>
        <v>Negative</v>
      </c>
      <c r="L1227" s="10">
        <f t="shared" si="138"/>
        <v>-1.0588068175501366E-2</v>
      </c>
      <c r="M1227" t="str">
        <f t="shared" si="139"/>
        <v/>
      </c>
    </row>
    <row r="1228" spans="1:13" x14ac:dyDescent="0.2">
      <c r="A1228" s="21" t="s">
        <v>1255</v>
      </c>
      <c r="B1228" s="21" t="str">
        <f t="shared" si="133"/>
        <v>Thursday</v>
      </c>
      <c r="C1228" s="9">
        <f t="shared" si="134"/>
        <v>45127</v>
      </c>
      <c r="D1228">
        <v>122.120003</v>
      </c>
      <c r="E1228">
        <v>124.699997</v>
      </c>
      <c r="F1228">
        <v>118.68499799999999</v>
      </c>
      <c r="G1228">
        <v>119.529999</v>
      </c>
      <c r="H1228">
        <v>27541700</v>
      </c>
      <c r="I1228">
        <f t="shared" si="135"/>
        <v>0</v>
      </c>
      <c r="J1228">
        <f t="shared" si="136"/>
        <v>-3.25</v>
      </c>
      <c r="K1228" t="str">
        <f t="shared" si="137"/>
        <v>Negative</v>
      </c>
      <c r="L1228" s="10">
        <f t="shared" si="138"/>
        <v>-2.7189827049191224E-2</v>
      </c>
      <c r="M1228" t="str">
        <f t="shared" si="139"/>
        <v/>
      </c>
    </row>
    <row r="1229" spans="1:13" x14ac:dyDescent="0.2">
      <c r="A1229" s="21" t="s">
        <v>1256</v>
      </c>
      <c r="B1229" s="21" t="str">
        <f t="shared" si="133"/>
        <v>Friday</v>
      </c>
      <c r="C1229" s="9">
        <f t="shared" si="134"/>
        <v>45128</v>
      </c>
      <c r="D1229">
        <v>120.870003</v>
      </c>
      <c r="E1229">
        <v>121.300003</v>
      </c>
      <c r="F1229">
        <v>119.07</v>
      </c>
      <c r="G1229">
        <v>120.30999799999999</v>
      </c>
      <c r="H1229">
        <v>56498100</v>
      </c>
      <c r="I1229">
        <f t="shared" si="135"/>
        <v>0</v>
      </c>
      <c r="J1229">
        <f t="shared" si="136"/>
        <v>0.78</v>
      </c>
      <c r="K1229" t="str">
        <f t="shared" si="137"/>
        <v>Positive</v>
      </c>
      <c r="L1229" s="10">
        <f t="shared" si="138"/>
        <v>6.4832433959477707E-3</v>
      </c>
      <c r="M1229" t="str">
        <f t="shared" si="139"/>
        <v/>
      </c>
    </row>
    <row r="1230" spans="1:13" x14ac:dyDescent="0.2">
      <c r="A1230" s="21" t="s">
        <v>1257</v>
      </c>
      <c r="B1230" s="21" t="str">
        <f t="shared" si="133"/>
        <v>Monday</v>
      </c>
      <c r="C1230" s="9">
        <f t="shared" si="134"/>
        <v>45131</v>
      </c>
      <c r="D1230">
        <v>121.92600299999999</v>
      </c>
      <c r="E1230">
        <v>123.349998</v>
      </c>
      <c r="F1230">
        <v>121.379997</v>
      </c>
      <c r="G1230">
        <v>121.879997</v>
      </c>
      <c r="H1230">
        <v>22276100</v>
      </c>
      <c r="I1230">
        <f t="shared" si="135"/>
        <v>0</v>
      </c>
      <c r="J1230">
        <f t="shared" si="136"/>
        <v>1.57</v>
      </c>
      <c r="K1230" t="str">
        <f t="shared" si="137"/>
        <v>Positive</v>
      </c>
      <c r="L1230" s="10">
        <f t="shared" si="138"/>
        <v>1.2881514921599562E-2</v>
      </c>
      <c r="M1230" t="str">
        <f t="shared" si="139"/>
        <v/>
      </c>
    </row>
    <row r="1231" spans="1:13" x14ac:dyDescent="0.2">
      <c r="A1231" s="21" t="s">
        <v>1258</v>
      </c>
      <c r="B1231" s="21" t="str">
        <f t="shared" si="133"/>
        <v>Tuesday</v>
      </c>
      <c r="C1231" s="9">
        <f t="shared" si="134"/>
        <v>45132</v>
      </c>
      <c r="D1231">
        <v>121.879997</v>
      </c>
      <c r="E1231">
        <v>123.69000200000001</v>
      </c>
      <c r="F1231">
        <v>121.529999</v>
      </c>
      <c r="G1231">
        <v>122.790001</v>
      </c>
      <c r="H1231">
        <v>31820800</v>
      </c>
      <c r="I1231">
        <f t="shared" si="135"/>
        <v>0</v>
      </c>
      <c r="J1231">
        <f t="shared" si="136"/>
        <v>0.91</v>
      </c>
      <c r="K1231" t="str">
        <f t="shared" si="137"/>
        <v>Positive</v>
      </c>
      <c r="L1231" s="10">
        <f t="shared" si="138"/>
        <v>7.4110594721796662E-3</v>
      </c>
      <c r="M1231" t="str">
        <f t="shared" si="139"/>
        <v/>
      </c>
    </row>
    <row r="1232" spans="1:13" x14ac:dyDescent="0.2">
      <c r="A1232" s="21" t="s">
        <v>1259</v>
      </c>
      <c r="B1232" s="21" t="str">
        <f t="shared" si="133"/>
        <v>Wednesday</v>
      </c>
      <c r="C1232" s="9">
        <f t="shared" si="134"/>
        <v>45133</v>
      </c>
      <c r="D1232">
        <v>130.36000100000001</v>
      </c>
      <c r="E1232">
        <v>131.36999499999999</v>
      </c>
      <c r="F1232">
        <v>128.71000699999999</v>
      </c>
      <c r="G1232">
        <v>129.66000399999999</v>
      </c>
      <c r="H1232">
        <v>46216900</v>
      </c>
      <c r="I1232">
        <f t="shared" si="135"/>
        <v>0</v>
      </c>
      <c r="J1232">
        <f t="shared" si="136"/>
        <v>6.87</v>
      </c>
      <c r="K1232" t="str">
        <f t="shared" si="137"/>
        <v>Positive</v>
      </c>
      <c r="L1232" s="10">
        <f t="shared" si="138"/>
        <v>5.2984750794855623E-2</v>
      </c>
      <c r="M1232">
        <f t="shared" si="139"/>
        <v>5.2984750794855623E-2</v>
      </c>
    </row>
    <row r="1233" spans="1:13" x14ac:dyDescent="0.2">
      <c r="A1233" s="21" t="s">
        <v>1260</v>
      </c>
      <c r="B1233" s="21" t="str">
        <f t="shared" si="133"/>
        <v>Thursday</v>
      </c>
      <c r="C1233" s="9">
        <f t="shared" si="134"/>
        <v>45134</v>
      </c>
      <c r="D1233">
        <v>131.800003</v>
      </c>
      <c r="E1233">
        <v>133.60000600000001</v>
      </c>
      <c r="F1233">
        <v>129.179993</v>
      </c>
      <c r="G1233">
        <v>129.86999499999999</v>
      </c>
      <c r="H1233">
        <v>35931600</v>
      </c>
      <c r="I1233">
        <f t="shared" si="135"/>
        <v>0</v>
      </c>
      <c r="J1233">
        <f t="shared" si="136"/>
        <v>0.21</v>
      </c>
      <c r="K1233" t="str">
        <f t="shared" si="137"/>
        <v>Positive</v>
      </c>
      <c r="L1233" s="10">
        <f t="shared" si="138"/>
        <v>1.6169323791842933E-3</v>
      </c>
      <c r="M1233" t="str">
        <f t="shared" si="139"/>
        <v/>
      </c>
    </row>
    <row r="1234" spans="1:13" x14ac:dyDescent="0.2">
      <c r="A1234" s="21" t="s">
        <v>1261</v>
      </c>
      <c r="B1234" s="21" t="str">
        <f t="shared" si="133"/>
        <v>Friday</v>
      </c>
      <c r="C1234" s="9">
        <f t="shared" si="134"/>
        <v>45135</v>
      </c>
      <c r="D1234">
        <v>130.970001</v>
      </c>
      <c r="E1234">
        <v>134.070007</v>
      </c>
      <c r="F1234">
        <v>130.91999799999999</v>
      </c>
      <c r="G1234">
        <v>133.009995</v>
      </c>
      <c r="H1234">
        <v>26971000</v>
      </c>
      <c r="I1234">
        <f t="shared" si="135"/>
        <v>0</v>
      </c>
      <c r="J1234">
        <f t="shared" si="136"/>
        <v>3.14</v>
      </c>
      <c r="K1234" t="str">
        <f t="shared" si="137"/>
        <v>Positive</v>
      </c>
      <c r="L1234" s="10">
        <f t="shared" si="138"/>
        <v>2.3607248462794203E-2</v>
      </c>
      <c r="M1234" t="str">
        <f t="shared" si="139"/>
        <v/>
      </c>
    </row>
    <row r="1235" spans="1:13" x14ac:dyDescent="0.2">
      <c r="A1235" s="21" t="s">
        <v>1262</v>
      </c>
      <c r="B1235" s="21" t="str">
        <f t="shared" si="133"/>
        <v>Monday</v>
      </c>
      <c r="C1235" s="9">
        <f t="shared" si="134"/>
        <v>45138</v>
      </c>
      <c r="D1235">
        <v>133.009995</v>
      </c>
      <c r="E1235">
        <v>133.83000200000001</v>
      </c>
      <c r="F1235">
        <v>132.13000500000001</v>
      </c>
      <c r="G1235">
        <v>133.11000100000001</v>
      </c>
      <c r="H1235">
        <v>18381900</v>
      </c>
      <c r="I1235">
        <f t="shared" si="135"/>
        <v>0</v>
      </c>
      <c r="J1235">
        <f t="shared" si="136"/>
        <v>0.1</v>
      </c>
      <c r="K1235" t="str">
        <f t="shared" si="137"/>
        <v>Positive</v>
      </c>
      <c r="L1235" s="10">
        <f t="shared" si="138"/>
        <v>7.5130342760652206E-4</v>
      </c>
      <c r="M1235" t="str">
        <f t="shared" si="139"/>
        <v/>
      </c>
    </row>
    <row r="1236" spans="1:13" x14ac:dyDescent="0.2">
      <c r="A1236" s="21" t="s">
        <v>1263</v>
      </c>
      <c r="B1236" s="21" t="str">
        <f t="shared" si="133"/>
        <v>Tuesday</v>
      </c>
      <c r="C1236" s="9">
        <f t="shared" si="134"/>
        <v>45139</v>
      </c>
      <c r="D1236">
        <v>130.854996</v>
      </c>
      <c r="E1236">
        <v>132.91999799999999</v>
      </c>
      <c r="F1236">
        <v>130.75</v>
      </c>
      <c r="G1236">
        <v>131.88999899999999</v>
      </c>
      <c r="H1236">
        <v>22154300</v>
      </c>
      <c r="I1236">
        <f t="shared" si="135"/>
        <v>0</v>
      </c>
      <c r="J1236">
        <f t="shared" si="136"/>
        <v>-1.22</v>
      </c>
      <c r="K1236" t="str">
        <f t="shared" si="137"/>
        <v>Negative</v>
      </c>
      <c r="L1236" s="10">
        <f t="shared" si="138"/>
        <v>-9.2501479206169562E-3</v>
      </c>
      <c r="M1236" t="str">
        <f t="shared" si="139"/>
        <v/>
      </c>
    </row>
    <row r="1237" spans="1:13" x14ac:dyDescent="0.2">
      <c r="A1237" s="21" t="s">
        <v>1264</v>
      </c>
      <c r="B1237" s="21" t="str">
        <f t="shared" si="133"/>
        <v>Wednesday</v>
      </c>
      <c r="C1237" s="9">
        <f t="shared" si="134"/>
        <v>45140</v>
      </c>
      <c r="D1237">
        <v>129.83999600000001</v>
      </c>
      <c r="E1237">
        <v>130.41999799999999</v>
      </c>
      <c r="F1237">
        <v>127.849998</v>
      </c>
      <c r="G1237">
        <v>128.63999899999999</v>
      </c>
      <c r="H1237">
        <v>22705800</v>
      </c>
      <c r="I1237">
        <f t="shared" si="135"/>
        <v>0</v>
      </c>
      <c r="J1237">
        <f t="shared" si="136"/>
        <v>-3.25</v>
      </c>
      <c r="K1237" t="str">
        <f t="shared" si="137"/>
        <v>Negative</v>
      </c>
      <c r="L1237" s="10">
        <f t="shared" si="138"/>
        <v>-2.5264303678982462E-2</v>
      </c>
      <c r="M1237" t="str">
        <f t="shared" si="139"/>
        <v/>
      </c>
    </row>
    <row r="1238" spans="1:13" x14ac:dyDescent="0.2">
      <c r="A1238" s="21" t="s">
        <v>1265</v>
      </c>
      <c r="B1238" s="21" t="str">
        <f t="shared" si="133"/>
        <v>Thursday</v>
      </c>
      <c r="C1238" s="9">
        <f t="shared" si="134"/>
        <v>45141</v>
      </c>
      <c r="D1238">
        <v>128.36999499999999</v>
      </c>
      <c r="E1238">
        <v>129.770004</v>
      </c>
      <c r="F1238">
        <v>127.775002</v>
      </c>
      <c r="G1238">
        <v>128.770004</v>
      </c>
      <c r="H1238">
        <v>15018100</v>
      </c>
      <c r="I1238">
        <f t="shared" si="135"/>
        <v>0</v>
      </c>
      <c r="J1238">
        <f t="shared" si="136"/>
        <v>0.13</v>
      </c>
      <c r="K1238" t="str">
        <f t="shared" si="137"/>
        <v>Positive</v>
      </c>
      <c r="L1238" s="10">
        <f t="shared" si="138"/>
        <v>1.0095907118245586E-3</v>
      </c>
      <c r="M1238" t="str">
        <f t="shared" si="139"/>
        <v/>
      </c>
    </row>
    <row r="1239" spans="1:13" x14ac:dyDescent="0.2">
      <c r="A1239" s="21" t="s">
        <v>1266</v>
      </c>
      <c r="B1239" s="21" t="str">
        <f t="shared" si="133"/>
        <v>Friday</v>
      </c>
      <c r="C1239" s="9">
        <f t="shared" si="134"/>
        <v>45142</v>
      </c>
      <c r="D1239">
        <v>129.60000600000001</v>
      </c>
      <c r="E1239">
        <v>131.929993</v>
      </c>
      <c r="F1239">
        <v>128.31500199999999</v>
      </c>
      <c r="G1239">
        <v>128.53999300000001</v>
      </c>
      <c r="H1239">
        <v>20509500</v>
      </c>
      <c r="I1239">
        <f t="shared" si="135"/>
        <v>0</v>
      </c>
      <c r="J1239">
        <f t="shared" si="136"/>
        <v>-0.23</v>
      </c>
      <c r="K1239" t="str">
        <f t="shared" si="137"/>
        <v>Negative</v>
      </c>
      <c r="L1239" s="10">
        <f t="shared" si="138"/>
        <v>-1.7894119536788088E-3</v>
      </c>
      <c r="M1239" t="str">
        <f t="shared" si="139"/>
        <v/>
      </c>
    </row>
    <row r="1240" spans="1:13" x14ac:dyDescent="0.2">
      <c r="A1240" s="21" t="s">
        <v>1267</v>
      </c>
      <c r="B1240" s="21" t="str">
        <f t="shared" si="133"/>
        <v>Monday</v>
      </c>
      <c r="C1240" s="9">
        <f t="shared" si="134"/>
        <v>45145</v>
      </c>
      <c r="D1240">
        <v>129.509995</v>
      </c>
      <c r="E1240">
        <v>132.05999800000001</v>
      </c>
      <c r="F1240">
        <v>129.429993</v>
      </c>
      <c r="G1240">
        <v>131.94000199999999</v>
      </c>
      <c r="H1240">
        <v>17621000</v>
      </c>
      <c r="I1240">
        <f t="shared" si="135"/>
        <v>0</v>
      </c>
      <c r="J1240">
        <f t="shared" si="136"/>
        <v>3.4</v>
      </c>
      <c r="K1240" t="str">
        <f t="shared" si="137"/>
        <v>Positive</v>
      </c>
      <c r="L1240" s="10">
        <f t="shared" si="138"/>
        <v>2.5769356892991278E-2</v>
      </c>
      <c r="M1240" t="str">
        <f t="shared" si="139"/>
        <v/>
      </c>
    </row>
    <row r="1241" spans="1:13" x14ac:dyDescent="0.2">
      <c r="A1241" s="21" t="s">
        <v>1268</v>
      </c>
      <c r="B1241" s="21" t="str">
        <f t="shared" si="133"/>
        <v>Tuesday</v>
      </c>
      <c r="C1241" s="9">
        <f t="shared" si="134"/>
        <v>45146</v>
      </c>
      <c r="D1241">
        <v>130.979996</v>
      </c>
      <c r="E1241">
        <v>131.94000199999999</v>
      </c>
      <c r="F1241">
        <v>130.13000500000001</v>
      </c>
      <c r="G1241">
        <v>131.83999600000001</v>
      </c>
      <c r="H1241">
        <v>16836000</v>
      </c>
      <c r="I1241">
        <f t="shared" si="135"/>
        <v>0</v>
      </c>
      <c r="J1241">
        <f t="shared" si="136"/>
        <v>-0.1</v>
      </c>
      <c r="K1241" t="str">
        <f t="shared" si="137"/>
        <v>Negative</v>
      </c>
      <c r="L1241" s="10">
        <f t="shared" si="138"/>
        <v>-7.5854067835362461E-4</v>
      </c>
      <c r="M1241" t="str">
        <f t="shared" si="139"/>
        <v/>
      </c>
    </row>
    <row r="1242" spans="1:13" x14ac:dyDescent="0.2">
      <c r="A1242" s="21" t="s">
        <v>1269</v>
      </c>
      <c r="B1242" s="21" t="str">
        <f t="shared" si="133"/>
        <v>Wednesday</v>
      </c>
      <c r="C1242" s="9">
        <f t="shared" si="134"/>
        <v>45147</v>
      </c>
      <c r="D1242">
        <v>132.19000199999999</v>
      </c>
      <c r="E1242">
        <v>132.470001</v>
      </c>
      <c r="F1242">
        <v>129.50500500000001</v>
      </c>
      <c r="G1242">
        <v>130.14999399999999</v>
      </c>
      <c r="H1242">
        <v>17745200</v>
      </c>
      <c r="I1242">
        <f t="shared" si="135"/>
        <v>0</v>
      </c>
      <c r="J1242">
        <f t="shared" si="136"/>
        <v>-1.69</v>
      </c>
      <c r="K1242" t="str">
        <f t="shared" si="137"/>
        <v>Negative</v>
      </c>
      <c r="L1242" s="10">
        <f t="shared" si="138"/>
        <v>-1.298503325324795E-2</v>
      </c>
      <c r="M1242" t="str">
        <f t="shared" si="139"/>
        <v/>
      </c>
    </row>
    <row r="1243" spans="1:13" x14ac:dyDescent="0.2">
      <c r="A1243" s="21" t="s">
        <v>1270</v>
      </c>
      <c r="B1243" s="21" t="str">
        <f t="shared" si="133"/>
        <v>Thursday</v>
      </c>
      <c r="C1243" s="9">
        <f t="shared" si="134"/>
        <v>45148</v>
      </c>
      <c r="D1243">
        <v>131.970001</v>
      </c>
      <c r="E1243">
        <v>132.64700300000001</v>
      </c>
      <c r="F1243">
        <v>130.03500399999999</v>
      </c>
      <c r="G1243">
        <v>130.21000699999999</v>
      </c>
      <c r="H1243">
        <v>17855700</v>
      </c>
      <c r="I1243">
        <f t="shared" si="135"/>
        <v>0</v>
      </c>
      <c r="J1243">
        <f t="shared" si="136"/>
        <v>0.06</v>
      </c>
      <c r="K1243" t="str">
        <f t="shared" si="137"/>
        <v>Positive</v>
      </c>
      <c r="L1243" s="10">
        <f t="shared" si="138"/>
        <v>4.608939157802048E-4</v>
      </c>
      <c r="M1243" t="str">
        <f t="shared" si="139"/>
        <v/>
      </c>
    </row>
    <row r="1244" spans="1:13" x14ac:dyDescent="0.2">
      <c r="A1244" s="21" t="s">
        <v>1271</v>
      </c>
      <c r="B1244" s="21" t="str">
        <f t="shared" si="133"/>
        <v>Friday</v>
      </c>
      <c r="C1244" s="9">
        <f t="shared" si="134"/>
        <v>45149</v>
      </c>
      <c r="D1244">
        <v>129.20199600000001</v>
      </c>
      <c r="E1244">
        <v>130.44000199999999</v>
      </c>
      <c r="F1244">
        <v>128.75</v>
      </c>
      <c r="G1244">
        <v>130.16999799999999</v>
      </c>
      <c r="H1244">
        <v>15191500</v>
      </c>
      <c r="I1244">
        <f t="shared" si="135"/>
        <v>0</v>
      </c>
      <c r="J1244">
        <f t="shared" si="136"/>
        <v>-0.04</v>
      </c>
      <c r="K1244" t="str">
        <f t="shared" si="137"/>
        <v>Negative</v>
      </c>
      <c r="L1244" s="10">
        <f t="shared" si="138"/>
        <v>-3.0735961139061971E-4</v>
      </c>
      <c r="M1244" t="str">
        <f t="shared" si="139"/>
        <v/>
      </c>
    </row>
    <row r="1245" spans="1:13" x14ac:dyDescent="0.2">
      <c r="A1245" s="21" t="s">
        <v>1272</v>
      </c>
      <c r="B1245" s="21" t="str">
        <f t="shared" si="133"/>
        <v>Monday</v>
      </c>
      <c r="C1245" s="9">
        <f t="shared" si="134"/>
        <v>45152</v>
      </c>
      <c r="D1245">
        <v>129.85000600000001</v>
      </c>
      <c r="E1245">
        <v>131.91000399999999</v>
      </c>
      <c r="F1245">
        <v>129.58999600000001</v>
      </c>
      <c r="G1245">
        <v>131.83000200000001</v>
      </c>
      <c r="H1245">
        <v>17526200</v>
      </c>
      <c r="I1245">
        <f t="shared" si="135"/>
        <v>0</v>
      </c>
      <c r="J1245">
        <f t="shared" si="136"/>
        <v>1.66</v>
      </c>
      <c r="K1245" t="str">
        <f t="shared" si="137"/>
        <v>Positive</v>
      </c>
      <c r="L1245" s="10">
        <f t="shared" si="138"/>
        <v>1.2592004663703296E-2</v>
      </c>
      <c r="M1245" t="str">
        <f t="shared" si="139"/>
        <v/>
      </c>
    </row>
    <row r="1246" spans="1:13" x14ac:dyDescent="0.2">
      <c r="A1246" s="21" t="s">
        <v>1273</v>
      </c>
      <c r="B1246" s="21" t="str">
        <f t="shared" si="133"/>
        <v>Tuesday</v>
      </c>
      <c r="C1246" s="9">
        <f t="shared" si="134"/>
        <v>45153</v>
      </c>
      <c r="D1246">
        <v>131.58999600000001</v>
      </c>
      <c r="E1246">
        <v>131.990005</v>
      </c>
      <c r="F1246">
        <v>129.81899999999999</v>
      </c>
      <c r="G1246">
        <v>130.270004</v>
      </c>
      <c r="H1246">
        <v>14769200</v>
      </c>
      <c r="I1246">
        <f t="shared" si="135"/>
        <v>0</v>
      </c>
      <c r="J1246">
        <f t="shared" si="136"/>
        <v>-1.56</v>
      </c>
      <c r="K1246" t="str">
        <f t="shared" si="137"/>
        <v>Negative</v>
      </c>
      <c r="L1246" s="10">
        <f t="shared" si="138"/>
        <v>-1.1975112858674721E-2</v>
      </c>
      <c r="M1246" t="str">
        <f t="shared" si="139"/>
        <v/>
      </c>
    </row>
    <row r="1247" spans="1:13" x14ac:dyDescent="0.2">
      <c r="A1247" s="21" t="s">
        <v>1274</v>
      </c>
      <c r="B1247" s="21" t="str">
        <f t="shared" si="133"/>
        <v>Wednesday</v>
      </c>
      <c r="C1247" s="9">
        <f t="shared" si="134"/>
        <v>45154</v>
      </c>
      <c r="D1247">
        <v>129.279999</v>
      </c>
      <c r="E1247">
        <v>130.89799500000001</v>
      </c>
      <c r="F1247">
        <v>128.46000699999999</v>
      </c>
      <c r="G1247">
        <v>129.11000100000001</v>
      </c>
      <c r="H1247">
        <v>17548400</v>
      </c>
      <c r="I1247">
        <f t="shared" si="135"/>
        <v>0</v>
      </c>
      <c r="J1247">
        <f t="shared" si="136"/>
        <v>-1.1599999999999999</v>
      </c>
      <c r="K1247" t="str">
        <f t="shared" si="137"/>
        <v>Negative</v>
      </c>
      <c r="L1247" s="10">
        <f t="shared" si="138"/>
        <v>-8.9846099528725805E-3</v>
      </c>
      <c r="M1247" t="str">
        <f t="shared" si="139"/>
        <v/>
      </c>
    </row>
    <row r="1248" spans="1:13" x14ac:dyDescent="0.2">
      <c r="A1248" s="21" t="s">
        <v>1275</v>
      </c>
      <c r="B1248" s="21" t="str">
        <f t="shared" si="133"/>
        <v>Thursday</v>
      </c>
      <c r="C1248" s="9">
        <f t="shared" si="134"/>
        <v>45155</v>
      </c>
      <c r="D1248">
        <v>130.449997</v>
      </c>
      <c r="E1248">
        <v>132.49099699999999</v>
      </c>
      <c r="F1248">
        <v>129.85000600000001</v>
      </c>
      <c r="G1248">
        <v>130.46000699999999</v>
      </c>
      <c r="H1248">
        <v>23665600</v>
      </c>
      <c r="I1248">
        <f t="shared" si="135"/>
        <v>0</v>
      </c>
      <c r="J1248">
        <f t="shared" si="136"/>
        <v>1.35</v>
      </c>
      <c r="K1248" t="str">
        <f t="shared" si="137"/>
        <v>Positive</v>
      </c>
      <c r="L1248" s="10">
        <f t="shared" si="138"/>
        <v>1.0348044822655722E-2</v>
      </c>
      <c r="M1248" t="str">
        <f t="shared" si="139"/>
        <v/>
      </c>
    </row>
    <row r="1249" spans="1:13" x14ac:dyDescent="0.2">
      <c r="A1249" s="21" t="s">
        <v>1276</v>
      </c>
      <c r="B1249" s="21" t="str">
        <f t="shared" si="133"/>
        <v>Friday</v>
      </c>
      <c r="C1249" s="9">
        <f t="shared" si="134"/>
        <v>45156</v>
      </c>
      <c r="D1249">
        <v>129.05999800000001</v>
      </c>
      <c r="E1249">
        <v>129.83000200000001</v>
      </c>
      <c r="F1249">
        <v>127</v>
      </c>
      <c r="G1249">
        <v>128.11000100000001</v>
      </c>
      <c r="H1249">
        <v>23619400</v>
      </c>
      <c r="I1249">
        <f t="shared" si="135"/>
        <v>0</v>
      </c>
      <c r="J1249">
        <f t="shared" si="136"/>
        <v>-2.35</v>
      </c>
      <c r="K1249" t="str">
        <f t="shared" si="137"/>
        <v>Negative</v>
      </c>
      <c r="L1249" s="10">
        <f t="shared" si="138"/>
        <v>-1.834365765089627E-2</v>
      </c>
      <c r="M1249" t="str">
        <f t="shared" si="139"/>
        <v/>
      </c>
    </row>
    <row r="1250" spans="1:13" x14ac:dyDescent="0.2">
      <c r="A1250" s="21" t="s">
        <v>1277</v>
      </c>
      <c r="B1250" s="21" t="str">
        <f t="shared" si="133"/>
        <v>Monday</v>
      </c>
      <c r="C1250" s="9">
        <f t="shared" si="134"/>
        <v>45159</v>
      </c>
      <c r="D1250">
        <v>127.849998</v>
      </c>
      <c r="E1250">
        <v>129.259995</v>
      </c>
      <c r="F1250">
        <v>127.160004</v>
      </c>
      <c r="G1250">
        <v>128.929993</v>
      </c>
      <c r="H1250">
        <v>21851100</v>
      </c>
      <c r="I1250">
        <f t="shared" si="135"/>
        <v>0</v>
      </c>
      <c r="J1250">
        <f t="shared" si="136"/>
        <v>0.82</v>
      </c>
      <c r="K1250" t="str">
        <f t="shared" si="137"/>
        <v>Positive</v>
      </c>
      <c r="L1250" s="10">
        <f t="shared" si="138"/>
        <v>6.3599786280914864E-3</v>
      </c>
      <c r="M1250" t="str">
        <f t="shared" si="139"/>
        <v/>
      </c>
    </row>
    <row r="1251" spans="1:13" x14ac:dyDescent="0.2">
      <c r="A1251" s="21" t="s">
        <v>1278</v>
      </c>
      <c r="B1251" s="21" t="str">
        <f t="shared" si="133"/>
        <v>Tuesday</v>
      </c>
      <c r="C1251" s="9">
        <f t="shared" si="134"/>
        <v>45160</v>
      </c>
      <c r="D1251">
        <v>129.13000500000001</v>
      </c>
      <c r="E1251">
        <v>130.949997</v>
      </c>
      <c r="F1251">
        <v>128.925003</v>
      </c>
      <c r="G1251">
        <v>129.69000199999999</v>
      </c>
      <c r="H1251">
        <v>15569400</v>
      </c>
      <c r="I1251">
        <f t="shared" si="135"/>
        <v>0</v>
      </c>
      <c r="J1251">
        <f t="shared" si="136"/>
        <v>0.76</v>
      </c>
      <c r="K1251" t="str">
        <f t="shared" si="137"/>
        <v>Positive</v>
      </c>
      <c r="L1251" s="10">
        <f t="shared" si="138"/>
        <v>5.860197303412769E-3</v>
      </c>
      <c r="M1251" t="str">
        <f t="shared" si="139"/>
        <v/>
      </c>
    </row>
    <row r="1252" spans="1:13" x14ac:dyDescent="0.2">
      <c r="A1252" s="21" t="s">
        <v>1279</v>
      </c>
      <c r="B1252" s="21" t="str">
        <f t="shared" si="133"/>
        <v>Wednesday</v>
      </c>
      <c r="C1252" s="9">
        <f t="shared" si="134"/>
        <v>45161</v>
      </c>
      <c r="D1252">
        <v>130.85000600000001</v>
      </c>
      <c r="E1252">
        <v>134.070007</v>
      </c>
      <c r="F1252">
        <v>130.509995</v>
      </c>
      <c r="G1252">
        <v>133.21000699999999</v>
      </c>
      <c r="H1252">
        <v>26497000</v>
      </c>
      <c r="I1252">
        <f t="shared" si="135"/>
        <v>0</v>
      </c>
      <c r="J1252">
        <f t="shared" si="136"/>
        <v>3.52</v>
      </c>
      <c r="K1252" t="str">
        <f t="shared" si="137"/>
        <v>Positive</v>
      </c>
      <c r="L1252" s="10">
        <f t="shared" si="138"/>
        <v>2.6424478755563745E-2</v>
      </c>
      <c r="M1252" t="str">
        <f t="shared" si="139"/>
        <v/>
      </c>
    </row>
    <row r="1253" spans="1:13" x14ac:dyDescent="0.2">
      <c r="A1253" s="21" t="s">
        <v>1280</v>
      </c>
      <c r="B1253" s="21" t="str">
        <f t="shared" si="133"/>
        <v>Thursday</v>
      </c>
      <c r="C1253" s="9">
        <f t="shared" si="134"/>
        <v>45162</v>
      </c>
      <c r="D1253">
        <v>134.72700499999999</v>
      </c>
      <c r="E1253">
        <v>134.970001</v>
      </c>
      <c r="F1253">
        <v>130.300003</v>
      </c>
      <c r="G1253">
        <v>130.41999799999999</v>
      </c>
      <c r="H1253">
        <v>18680400</v>
      </c>
      <c r="I1253">
        <f t="shared" si="135"/>
        <v>0</v>
      </c>
      <c r="J1253">
        <f t="shared" si="136"/>
        <v>-2.79</v>
      </c>
      <c r="K1253" t="str">
        <f t="shared" si="137"/>
        <v>Negative</v>
      </c>
      <c r="L1253" s="10">
        <f t="shared" si="138"/>
        <v>-2.1392493810650098E-2</v>
      </c>
      <c r="M1253" t="str">
        <f t="shared" si="139"/>
        <v/>
      </c>
    </row>
    <row r="1254" spans="1:13" x14ac:dyDescent="0.2">
      <c r="A1254" s="21" t="s">
        <v>1281</v>
      </c>
      <c r="B1254" s="21" t="str">
        <f t="shared" si="133"/>
        <v>Friday</v>
      </c>
      <c r="C1254" s="9">
        <f t="shared" si="134"/>
        <v>45163</v>
      </c>
      <c r="D1254">
        <v>130.13999899999999</v>
      </c>
      <c r="E1254">
        <v>131.39999399999999</v>
      </c>
      <c r="F1254">
        <v>128.03999300000001</v>
      </c>
      <c r="G1254">
        <v>130.69000199999999</v>
      </c>
      <c r="H1254">
        <v>20678100</v>
      </c>
      <c r="I1254">
        <f t="shared" si="135"/>
        <v>0</v>
      </c>
      <c r="J1254">
        <f t="shared" si="136"/>
        <v>0.27</v>
      </c>
      <c r="K1254" t="str">
        <f t="shared" si="137"/>
        <v>Positive</v>
      </c>
      <c r="L1254" s="10">
        <f t="shared" si="138"/>
        <v>2.065988184773309E-3</v>
      </c>
      <c r="M1254" t="str">
        <f t="shared" si="139"/>
        <v/>
      </c>
    </row>
    <row r="1255" spans="1:13" x14ac:dyDescent="0.2">
      <c r="A1255" s="21" t="s">
        <v>1282</v>
      </c>
      <c r="B1255" s="21" t="str">
        <f t="shared" si="133"/>
        <v>Monday</v>
      </c>
      <c r="C1255" s="9">
        <f t="shared" si="134"/>
        <v>45166</v>
      </c>
      <c r="D1255">
        <v>132.08000200000001</v>
      </c>
      <c r="E1255">
        <v>133.240005</v>
      </c>
      <c r="F1255">
        <v>130.85000600000001</v>
      </c>
      <c r="G1255">
        <v>131.78999300000001</v>
      </c>
      <c r="H1255">
        <v>16715500</v>
      </c>
      <c r="I1255">
        <f t="shared" si="135"/>
        <v>0</v>
      </c>
      <c r="J1255">
        <f t="shared" si="136"/>
        <v>1.1000000000000001</v>
      </c>
      <c r="K1255" t="str">
        <f t="shared" si="137"/>
        <v>Positive</v>
      </c>
      <c r="L1255" s="10">
        <f t="shared" si="138"/>
        <v>8.3465441871600748E-3</v>
      </c>
      <c r="M1255" t="str">
        <f t="shared" si="139"/>
        <v/>
      </c>
    </row>
    <row r="1256" spans="1:13" x14ac:dyDescent="0.2">
      <c r="A1256" s="21" t="s">
        <v>1283</v>
      </c>
      <c r="B1256" s="21" t="str">
        <f t="shared" si="133"/>
        <v>Tuesday</v>
      </c>
      <c r="C1256" s="9">
        <f t="shared" si="134"/>
        <v>45167</v>
      </c>
      <c r="D1256">
        <v>132.99800099999999</v>
      </c>
      <c r="E1256">
        <v>137.29499799999999</v>
      </c>
      <c r="F1256">
        <v>132.979996</v>
      </c>
      <c r="G1256">
        <v>135.490005</v>
      </c>
      <c r="H1256">
        <v>30803300</v>
      </c>
      <c r="I1256">
        <f t="shared" si="135"/>
        <v>0</v>
      </c>
      <c r="J1256">
        <f t="shared" si="136"/>
        <v>3.7</v>
      </c>
      <c r="K1256" t="str">
        <f t="shared" si="137"/>
        <v>Positive</v>
      </c>
      <c r="L1256" s="10">
        <f t="shared" si="138"/>
        <v>2.7308375994229146E-2</v>
      </c>
      <c r="M1256" t="str">
        <f t="shared" si="139"/>
        <v/>
      </c>
    </row>
    <row r="1257" spans="1:13" x14ac:dyDescent="0.2">
      <c r="A1257" s="21" t="s">
        <v>1284</v>
      </c>
      <c r="B1257" s="21" t="str">
        <f t="shared" si="133"/>
        <v>Wednesday</v>
      </c>
      <c r="C1257" s="9">
        <f t="shared" si="134"/>
        <v>45168</v>
      </c>
      <c r="D1257">
        <v>135.570007</v>
      </c>
      <c r="E1257">
        <v>137.25</v>
      </c>
      <c r="F1257">
        <v>135.020996</v>
      </c>
      <c r="G1257">
        <v>136.929993</v>
      </c>
      <c r="H1257">
        <v>21773400</v>
      </c>
      <c r="I1257">
        <f t="shared" si="135"/>
        <v>0</v>
      </c>
      <c r="J1257">
        <f t="shared" si="136"/>
        <v>1.44</v>
      </c>
      <c r="K1257" t="str">
        <f t="shared" si="137"/>
        <v>Positive</v>
      </c>
      <c r="L1257" s="10">
        <f t="shared" si="138"/>
        <v>1.0516235110009826E-2</v>
      </c>
      <c r="M1257" t="str">
        <f t="shared" si="139"/>
        <v/>
      </c>
    </row>
    <row r="1258" spans="1:13" x14ac:dyDescent="0.2">
      <c r="A1258" s="21" t="s">
        <v>1285</v>
      </c>
      <c r="B1258" s="21" t="str">
        <f t="shared" si="133"/>
        <v>Thursday</v>
      </c>
      <c r="C1258" s="9">
        <f t="shared" si="134"/>
        <v>45169</v>
      </c>
      <c r="D1258">
        <v>137.050003</v>
      </c>
      <c r="E1258">
        <v>138.39999399999999</v>
      </c>
      <c r="F1258">
        <v>136.820007</v>
      </c>
      <c r="G1258">
        <v>137.35000600000001</v>
      </c>
      <c r="H1258">
        <v>28147900</v>
      </c>
      <c r="I1258">
        <f t="shared" si="135"/>
        <v>0</v>
      </c>
      <c r="J1258">
        <f t="shared" si="136"/>
        <v>0.42</v>
      </c>
      <c r="K1258" t="str">
        <f t="shared" si="137"/>
        <v>Positive</v>
      </c>
      <c r="L1258" s="10">
        <f t="shared" si="138"/>
        <v>3.0579758402049977E-3</v>
      </c>
      <c r="M1258" t="str">
        <f t="shared" si="139"/>
        <v/>
      </c>
    </row>
    <row r="1259" spans="1:13" s="24" customFormat="1" x14ac:dyDescent="0.2">
      <c r="A1259" s="22" t="s">
        <v>1286</v>
      </c>
      <c r="B1259" s="22" t="str">
        <f t="shared" si="133"/>
        <v>Friday</v>
      </c>
      <c r="C1259" s="23">
        <f t="shared" si="134"/>
        <v>45170</v>
      </c>
      <c r="D1259" s="24">
        <v>138.429993</v>
      </c>
      <c r="E1259" s="24">
        <v>138.58000200000001</v>
      </c>
      <c r="F1259" s="24">
        <v>135.94000199999999</v>
      </c>
      <c r="G1259" s="24">
        <v>136.800003</v>
      </c>
      <c r="H1259" s="24">
        <v>16665700</v>
      </c>
      <c r="I1259" s="24">
        <f t="shared" si="135"/>
        <v>0</v>
      </c>
      <c r="J1259" s="24">
        <f t="shared" si="136"/>
        <v>-0.55000000000000004</v>
      </c>
      <c r="K1259" s="24" t="str">
        <f t="shared" si="137"/>
        <v>Negative</v>
      </c>
      <c r="L1259" s="25">
        <f t="shared" si="138"/>
        <v>-4.0204896779132658E-3</v>
      </c>
      <c r="M1259" s="24" t="str">
        <f t="shared" si="139"/>
        <v/>
      </c>
    </row>
  </sheetData>
  <autoFilter ref="A1:M1259" xr:uid="{00000000-0009-0000-0000-000000000000}"/>
  <conditionalFormatting sqref="K1:K1048576">
    <cfRule type="cellIs" dxfId="2" priority="1" operator="equal">
      <formula>"Negative"</formula>
    </cfRule>
    <cfRule type="cellIs" dxfId="1" priority="2" operator="equal">
      <formula>"Positive"</formula>
    </cfRule>
    <cfRule type="cellIs" dxfId="0" priority="3" operator="equal">
      <formula>"Neutral"</formula>
    </cfRule>
    <cfRule type="colorScale" priority="4">
      <colorScale>
        <cfvo type="num" val="&quot;&gt;0&quot;"/>
        <cfvo type="num" val="0"/>
        <cfvo type="num" val="&quot;&lt;0&quot;"/>
        <color rgb="FFFF7128"/>
        <color rgb="FFFFEB84"/>
        <color theme="9"/>
      </colorScale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76BA4-307C-2248-84CB-41F10594B43E}">
  <sheetPr codeName="Sheet4"/>
  <dimension ref="A1"/>
  <sheetViews>
    <sheetView workbookViewId="0">
      <selection activeCell="O9" sqref="O9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BF4A0-0EDC-544D-B03C-538AD4B434C1}">
  <sheetPr codeName="Sheet5"/>
  <dimension ref="A1:E20"/>
  <sheetViews>
    <sheetView workbookViewId="0">
      <selection activeCell="H10" sqref="H10"/>
    </sheetView>
  </sheetViews>
  <sheetFormatPr baseColWidth="10" defaultRowHeight="16" x14ac:dyDescent="0.2"/>
  <cols>
    <col min="5" max="5" width="16.6640625" bestFit="1" customWidth="1"/>
  </cols>
  <sheetData>
    <row r="1" spans="1:5" ht="17" x14ac:dyDescent="0.2">
      <c r="A1" s="4" t="s">
        <v>17</v>
      </c>
      <c r="B1" s="11" t="s">
        <v>19</v>
      </c>
      <c r="C1" s="11" t="s">
        <v>20</v>
      </c>
      <c r="D1" s="12" t="s">
        <v>1287</v>
      </c>
      <c r="E1" s="7" t="s">
        <v>1288</v>
      </c>
    </row>
    <row r="2" spans="1:5" x14ac:dyDescent="0.2">
      <c r="A2" s="9">
        <v>45133</v>
      </c>
      <c r="B2">
        <f>VLOOKUP(A2,Alphabet!$C:$G,3,FALSE)</f>
        <v>131.36999499999999</v>
      </c>
      <c r="C2">
        <f>VLOOKUP(A2,Alphabet!C:G,4,FALSE)</f>
        <v>128.71000699999999</v>
      </c>
      <c r="D2">
        <f t="shared" ref="D2:D20" si="0">B2-C2</f>
        <v>2.6599879999999985</v>
      </c>
      <c r="E2" s="10">
        <f t="shared" ref="E2:E20" si="1">D2/C2</f>
        <v>2.0666520513824529E-2</v>
      </c>
    </row>
    <row r="3" spans="1:5" x14ac:dyDescent="0.2">
      <c r="A3" s="9">
        <v>44959</v>
      </c>
      <c r="B3">
        <f>VLOOKUP(A3,Alphabet!$C:$G,3,FALSE)</f>
        <v>108.82</v>
      </c>
      <c r="C3">
        <f>VLOOKUP(A3,Alphabet!C:G,4,FALSE)</f>
        <v>106.540001</v>
      </c>
      <c r="D3">
        <f t="shared" si="0"/>
        <v>2.2799989999999895</v>
      </c>
      <c r="E3" s="10">
        <f t="shared" si="1"/>
        <v>2.140040340341267E-2</v>
      </c>
    </row>
    <row r="4" spans="1:5" x14ac:dyDescent="0.2">
      <c r="A4" s="9">
        <v>43950</v>
      </c>
      <c r="B4">
        <f>VLOOKUP(A4,Alphabet!$C:$G,3,FALSE)</f>
        <v>67.999495999999994</v>
      </c>
      <c r="C4">
        <f>VLOOKUP(A4,Alphabet!C:G,4,FALSE)</f>
        <v>66.266998000000001</v>
      </c>
      <c r="D4">
        <f t="shared" si="0"/>
        <v>1.7324979999999925</v>
      </c>
      <c r="E4" s="10">
        <f t="shared" si="1"/>
        <v>2.6144205295069993E-2</v>
      </c>
    </row>
    <row r="5" spans="1:5" x14ac:dyDescent="0.2">
      <c r="A5" s="9">
        <v>44875</v>
      </c>
      <c r="B5">
        <f>VLOOKUP(A5,Alphabet!$C:$G,3,FALSE)</f>
        <v>94.550003000000004</v>
      </c>
      <c r="C5">
        <f>VLOOKUP(A5,Alphabet!C:G,4,FALSE)</f>
        <v>91.650002000000001</v>
      </c>
      <c r="D5">
        <f t="shared" si="0"/>
        <v>2.9000010000000032</v>
      </c>
      <c r="E5" s="10">
        <f t="shared" si="1"/>
        <v>3.1642126969075278E-2</v>
      </c>
    </row>
    <row r="6" spans="1:5" x14ac:dyDescent="0.2">
      <c r="A6" s="9">
        <v>43672</v>
      </c>
      <c r="B6">
        <f>VLOOKUP(A6,Alphabet!$C:$G,3,FALSE)</f>
        <v>63.277500000000003</v>
      </c>
      <c r="C6">
        <f>VLOOKUP(A6,Alphabet!C:G,4,FALSE)</f>
        <v>61.200001</v>
      </c>
      <c r="D6">
        <f t="shared" si="0"/>
        <v>2.0774990000000031</v>
      </c>
      <c r="E6" s="10">
        <f t="shared" si="1"/>
        <v>3.3946061536829109E-2</v>
      </c>
    </row>
    <row r="7" spans="1:5" x14ac:dyDescent="0.2">
      <c r="A7" s="9">
        <v>44946</v>
      </c>
      <c r="B7">
        <f>VLOOKUP(A7,Alphabet!$C:$G,3,FALSE)</f>
        <v>99.419998000000007</v>
      </c>
      <c r="C7">
        <f>VLOOKUP(A7,Alphabet!C:G,4,FALSE)</f>
        <v>95.910004000000001</v>
      </c>
      <c r="D7">
        <f t="shared" si="0"/>
        <v>3.5099940000000061</v>
      </c>
      <c r="E7" s="10">
        <f t="shared" si="1"/>
        <v>3.6596745423970643E-2</v>
      </c>
    </row>
    <row r="8" spans="1:5" x14ac:dyDescent="0.2">
      <c r="A8" s="9">
        <v>44139</v>
      </c>
      <c r="B8">
        <f>VLOOKUP(A8,Alphabet!$C:$G,3,FALSE)</f>
        <v>88.568252999999999</v>
      </c>
      <c r="C8">
        <f>VLOOKUP(A8,Alphabet!C:G,4,FALSE)</f>
        <v>85.301497999999995</v>
      </c>
      <c r="D8">
        <f t="shared" si="0"/>
        <v>3.2667550000000034</v>
      </c>
      <c r="E8" s="10">
        <f t="shared" si="1"/>
        <v>3.8296572470509292E-2</v>
      </c>
    </row>
    <row r="9" spans="1:5" x14ac:dyDescent="0.2">
      <c r="A9" s="9">
        <v>43914</v>
      </c>
      <c r="B9">
        <f>VLOOKUP(A9,Alphabet!$C:$G,3,FALSE)</f>
        <v>56.75</v>
      </c>
      <c r="C9">
        <f>VLOOKUP(A9,Alphabet!C:G,4,FALSE)</f>
        <v>54.530997999999997</v>
      </c>
      <c r="D9">
        <f t="shared" si="0"/>
        <v>2.2190020000000032</v>
      </c>
      <c r="E9" s="10">
        <f t="shared" si="1"/>
        <v>4.069248833480002E-2</v>
      </c>
    </row>
    <row r="10" spans="1:5" x14ac:dyDescent="0.2">
      <c r="A10" s="9">
        <v>43469</v>
      </c>
      <c r="B10">
        <f>VLOOKUP(A10,Alphabet!$C:$G,3,FALSE)</f>
        <v>53.542000000000002</v>
      </c>
      <c r="C10">
        <f>VLOOKUP(A10,Alphabet!C:G,4,FALSE)</f>
        <v>51.370899000000001</v>
      </c>
      <c r="D10">
        <f t="shared" si="0"/>
        <v>2.1711010000000002</v>
      </c>
      <c r="E10" s="10">
        <f t="shared" si="1"/>
        <v>4.2263247135309039E-2</v>
      </c>
    </row>
    <row r="11" spans="1:5" x14ac:dyDescent="0.2">
      <c r="A11" s="9">
        <v>44216</v>
      </c>
      <c r="B11">
        <f>VLOOKUP(A11,Alphabet!$C:$G,3,FALSE)</f>
        <v>95.185501000000002</v>
      </c>
      <c r="C11">
        <f>VLOOKUP(A11,Alphabet!C:G,4,FALSE)</f>
        <v>91.276497000000006</v>
      </c>
      <c r="D11">
        <f t="shared" si="0"/>
        <v>3.9090039999999959</v>
      </c>
      <c r="E11" s="10">
        <f t="shared" si="1"/>
        <v>4.2825964278624715E-2</v>
      </c>
    </row>
    <row r="12" spans="1:5" x14ac:dyDescent="0.2">
      <c r="A12" s="9">
        <v>44594</v>
      </c>
      <c r="B12">
        <f>VLOOKUP(A12,Alphabet!$C:$G,3,FALSE)</f>
        <v>152.10000600000001</v>
      </c>
      <c r="C12">
        <f>VLOOKUP(A12,Alphabet!C:G,4,FALSE)</f>
        <v>145.55749499999999</v>
      </c>
      <c r="D12">
        <f t="shared" si="0"/>
        <v>6.5425110000000188</v>
      </c>
      <c r="E12" s="10">
        <f t="shared" si="1"/>
        <v>4.4947949949262447E-2</v>
      </c>
    </row>
    <row r="13" spans="1:5" x14ac:dyDescent="0.2">
      <c r="A13" s="9">
        <v>44230</v>
      </c>
      <c r="B13">
        <f>VLOOKUP(A13,Alphabet!$C:$G,3,FALSE)</f>
        <v>105.824997</v>
      </c>
      <c r="C13">
        <f>VLOOKUP(A13,Alphabet!C:G,4,FALSE)</f>
        <v>100.918999</v>
      </c>
      <c r="D13">
        <f t="shared" si="0"/>
        <v>4.9059979999999968</v>
      </c>
      <c r="E13" s="10">
        <f t="shared" si="1"/>
        <v>4.8613224948852264E-2</v>
      </c>
    </row>
    <row r="14" spans="1:5" x14ac:dyDescent="0.2">
      <c r="A14" s="9">
        <v>43900</v>
      </c>
      <c r="B14">
        <f>VLOOKUP(A14,Alphabet!$C:$G,3,FALSE)</f>
        <v>64.057502999999997</v>
      </c>
      <c r="C14">
        <f>VLOOKUP(A14,Alphabet!C:G,4,FALSE)</f>
        <v>60.938499</v>
      </c>
      <c r="D14">
        <f t="shared" si="0"/>
        <v>3.1190039999999968</v>
      </c>
      <c r="E14" s="10">
        <f t="shared" si="1"/>
        <v>5.1182816301399169E-2</v>
      </c>
    </row>
    <row r="15" spans="1:5" x14ac:dyDescent="0.2">
      <c r="A15" s="9">
        <v>44769</v>
      </c>
      <c r="B15">
        <f>VLOOKUP(A15,Alphabet!$C:$G,3,FALSE)</f>
        <v>114.400002</v>
      </c>
      <c r="C15">
        <f>VLOOKUP(A15,Alphabet!C:G,4,FALSE)</f>
        <v>108.41999800000001</v>
      </c>
      <c r="D15">
        <f t="shared" si="0"/>
        <v>5.9800039999999939</v>
      </c>
      <c r="E15" s="10">
        <f t="shared" si="1"/>
        <v>5.5155913210771262E-2</v>
      </c>
    </row>
    <row r="16" spans="1:5" x14ac:dyDescent="0.2">
      <c r="A16" s="9">
        <v>43927</v>
      </c>
      <c r="B16">
        <f>VLOOKUP(A16,Alphabet!$C:$G,3,FALSE)</f>
        <v>59.733001999999999</v>
      </c>
      <c r="C16">
        <f>VLOOKUP(A16,Alphabet!C:G,4,FALSE)</f>
        <v>56.547001000000002</v>
      </c>
      <c r="D16">
        <f t="shared" si="0"/>
        <v>3.1860009999999974</v>
      </c>
      <c r="E16" s="10">
        <f t="shared" si="1"/>
        <v>5.6342528227093729E-2</v>
      </c>
    </row>
    <row r="17" spans="1:5" x14ac:dyDescent="0.2">
      <c r="A17" s="9">
        <v>43460</v>
      </c>
      <c r="B17">
        <f>VLOOKUP(A17,Alphabet!$C:$G,3,FALSE)</f>
        <v>52</v>
      </c>
      <c r="C17">
        <f>VLOOKUP(A17,Alphabet!C:G,4,FALSE)</f>
        <v>49.150002000000001</v>
      </c>
      <c r="D17">
        <f t="shared" si="0"/>
        <v>2.8499979999999994</v>
      </c>
      <c r="E17" s="10">
        <f t="shared" si="1"/>
        <v>5.7985714832727762E-2</v>
      </c>
    </row>
    <row r="18" spans="1:5" x14ac:dyDescent="0.2">
      <c r="A18" s="9">
        <v>43916</v>
      </c>
      <c r="B18">
        <f>VLOOKUP(A18,Alphabet!$C:$G,3,FALSE)</f>
        <v>58.498500999999997</v>
      </c>
      <c r="C18">
        <f>VLOOKUP(A18,Alphabet!C:G,4,FALSE)</f>
        <v>54.676498000000002</v>
      </c>
      <c r="D18">
        <f t="shared" si="0"/>
        <v>3.8220029999999952</v>
      </c>
      <c r="E18" s="10">
        <f t="shared" si="1"/>
        <v>6.9902117725242657E-2</v>
      </c>
    </row>
    <row r="19" spans="1:5" x14ac:dyDescent="0.2">
      <c r="A19" s="9">
        <v>44895</v>
      </c>
      <c r="B19">
        <f>VLOOKUP(A19,Alphabet!$C:$G,3,FALSE)</f>
        <v>101.449997</v>
      </c>
      <c r="C19">
        <f>VLOOKUP(A19,Alphabet!C:G,4,FALSE)</f>
        <v>94.669998000000007</v>
      </c>
      <c r="D19">
        <f t="shared" si="0"/>
        <v>6.7799989999999895</v>
      </c>
      <c r="E19" s="10">
        <f t="shared" si="1"/>
        <v>7.1617187527562728E-2</v>
      </c>
    </row>
    <row r="20" spans="1:5" x14ac:dyDescent="0.2">
      <c r="A20" s="9">
        <v>43903</v>
      </c>
      <c r="B20">
        <f>VLOOKUP(A20,Alphabet!$C:$G,3,FALSE)</f>
        <v>60.987999000000002</v>
      </c>
      <c r="C20">
        <f>VLOOKUP(A20,Alphabet!C:G,4,FALSE)</f>
        <v>55.857151000000002</v>
      </c>
      <c r="D20">
        <f t="shared" si="0"/>
        <v>5.1308480000000003</v>
      </c>
      <c r="E20" s="10">
        <f t="shared" si="1"/>
        <v>9.1856600419881779E-2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37F13-CFCB-D044-9939-FB2359091003}">
  <sheetPr codeName="Sheet6"/>
  <dimension ref="A1:D9"/>
  <sheetViews>
    <sheetView workbookViewId="0">
      <selection activeCell="C11" sqref="C11"/>
    </sheetView>
  </sheetViews>
  <sheetFormatPr baseColWidth="10" defaultRowHeight="16" x14ac:dyDescent="0.2"/>
  <cols>
    <col min="1" max="1" width="13" bestFit="1" customWidth="1"/>
    <col min="2" max="2" width="15.5" bestFit="1" customWidth="1"/>
    <col min="3" max="3" width="7.6640625" bestFit="1" customWidth="1"/>
    <col min="4" max="5" width="10.83203125" bestFit="1" customWidth="1"/>
    <col min="6" max="6" width="7.33203125" bestFit="1" customWidth="1"/>
    <col min="7" max="7" width="7.6640625" bestFit="1" customWidth="1"/>
    <col min="8" max="8" width="8.83203125" bestFit="1" customWidth="1"/>
    <col min="9" max="9" width="8.6640625" bestFit="1" customWidth="1"/>
    <col min="10" max="10" width="7.33203125" bestFit="1" customWidth="1"/>
    <col min="11" max="11" width="7.6640625" bestFit="1" customWidth="1"/>
    <col min="12" max="12" width="9.1640625" bestFit="1" customWidth="1"/>
    <col min="13" max="13" width="8.6640625" bestFit="1" customWidth="1"/>
    <col min="14" max="14" width="7.33203125" bestFit="1" customWidth="1"/>
    <col min="15" max="15" width="7.6640625" bestFit="1" customWidth="1"/>
    <col min="16" max="17" width="8.6640625" bestFit="1" customWidth="1"/>
    <col min="18" max="18" width="7.6640625" bestFit="1" customWidth="1"/>
    <col min="19" max="19" width="9.5" bestFit="1" customWidth="1"/>
    <col min="20" max="20" width="8.6640625" bestFit="1" customWidth="1"/>
    <col min="21" max="21" width="7.6640625" bestFit="1" customWidth="1"/>
    <col min="22" max="22" width="8.5" bestFit="1" customWidth="1"/>
    <col min="23" max="23" width="8.6640625" bestFit="1" customWidth="1"/>
    <col min="24" max="24" width="7.33203125" bestFit="1" customWidth="1"/>
    <col min="25" max="25" width="7.6640625" bestFit="1" customWidth="1"/>
    <col min="26" max="26" width="8" bestFit="1" customWidth="1"/>
    <col min="27" max="27" width="8.6640625" bestFit="1" customWidth="1"/>
    <col min="28" max="28" width="7.6640625" bestFit="1" customWidth="1"/>
    <col min="29" max="29" width="9" bestFit="1" customWidth="1"/>
    <col min="30" max="30" width="8.6640625" bestFit="1" customWidth="1"/>
    <col min="31" max="31" width="7.33203125" bestFit="1" customWidth="1"/>
    <col min="32" max="32" width="7.6640625" bestFit="1" customWidth="1"/>
    <col min="33" max="33" width="8.83203125" bestFit="1" customWidth="1"/>
    <col min="34" max="34" width="8.6640625" bestFit="1" customWidth="1"/>
    <col min="35" max="35" width="7.6640625" bestFit="1" customWidth="1"/>
    <col min="36" max="37" width="8.6640625" bestFit="1" customWidth="1"/>
    <col min="38" max="38" width="7.33203125" bestFit="1" customWidth="1"/>
    <col min="39" max="39" width="7.6640625" bestFit="1" customWidth="1"/>
    <col min="40" max="40" width="9.1640625" bestFit="1" customWidth="1"/>
    <col min="41" max="41" width="8.6640625" bestFit="1" customWidth="1"/>
    <col min="42" max="42" width="7.6640625" bestFit="1" customWidth="1"/>
    <col min="43" max="43" width="9" bestFit="1" customWidth="1"/>
    <col min="44" max="44" width="10.83203125" bestFit="1" customWidth="1"/>
    <col min="45" max="45" width="9.5" bestFit="1" customWidth="1"/>
    <col min="46" max="48" width="7" bestFit="1" customWidth="1"/>
    <col min="49" max="49" width="9.5" bestFit="1" customWidth="1"/>
    <col min="50" max="52" width="7" bestFit="1" customWidth="1"/>
    <col min="53" max="53" width="9.5" bestFit="1" customWidth="1"/>
    <col min="54" max="56" width="7" bestFit="1" customWidth="1"/>
    <col min="57" max="57" width="9.5" bestFit="1" customWidth="1"/>
    <col min="58" max="58" width="9.83203125" bestFit="1" customWidth="1"/>
    <col min="59" max="61" width="7.33203125" bestFit="1" customWidth="1"/>
    <col min="62" max="62" width="9.5" bestFit="1" customWidth="1"/>
    <col min="63" max="65" width="7" bestFit="1" customWidth="1"/>
    <col min="66" max="66" width="9.5" bestFit="1" customWidth="1"/>
    <col min="67" max="69" width="7" bestFit="1" customWidth="1"/>
    <col min="70" max="70" width="9.5" bestFit="1" customWidth="1"/>
    <col min="71" max="73" width="7" bestFit="1" customWidth="1"/>
    <col min="74" max="74" width="9.5" bestFit="1" customWidth="1"/>
    <col min="75" max="75" width="9.83203125" bestFit="1" customWidth="1"/>
    <col min="76" max="78" width="7.33203125" bestFit="1" customWidth="1"/>
    <col min="79" max="79" width="9.5" bestFit="1" customWidth="1"/>
    <col min="80" max="82" width="7" bestFit="1" customWidth="1"/>
    <col min="83" max="83" width="9.5" bestFit="1" customWidth="1"/>
    <col min="84" max="86" width="7" bestFit="1" customWidth="1"/>
    <col min="87" max="87" width="9.5" bestFit="1" customWidth="1"/>
    <col min="88" max="88" width="9.83203125" bestFit="1" customWidth="1"/>
    <col min="89" max="89" width="10.83203125" bestFit="1" customWidth="1"/>
    <col min="90" max="1258" width="15.5" bestFit="1" customWidth="1"/>
  </cols>
  <sheetData>
    <row r="1" spans="1:4" x14ac:dyDescent="0.2">
      <c r="A1" t="s">
        <v>1289</v>
      </c>
      <c r="B1" t="s">
        <v>1290</v>
      </c>
    </row>
    <row r="3" spans="1:4" x14ac:dyDescent="0.2">
      <c r="A3" t="s">
        <v>1291</v>
      </c>
      <c r="B3" t="s">
        <v>1292</v>
      </c>
    </row>
    <row r="4" spans="1:4" x14ac:dyDescent="0.2">
      <c r="A4" t="s">
        <v>1293</v>
      </c>
      <c r="B4" t="s">
        <v>1294</v>
      </c>
      <c r="C4" t="s">
        <v>1295</v>
      </c>
      <c r="D4" t="s">
        <v>1296</v>
      </c>
    </row>
    <row r="5" spans="1:4" x14ac:dyDescent="0.2">
      <c r="A5" s="13" t="s">
        <v>1297</v>
      </c>
      <c r="B5">
        <v>30</v>
      </c>
      <c r="C5">
        <v>32</v>
      </c>
      <c r="D5">
        <v>62</v>
      </c>
    </row>
    <row r="6" spans="1:4" x14ac:dyDescent="0.2">
      <c r="A6" s="13" t="s">
        <v>1298</v>
      </c>
      <c r="B6">
        <v>33</v>
      </c>
      <c r="C6">
        <v>29</v>
      </c>
      <c r="D6">
        <v>62</v>
      </c>
    </row>
    <row r="7" spans="1:4" x14ac:dyDescent="0.2">
      <c r="A7" s="13" t="s">
        <v>1299</v>
      </c>
      <c r="B7">
        <v>37</v>
      </c>
      <c r="C7">
        <v>27</v>
      </c>
      <c r="D7">
        <v>64</v>
      </c>
    </row>
    <row r="8" spans="1:4" x14ac:dyDescent="0.2">
      <c r="A8" s="13" t="s">
        <v>1300</v>
      </c>
      <c r="B8">
        <v>35</v>
      </c>
      <c r="C8">
        <v>28</v>
      </c>
      <c r="D8">
        <v>63</v>
      </c>
    </row>
    <row r="9" spans="1:4" x14ac:dyDescent="0.2">
      <c r="A9" s="13" t="s">
        <v>1296</v>
      </c>
      <c r="B9">
        <v>135</v>
      </c>
      <c r="C9">
        <v>116</v>
      </c>
      <c r="D9">
        <v>251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10635-0F9D-C042-9806-CAF324CFA09E}">
  <sheetPr codeName="Sheet7"/>
  <dimension ref="A1:N505"/>
  <sheetViews>
    <sheetView zoomScale="85" workbookViewId="0">
      <pane ySplit="1" topLeftCell="A2" activePane="bottomLeft" state="frozen"/>
      <selection sqref="A1:XFD1"/>
      <selection pane="bottomLeft" activeCell="L30" sqref="L30"/>
    </sheetView>
  </sheetViews>
  <sheetFormatPr baseColWidth="10" defaultRowHeight="16" x14ac:dyDescent="0.2"/>
  <cols>
    <col min="1" max="1" width="28.6640625" bestFit="1" customWidth="1"/>
    <col min="2" max="2" width="10.83203125" bestFit="1" customWidth="1"/>
    <col min="3" max="3" width="10.83203125" style="9" bestFit="1" customWidth="1"/>
    <col min="4" max="7" width="11.1640625" bestFit="1" customWidth="1"/>
    <col min="8" max="8" width="10.33203125" bestFit="1" customWidth="1"/>
    <col min="9" max="9" width="14.1640625" bestFit="1" customWidth="1"/>
    <col min="10" max="10" width="14.5" bestFit="1" customWidth="1"/>
    <col min="13" max="13" width="24.83203125" customWidth="1"/>
    <col min="14" max="14" width="15.33203125" customWidth="1"/>
  </cols>
  <sheetData>
    <row r="1" spans="1:14" ht="34" x14ac:dyDescent="0.2">
      <c r="A1" s="3" t="s">
        <v>15</v>
      </c>
      <c r="B1" s="3" t="s">
        <v>16</v>
      </c>
      <c r="C1" s="4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5" t="s">
        <v>23</v>
      </c>
      <c r="J1" s="6" t="s">
        <v>24</v>
      </c>
    </row>
    <row r="2" spans="1:14" x14ac:dyDescent="0.2">
      <c r="A2" t="s">
        <v>783</v>
      </c>
      <c r="B2" t="s">
        <v>1301</v>
      </c>
      <c r="C2" s="9">
        <v>44440</v>
      </c>
      <c r="D2">
        <v>145.64999399999999</v>
      </c>
      <c r="E2">
        <v>146.82049599999999</v>
      </c>
      <c r="F2">
        <v>145.61450199999999</v>
      </c>
      <c r="G2">
        <v>145.841995</v>
      </c>
      <c r="H2">
        <v>15824000</v>
      </c>
      <c r="I2">
        <v>0</v>
      </c>
      <c r="J2">
        <v>0.38</v>
      </c>
    </row>
    <row r="3" spans="1:14" x14ac:dyDescent="0.2">
      <c r="A3" t="s">
        <v>784</v>
      </c>
      <c r="B3" t="s">
        <v>1302</v>
      </c>
      <c r="C3" s="9">
        <v>44441</v>
      </c>
      <c r="D3">
        <v>145.94949299999999</v>
      </c>
      <c r="E3">
        <v>146.324997</v>
      </c>
      <c r="F3">
        <v>144.106506</v>
      </c>
      <c r="G3">
        <v>144.21899400000001</v>
      </c>
      <c r="H3">
        <v>21844000</v>
      </c>
      <c r="I3">
        <v>0</v>
      </c>
      <c r="J3">
        <v>-1.62</v>
      </c>
    </row>
    <row r="4" spans="1:14" x14ac:dyDescent="0.2">
      <c r="A4" t="s">
        <v>785</v>
      </c>
      <c r="B4" t="s">
        <v>1303</v>
      </c>
      <c r="C4" s="9">
        <v>44442</v>
      </c>
      <c r="D4">
        <v>144.145996</v>
      </c>
      <c r="E4">
        <v>145.37699900000001</v>
      </c>
      <c r="F4">
        <v>143.50500500000001</v>
      </c>
      <c r="G4">
        <v>144.77499399999999</v>
      </c>
      <c r="H4">
        <v>19104000</v>
      </c>
      <c r="I4">
        <v>0</v>
      </c>
      <c r="J4">
        <v>0.56000000000000005</v>
      </c>
    </row>
    <row r="5" spans="1:14" x14ac:dyDescent="0.2">
      <c r="A5" t="s">
        <v>786</v>
      </c>
      <c r="B5" t="s">
        <v>1304</v>
      </c>
      <c r="C5" s="9">
        <v>44446</v>
      </c>
      <c r="D5">
        <v>144.74949599999999</v>
      </c>
      <c r="E5">
        <v>145.824005</v>
      </c>
      <c r="F5">
        <v>144.541</v>
      </c>
      <c r="G5">
        <v>145.51899700000001</v>
      </c>
      <c r="H5">
        <v>15170000</v>
      </c>
      <c r="I5">
        <v>0</v>
      </c>
      <c r="J5">
        <v>0.74</v>
      </c>
    </row>
    <row r="6" spans="1:14" x14ac:dyDescent="0.2">
      <c r="A6" t="s">
        <v>787</v>
      </c>
      <c r="B6" t="s">
        <v>1301</v>
      </c>
      <c r="C6" s="9">
        <v>44447</v>
      </c>
      <c r="D6">
        <v>145.393494</v>
      </c>
      <c r="E6">
        <v>145.550995</v>
      </c>
      <c r="F6">
        <v>144.199997</v>
      </c>
      <c r="G6">
        <v>144.883499</v>
      </c>
      <c r="H6">
        <v>15486000</v>
      </c>
      <c r="I6">
        <v>0</v>
      </c>
      <c r="J6">
        <v>-0.64</v>
      </c>
    </row>
    <row r="7" spans="1:14" x14ac:dyDescent="0.2">
      <c r="A7" t="s">
        <v>788</v>
      </c>
      <c r="B7" t="s">
        <v>1302</v>
      </c>
      <c r="C7" s="9">
        <v>44448</v>
      </c>
      <c r="D7">
        <v>144.883499</v>
      </c>
      <c r="E7">
        <v>145.66949500000001</v>
      </c>
      <c r="F7">
        <v>144.43400600000001</v>
      </c>
      <c r="G7">
        <v>144.913498</v>
      </c>
      <c r="H7">
        <v>14798000</v>
      </c>
      <c r="I7">
        <v>0</v>
      </c>
      <c r="J7">
        <v>0.03</v>
      </c>
    </row>
    <row r="8" spans="1:14" x14ac:dyDescent="0.2">
      <c r="A8" t="s">
        <v>789</v>
      </c>
      <c r="B8" t="s">
        <v>1303</v>
      </c>
      <c r="C8" s="9">
        <v>44449</v>
      </c>
      <c r="D8">
        <v>145.44349700000001</v>
      </c>
      <c r="E8">
        <v>146.01899700000001</v>
      </c>
      <c r="F8">
        <v>141.741501</v>
      </c>
      <c r="G8">
        <v>141.92100500000001</v>
      </c>
      <c r="H8">
        <v>32896000</v>
      </c>
      <c r="I8">
        <v>0</v>
      </c>
      <c r="J8">
        <v>-2.99</v>
      </c>
    </row>
    <row r="9" spans="1:14" x14ac:dyDescent="0.2">
      <c r="A9" t="s">
        <v>790</v>
      </c>
      <c r="B9" t="s">
        <v>1305</v>
      </c>
      <c r="C9" s="9">
        <v>44452</v>
      </c>
      <c r="D9">
        <v>143.20100400000001</v>
      </c>
      <c r="E9">
        <v>144.19099399999999</v>
      </c>
      <c r="F9">
        <v>142.282501</v>
      </c>
      <c r="G9">
        <v>143.46499600000001</v>
      </c>
      <c r="H9">
        <v>20176000</v>
      </c>
      <c r="I9">
        <v>0</v>
      </c>
      <c r="J9">
        <v>1.54</v>
      </c>
    </row>
    <row r="10" spans="1:14" ht="19" customHeight="1" x14ac:dyDescent="0.2">
      <c r="A10" t="s">
        <v>791</v>
      </c>
      <c r="B10" t="s">
        <v>1304</v>
      </c>
      <c r="C10" s="9">
        <v>44453</v>
      </c>
      <c r="D10">
        <v>144.16099500000001</v>
      </c>
      <c r="E10">
        <v>144.72749300000001</v>
      </c>
      <c r="F10">
        <v>142.90550200000001</v>
      </c>
      <c r="G10">
        <v>143.40600599999999</v>
      </c>
      <c r="H10">
        <v>18916000</v>
      </c>
      <c r="I10">
        <v>0</v>
      </c>
      <c r="J10">
        <v>-0.06</v>
      </c>
      <c r="M10" s="26" t="s">
        <v>1306</v>
      </c>
      <c r="N10" s="27"/>
    </row>
    <row r="11" spans="1:14" x14ac:dyDescent="0.2">
      <c r="A11" t="s">
        <v>792</v>
      </c>
      <c r="B11" t="s">
        <v>1301</v>
      </c>
      <c r="C11" s="9">
        <v>44454</v>
      </c>
      <c r="D11">
        <v>143.75900300000001</v>
      </c>
      <c r="E11">
        <v>145.58149700000001</v>
      </c>
      <c r="F11">
        <v>142.25599700000001</v>
      </c>
      <c r="G11">
        <v>145.205994</v>
      </c>
      <c r="H11">
        <v>20648000</v>
      </c>
      <c r="I11">
        <v>0</v>
      </c>
      <c r="J11">
        <v>1.8</v>
      </c>
      <c r="M11" s="28"/>
      <c r="N11" s="29"/>
    </row>
    <row r="12" spans="1:14" x14ac:dyDescent="0.2">
      <c r="A12" t="s">
        <v>793</v>
      </c>
      <c r="B12" t="s">
        <v>1302</v>
      </c>
      <c r="C12" s="9">
        <v>44455</v>
      </c>
      <c r="D12">
        <v>145.121002</v>
      </c>
      <c r="E12">
        <v>145.199997</v>
      </c>
      <c r="F12">
        <v>143.41635099999999</v>
      </c>
      <c r="G12">
        <v>144.37350499999999</v>
      </c>
      <c r="H12">
        <v>20292000</v>
      </c>
      <c r="I12">
        <v>0</v>
      </c>
      <c r="J12">
        <v>-0.83</v>
      </c>
      <c r="M12" s="14" t="s">
        <v>1307</v>
      </c>
      <c r="N12" s="15">
        <v>-1.7123015873015877E-2</v>
      </c>
    </row>
    <row r="13" spans="1:14" x14ac:dyDescent="0.2">
      <c r="A13" t="s">
        <v>794</v>
      </c>
      <c r="B13" t="s">
        <v>1303</v>
      </c>
      <c r="C13" s="9">
        <v>44456</v>
      </c>
      <c r="D13">
        <v>143.79849200000001</v>
      </c>
      <c r="E13">
        <v>144.24949599999999</v>
      </c>
      <c r="F13">
        <v>141.06149300000001</v>
      </c>
      <c r="G13">
        <v>141.46350100000001</v>
      </c>
      <c r="H13">
        <v>60040000</v>
      </c>
      <c r="I13">
        <v>0</v>
      </c>
      <c r="J13">
        <v>-2.91</v>
      </c>
      <c r="M13" s="14" t="s">
        <v>1308</v>
      </c>
      <c r="N13" s="15">
        <v>0.11100444159318</v>
      </c>
    </row>
    <row r="14" spans="1:14" x14ac:dyDescent="0.2">
      <c r="A14" t="s">
        <v>795</v>
      </c>
      <c r="B14" t="s">
        <v>1305</v>
      </c>
      <c r="C14" s="9">
        <v>44459</v>
      </c>
      <c r="D14">
        <v>139.00019800000001</v>
      </c>
      <c r="E14">
        <v>139.362503</v>
      </c>
      <c r="F14">
        <v>137.05299400000001</v>
      </c>
      <c r="G14">
        <v>139.016998</v>
      </c>
      <c r="H14">
        <v>34918000</v>
      </c>
      <c r="I14">
        <v>0</v>
      </c>
      <c r="J14">
        <v>-2.4500000000000002</v>
      </c>
      <c r="M14" s="14" t="s">
        <v>1309</v>
      </c>
      <c r="N14" s="15">
        <v>-2.5000000000000001E-2</v>
      </c>
    </row>
    <row r="15" spans="1:14" x14ac:dyDescent="0.2">
      <c r="A15" t="s">
        <v>796</v>
      </c>
      <c r="B15" t="s">
        <v>1304</v>
      </c>
      <c r="C15" s="9">
        <v>44460</v>
      </c>
      <c r="D15">
        <v>140.11700400000001</v>
      </c>
      <c r="E15">
        <v>140.8116</v>
      </c>
      <c r="F15">
        <v>138.90550200000001</v>
      </c>
      <c r="G15">
        <v>139.6465</v>
      </c>
      <c r="H15">
        <v>18130000</v>
      </c>
      <c r="I15">
        <v>0</v>
      </c>
      <c r="J15">
        <v>0.63</v>
      </c>
      <c r="M15" s="14" t="s">
        <v>1310</v>
      </c>
      <c r="N15" s="15">
        <v>-0.64</v>
      </c>
    </row>
    <row r="16" spans="1:14" x14ac:dyDescent="0.2">
      <c r="A16" t="s">
        <v>797</v>
      </c>
      <c r="B16" t="s">
        <v>1301</v>
      </c>
      <c r="C16" s="9">
        <v>44461</v>
      </c>
      <c r="D16">
        <v>140.05050700000001</v>
      </c>
      <c r="E16">
        <v>141.583496</v>
      </c>
      <c r="F16">
        <v>139.471756</v>
      </c>
      <c r="G16">
        <v>140.93850699999999</v>
      </c>
      <c r="H16">
        <v>22068000</v>
      </c>
      <c r="I16">
        <v>0</v>
      </c>
      <c r="J16">
        <v>1.29</v>
      </c>
      <c r="M16" s="14" t="s">
        <v>1311</v>
      </c>
      <c r="N16" s="15">
        <v>2.4920435331110311</v>
      </c>
    </row>
    <row r="17" spans="1:14" x14ac:dyDescent="0.2">
      <c r="A17" t="s">
        <v>798</v>
      </c>
      <c r="B17" t="s">
        <v>1302</v>
      </c>
      <c r="C17" s="9">
        <v>44462</v>
      </c>
      <c r="D17">
        <v>141.609497</v>
      </c>
      <c r="E17">
        <v>142.25245699999999</v>
      </c>
      <c r="F17">
        <v>141.096497</v>
      </c>
      <c r="G17">
        <v>141.82650799999999</v>
      </c>
      <c r="H17">
        <v>17272000</v>
      </c>
      <c r="I17">
        <v>0</v>
      </c>
      <c r="J17">
        <v>0.89</v>
      </c>
      <c r="M17" s="14" t="s">
        <v>1312</v>
      </c>
      <c r="N17" s="15">
        <v>6.2102809709205111</v>
      </c>
    </row>
    <row r="18" spans="1:14" x14ac:dyDescent="0.2">
      <c r="A18" t="s">
        <v>799</v>
      </c>
      <c r="B18" t="s">
        <v>1303</v>
      </c>
      <c r="C18" s="9">
        <v>44463</v>
      </c>
      <c r="D18">
        <v>140.945999</v>
      </c>
      <c r="E18">
        <v>142.903503</v>
      </c>
      <c r="F18">
        <v>140.850494</v>
      </c>
      <c r="G18">
        <v>142.63299599999999</v>
      </c>
      <c r="H18">
        <v>14950000</v>
      </c>
      <c r="I18">
        <v>0</v>
      </c>
      <c r="J18">
        <v>0.81</v>
      </c>
      <c r="M18" s="14" t="s">
        <v>1313</v>
      </c>
      <c r="N18" s="15">
        <v>1.2470709123072039</v>
      </c>
    </row>
    <row r="19" spans="1:14" x14ac:dyDescent="0.2">
      <c r="A19" t="s">
        <v>800</v>
      </c>
      <c r="B19" t="s">
        <v>1305</v>
      </c>
      <c r="C19" s="9">
        <v>44466</v>
      </c>
      <c r="D19">
        <v>141.58549500000001</v>
      </c>
      <c r="E19">
        <v>142.5</v>
      </c>
      <c r="F19">
        <v>140.5</v>
      </c>
      <c r="G19">
        <v>141.50100699999999</v>
      </c>
      <c r="H19">
        <v>18844000</v>
      </c>
      <c r="I19">
        <v>0</v>
      </c>
      <c r="J19">
        <v>-1.1299999999999999</v>
      </c>
      <c r="M19" s="14" t="s">
        <v>1314</v>
      </c>
      <c r="N19" s="15">
        <v>4.0920551771095305E-2</v>
      </c>
    </row>
    <row r="20" spans="1:14" x14ac:dyDescent="0.2">
      <c r="A20" t="s">
        <v>801</v>
      </c>
      <c r="B20" t="s">
        <v>1304</v>
      </c>
      <c r="C20" s="9">
        <v>44467</v>
      </c>
      <c r="D20">
        <v>139.08850100000001</v>
      </c>
      <c r="E20">
        <v>139.606506</v>
      </c>
      <c r="F20">
        <v>135.699997</v>
      </c>
      <c r="G20">
        <v>136.18400600000001</v>
      </c>
      <c r="H20">
        <v>42190000</v>
      </c>
      <c r="I20">
        <v>0</v>
      </c>
      <c r="J20">
        <v>-5.32</v>
      </c>
      <c r="M20" s="14" t="s">
        <v>1315</v>
      </c>
      <c r="N20" s="15">
        <v>20.27</v>
      </c>
    </row>
    <row r="21" spans="1:14" x14ac:dyDescent="0.2">
      <c r="A21" t="s">
        <v>802</v>
      </c>
      <c r="B21" t="s">
        <v>1301</v>
      </c>
      <c r="C21" s="9">
        <v>44468</v>
      </c>
      <c r="D21">
        <v>137.10969499999999</v>
      </c>
      <c r="E21">
        <v>137.39849899999999</v>
      </c>
      <c r="F21">
        <v>134.25</v>
      </c>
      <c r="G21">
        <v>134.520996</v>
      </c>
      <c r="H21">
        <v>26338000</v>
      </c>
      <c r="I21">
        <v>0</v>
      </c>
      <c r="J21">
        <v>-1.66</v>
      </c>
      <c r="M21" s="14" t="s">
        <v>1316</v>
      </c>
      <c r="N21" s="15">
        <v>-10.11</v>
      </c>
    </row>
    <row r="22" spans="1:14" x14ac:dyDescent="0.2">
      <c r="A22" t="s">
        <v>803</v>
      </c>
      <c r="B22" t="s">
        <v>1302</v>
      </c>
      <c r="C22" s="9">
        <v>44469</v>
      </c>
      <c r="D22">
        <v>134.324997</v>
      </c>
      <c r="E22">
        <v>135.58999600000001</v>
      </c>
      <c r="F22">
        <v>133</v>
      </c>
      <c r="G22">
        <v>133.265503</v>
      </c>
      <c r="H22">
        <v>35294000</v>
      </c>
      <c r="I22">
        <v>0</v>
      </c>
      <c r="J22">
        <v>-1.26</v>
      </c>
      <c r="M22" s="14" t="s">
        <v>1317</v>
      </c>
      <c r="N22" s="15">
        <v>10.16</v>
      </c>
    </row>
    <row r="23" spans="1:14" x14ac:dyDescent="0.2">
      <c r="A23" t="s">
        <v>804</v>
      </c>
      <c r="B23" t="s">
        <v>1303</v>
      </c>
      <c r="C23" s="9">
        <v>44470</v>
      </c>
      <c r="D23">
        <v>133.55450400000001</v>
      </c>
      <c r="E23">
        <v>137.070999</v>
      </c>
      <c r="F23">
        <v>133.37750199999999</v>
      </c>
      <c r="G23">
        <v>136.46249399999999</v>
      </c>
      <c r="H23">
        <v>28388000</v>
      </c>
      <c r="I23">
        <v>0</v>
      </c>
      <c r="J23">
        <v>3.2</v>
      </c>
      <c r="M23" s="14" t="s">
        <v>1318</v>
      </c>
      <c r="N23" s="15">
        <v>-8.6300000000000026</v>
      </c>
    </row>
    <row r="24" spans="1:14" x14ac:dyDescent="0.2">
      <c r="A24" t="s">
        <v>805</v>
      </c>
      <c r="B24" t="s">
        <v>1305</v>
      </c>
      <c r="C24" s="9">
        <v>44473</v>
      </c>
      <c r="D24">
        <v>135.69949299999999</v>
      </c>
      <c r="E24">
        <v>135.699997</v>
      </c>
      <c r="F24">
        <v>131.166504</v>
      </c>
      <c r="G24">
        <v>133.76499899999999</v>
      </c>
      <c r="H24">
        <v>31530000</v>
      </c>
      <c r="I24">
        <v>0</v>
      </c>
      <c r="J24">
        <v>-2.7</v>
      </c>
      <c r="M24" s="14" t="s">
        <v>1319</v>
      </c>
      <c r="N24" s="15">
        <v>504</v>
      </c>
    </row>
    <row r="25" spans="1:14" x14ac:dyDescent="0.2">
      <c r="A25" t="s">
        <v>806</v>
      </c>
      <c r="B25" t="s">
        <v>1304</v>
      </c>
      <c r="C25" s="9">
        <v>44474</v>
      </c>
      <c r="D25">
        <v>134</v>
      </c>
      <c r="E25">
        <v>137.36199999999999</v>
      </c>
      <c r="F25">
        <v>134</v>
      </c>
      <c r="G25">
        <v>136.17700199999999</v>
      </c>
      <c r="H25">
        <v>24126000</v>
      </c>
      <c r="I25">
        <v>0</v>
      </c>
      <c r="J25">
        <v>2.41</v>
      </c>
    </row>
    <row r="26" spans="1:14" x14ac:dyDescent="0.2">
      <c r="A26" t="s">
        <v>807</v>
      </c>
      <c r="B26" t="s">
        <v>1301</v>
      </c>
      <c r="C26" s="9">
        <v>44475</v>
      </c>
      <c r="D26">
        <v>134.62550400000001</v>
      </c>
      <c r="E26">
        <v>137.85200499999999</v>
      </c>
      <c r="F26">
        <v>134.48649599999999</v>
      </c>
      <c r="G26">
        <v>137.354004</v>
      </c>
      <c r="H26">
        <v>19764000</v>
      </c>
      <c r="I26">
        <v>0</v>
      </c>
      <c r="J26">
        <v>1.18</v>
      </c>
    </row>
    <row r="27" spans="1:14" x14ac:dyDescent="0.2">
      <c r="A27" t="s">
        <v>808</v>
      </c>
      <c r="B27" t="s">
        <v>1302</v>
      </c>
      <c r="C27" s="9">
        <v>44476</v>
      </c>
      <c r="D27">
        <v>138.86300700000001</v>
      </c>
      <c r="E27">
        <v>140.154449</v>
      </c>
      <c r="F27">
        <v>138.56300400000001</v>
      </c>
      <c r="G27">
        <v>139.18550099999999</v>
      </c>
      <c r="H27">
        <v>18250000</v>
      </c>
      <c r="I27">
        <v>0</v>
      </c>
      <c r="J27">
        <v>1.83</v>
      </c>
    </row>
    <row r="28" spans="1:14" x14ac:dyDescent="0.2">
      <c r="A28" t="s">
        <v>809</v>
      </c>
      <c r="B28" t="s">
        <v>1303</v>
      </c>
      <c r="C28" s="9">
        <v>44477</v>
      </c>
      <c r="D28">
        <v>139.90600599999999</v>
      </c>
      <c r="E28">
        <v>140.317001</v>
      </c>
      <c r="F28">
        <v>139.42935199999999</v>
      </c>
      <c r="G28">
        <v>140.05600000000001</v>
      </c>
      <c r="H28">
        <v>18924000</v>
      </c>
      <c r="I28">
        <v>0</v>
      </c>
      <c r="J28">
        <v>0.87</v>
      </c>
    </row>
    <row r="29" spans="1:14" x14ac:dyDescent="0.2">
      <c r="A29" t="s">
        <v>810</v>
      </c>
      <c r="B29" t="s">
        <v>1305</v>
      </c>
      <c r="C29" s="9">
        <v>44480</v>
      </c>
      <c r="D29">
        <v>139.800003</v>
      </c>
      <c r="E29">
        <v>140.76365699999999</v>
      </c>
      <c r="F29">
        <v>138.80650299999999</v>
      </c>
      <c r="G29">
        <v>138.84750399999999</v>
      </c>
      <c r="H29">
        <v>16584000</v>
      </c>
      <c r="I29">
        <v>0</v>
      </c>
      <c r="J29">
        <v>-1.21</v>
      </c>
    </row>
    <row r="30" spans="1:14" x14ac:dyDescent="0.2">
      <c r="A30" t="s">
        <v>811</v>
      </c>
      <c r="B30" t="s">
        <v>1304</v>
      </c>
      <c r="C30" s="9">
        <v>44481</v>
      </c>
      <c r="D30">
        <v>139.637497</v>
      </c>
      <c r="E30">
        <v>139.695007</v>
      </c>
      <c r="F30">
        <v>136.25</v>
      </c>
      <c r="G30">
        <v>136.712997</v>
      </c>
      <c r="H30">
        <v>22536000</v>
      </c>
      <c r="I30">
        <v>0</v>
      </c>
      <c r="J30">
        <v>-2.13</v>
      </c>
    </row>
    <row r="31" spans="1:14" x14ac:dyDescent="0.2">
      <c r="A31" t="s">
        <v>812</v>
      </c>
      <c r="B31" t="s">
        <v>1301</v>
      </c>
      <c r="C31" s="9">
        <v>44482</v>
      </c>
      <c r="D31">
        <v>137.75</v>
      </c>
      <c r="E31">
        <v>138.550003</v>
      </c>
      <c r="F31">
        <v>136.97650100000001</v>
      </c>
      <c r="G31">
        <v>137.89999399999999</v>
      </c>
      <c r="H31">
        <v>16380000</v>
      </c>
      <c r="I31">
        <v>0</v>
      </c>
      <c r="J31">
        <v>1.19</v>
      </c>
    </row>
    <row r="32" spans="1:14" x14ac:dyDescent="0.2">
      <c r="A32" t="s">
        <v>813</v>
      </c>
      <c r="B32" t="s">
        <v>1302</v>
      </c>
      <c r="C32" s="9">
        <v>44483</v>
      </c>
      <c r="D32">
        <v>139.95199600000001</v>
      </c>
      <c r="E32">
        <v>141.65150499999999</v>
      </c>
      <c r="F32">
        <v>139.33900499999999</v>
      </c>
      <c r="G32">
        <v>141.412003</v>
      </c>
      <c r="H32">
        <v>21426000</v>
      </c>
      <c r="I32">
        <v>0</v>
      </c>
      <c r="J32">
        <v>3.51</v>
      </c>
    </row>
    <row r="33" spans="1:10" x14ac:dyDescent="0.2">
      <c r="A33" t="s">
        <v>814</v>
      </c>
      <c r="B33" t="s">
        <v>1303</v>
      </c>
      <c r="C33" s="9">
        <v>44484</v>
      </c>
      <c r="D33">
        <v>142.199997</v>
      </c>
      <c r="E33">
        <v>142.199997</v>
      </c>
      <c r="F33">
        <v>141.06449900000001</v>
      </c>
      <c r="G33">
        <v>141.675003</v>
      </c>
      <c r="H33">
        <v>21250000</v>
      </c>
      <c r="I33">
        <v>0</v>
      </c>
      <c r="J33">
        <v>0.26</v>
      </c>
    </row>
    <row r="34" spans="1:10" x14ac:dyDescent="0.2">
      <c r="A34" t="s">
        <v>815</v>
      </c>
      <c r="B34" t="s">
        <v>1305</v>
      </c>
      <c r="C34" s="9">
        <v>44487</v>
      </c>
      <c r="D34">
        <v>141.21350100000001</v>
      </c>
      <c r="E34">
        <v>142.998749</v>
      </c>
      <c r="F34">
        <v>141.21350100000001</v>
      </c>
      <c r="G34">
        <v>142.96049500000001</v>
      </c>
      <c r="H34">
        <v>16564000</v>
      </c>
      <c r="I34">
        <v>0</v>
      </c>
      <c r="J34">
        <v>1.29</v>
      </c>
    </row>
    <row r="35" spans="1:10" x14ac:dyDescent="0.2">
      <c r="A35" t="s">
        <v>816</v>
      </c>
      <c r="B35" t="s">
        <v>1304</v>
      </c>
      <c r="C35" s="9">
        <v>44488</v>
      </c>
      <c r="D35">
        <v>143.291504</v>
      </c>
      <c r="E35">
        <v>144.10699500000001</v>
      </c>
      <c r="F35">
        <v>143.09599299999999</v>
      </c>
      <c r="G35">
        <v>143.82200599999999</v>
      </c>
      <c r="H35">
        <v>15316000</v>
      </c>
      <c r="I35">
        <v>0</v>
      </c>
      <c r="J35">
        <v>0.86</v>
      </c>
    </row>
    <row r="36" spans="1:10" x14ac:dyDescent="0.2">
      <c r="A36" t="s">
        <v>817</v>
      </c>
      <c r="B36" t="s">
        <v>1301</v>
      </c>
      <c r="C36" s="9">
        <v>44489</v>
      </c>
      <c r="D36">
        <v>144.22250399999999</v>
      </c>
      <c r="E36">
        <v>144.24775700000001</v>
      </c>
      <c r="F36">
        <v>141.912003</v>
      </c>
      <c r="G36">
        <v>142.41499300000001</v>
      </c>
      <c r="H36">
        <v>17940000</v>
      </c>
      <c r="I36">
        <v>0</v>
      </c>
      <c r="J36">
        <v>-1.41</v>
      </c>
    </row>
    <row r="37" spans="1:10" x14ac:dyDescent="0.2">
      <c r="A37" t="s">
        <v>818</v>
      </c>
      <c r="B37" t="s">
        <v>1302</v>
      </c>
      <c r="C37" s="9">
        <v>44490</v>
      </c>
      <c r="D37">
        <v>142.192001</v>
      </c>
      <c r="E37">
        <v>142.849503</v>
      </c>
      <c r="F37">
        <v>141.63699299999999</v>
      </c>
      <c r="G37">
        <v>142.78050200000001</v>
      </c>
      <c r="H37">
        <v>14850000</v>
      </c>
      <c r="I37">
        <v>0</v>
      </c>
      <c r="J37">
        <v>0.37</v>
      </c>
    </row>
    <row r="38" spans="1:10" x14ac:dyDescent="0.2">
      <c r="A38" t="s">
        <v>819</v>
      </c>
      <c r="B38" t="s">
        <v>1303</v>
      </c>
      <c r="C38" s="9">
        <v>44491</v>
      </c>
      <c r="D38">
        <v>140.350998</v>
      </c>
      <c r="E38">
        <v>141.558502</v>
      </c>
      <c r="F38">
        <v>137.170502</v>
      </c>
      <c r="G38">
        <v>138.625</v>
      </c>
      <c r="H38">
        <v>30182000</v>
      </c>
      <c r="I38">
        <v>0</v>
      </c>
      <c r="J38">
        <v>-4.16</v>
      </c>
    </row>
    <row r="39" spans="1:10" x14ac:dyDescent="0.2">
      <c r="A39" t="s">
        <v>820</v>
      </c>
      <c r="B39" t="s">
        <v>1305</v>
      </c>
      <c r="C39" s="9">
        <v>44494</v>
      </c>
      <c r="D39">
        <v>138.81050099999999</v>
      </c>
      <c r="E39">
        <v>139.20579499999999</v>
      </c>
      <c r="F39">
        <v>136.74850499999999</v>
      </c>
      <c r="G39">
        <v>138.77299500000001</v>
      </c>
      <c r="H39">
        <v>21082000</v>
      </c>
      <c r="I39">
        <v>0</v>
      </c>
      <c r="J39">
        <v>0.15</v>
      </c>
    </row>
    <row r="40" spans="1:10" x14ac:dyDescent="0.2">
      <c r="A40" t="s">
        <v>821</v>
      </c>
      <c r="B40" t="s">
        <v>1304</v>
      </c>
      <c r="C40" s="9">
        <v>44495</v>
      </c>
      <c r="D40">
        <v>140.60600299999999</v>
      </c>
      <c r="E40">
        <v>140.839493</v>
      </c>
      <c r="F40">
        <v>139.005493</v>
      </c>
      <c r="G40">
        <v>139.671997</v>
      </c>
      <c r="H40">
        <v>28258000</v>
      </c>
      <c r="I40">
        <v>0</v>
      </c>
      <c r="J40">
        <v>0.9</v>
      </c>
    </row>
    <row r="41" spans="1:10" x14ac:dyDescent="0.2">
      <c r="A41" t="s">
        <v>822</v>
      </c>
      <c r="B41" t="s">
        <v>1301</v>
      </c>
      <c r="C41" s="9">
        <v>44496</v>
      </c>
      <c r="D41">
        <v>139.90249600000001</v>
      </c>
      <c r="E41">
        <v>149.11799600000001</v>
      </c>
      <c r="F41">
        <v>139.90249600000001</v>
      </c>
      <c r="G41">
        <v>146.427505</v>
      </c>
      <c r="H41">
        <v>51850000</v>
      </c>
      <c r="I41">
        <v>0</v>
      </c>
      <c r="J41">
        <v>6.76</v>
      </c>
    </row>
    <row r="42" spans="1:10" x14ac:dyDescent="0.2">
      <c r="A42" t="s">
        <v>823</v>
      </c>
      <c r="B42" t="s">
        <v>1302</v>
      </c>
      <c r="C42" s="9">
        <v>44497</v>
      </c>
      <c r="D42">
        <v>147.29899599999999</v>
      </c>
      <c r="E42">
        <v>147.42449999999999</v>
      </c>
      <c r="F42">
        <v>144.76350400000001</v>
      </c>
      <c r="G42">
        <v>146.128998</v>
      </c>
      <c r="H42">
        <v>32418000</v>
      </c>
      <c r="I42">
        <v>0</v>
      </c>
      <c r="J42">
        <v>-0.3</v>
      </c>
    </row>
    <row r="43" spans="1:10" x14ac:dyDescent="0.2">
      <c r="A43" t="s">
        <v>824</v>
      </c>
      <c r="B43" t="s">
        <v>1303</v>
      </c>
      <c r="C43" s="9">
        <v>44498</v>
      </c>
      <c r="D43">
        <v>145.520004</v>
      </c>
      <c r="E43">
        <v>148.61300700000001</v>
      </c>
      <c r="F43">
        <v>145.166504</v>
      </c>
      <c r="G43">
        <v>148.27049299999999</v>
      </c>
      <c r="H43">
        <v>28954000</v>
      </c>
      <c r="I43">
        <v>0</v>
      </c>
      <c r="J43">
        <v>2.14</v>
      </c>
    </row>
    <row r="44" spans="1:10" x14ac:dyDescent="0.2">
      <c r="A44" t="s">
        <v>825</v>
      </c>
      <c r="B44" t="s">
        <v>1305</v>
      </c>
      <c r="C44" s="9">
        <v>44501</v>
      </c>
      <c r="D44">
        <v>148.16499300000001</v>
      </c>
      <c r="E44">
        <v>148.399506</v>
      </c>
      <c r="F44">
        <v>143.579498</v>
      </c>
      <c r="G44">
        <v>143.774002</v>
      </c>
      <c r="H44">
        <v>32272000</v>
      </c>
      <c r="I44">
        <v>0</v>
      </c>
      <c r="J44">
        <v>-4.5</v>
      </c>
    </row>
    <row r="45" spans="1:10" x14ac:dyDescent="0.2">
      <c r="A45" t="s">
        <v>826</v>
      </c>
      <c r="B45" t="s">
        <v>1304</v>
      </c>
      <c r="C45" s="9">
        <v>44502</v>
      </c>
      <c r="D45">
        <v>144.80940200000001</v>
      </c>
      <c r="E45">
        <v>146.920502</v>
      </c>
      <c r="F45">
        <v>144.641006</v>
      </c>
      <c r="G45">
        <v>145.86300700000001</v>
      </c>
      <c r="H45">
        <v>21150000</v>
      </c>
      <c r="I45">
        <v>0</v>
      </c>
      <c r="J45">
        <v>2.09</v>
      </c>
    </row>
    <row r="46" spans="1:10" x14ac:dyDescent="0.2">
      <c r="A46" t="s">
        <v>827</v>
      </c>
      <c r="B46" t="s">
        <v>1301</v>
      </c>
      <c r="C46" s="9">
        <v>44503</v>
      </c>
      <c r="D46">
        <v>146.27499399999999</v>
      </c>
      <c r="E46">
        <v>146.910507</v>
      </c>
      <c r="F46">
        <v>145.05349699999999</v>
      </c>
      <c r="G46">
        <v>146.78999300000001</v>
      </c>
      <c r="H46">
        <v>17886000</v>
      </c>
      <c r="I46">
        <v>0</v>
      </c>
      <c r="J46">
        <v>0.93</v>
      </c>
    </row>
    <row r="47" spans="1:10" x14ac:dyDescent="0.2">
      <c r="A47" t="s">
        <v>828</v>
      </c>
      <c r="B47" t="s">
        <v>1302</v>
      </c>
      <c r="C47" s="9">
        <v>44504</v>
      </c>
      <c r="D47">
        <v>147.199997</v>
      </c>
      <c r="E47">
        <v>149.949997</v>
      </c>
      <c r="F47">
        <v>146.634995</v>
      </c>
      <c r="G47">
        <v>148.682999</v>
      </c>
      <c r="H47">
        <v>24700000</v>
      </c>
      <c r="I47">
        <v>0</v>
      </c>
      <c r="J47">
        <v>1.89</v>
      </c>
    </row>
    <row r="48" spans="1:10" x14ac:dyDescent="0.2">
      <c r="A48" t="s">
        <v>829</v>
      </c>
      <c r="B48" t="s">
        <v>1303</v>
      </c>
      <c r="C48" s="9">
        <v>44505</v>
      </c>
      <c r="D48">
        <v>149.3535</v>
      </c>
      <c r="E48">
        <v>150.57075499999999</v>
      </c>
      <c r="F48">
        <v>148.651993</v>
      </c>
      <c r="G48">
        <v>149.24099699999999</v>
      </c>
      <c r="H48">
        <v>20408000</v>
      </c>
      <c r="I48">
        <v>0</v>
      </c>
      <c r="J48">
        <v>0.56000000000000005</v>
      </c>
    </row>
    <row r="49" spans="1:10" x14ac:dyDescent="0.2">
      <c r="A49" t="s">
        <v>830</v>
      </c>
      <c r="B49" t="s">
        <v>1305</v>
      </c>
      <c r="C49" s="9">
        <v>44508</v>
      </c>
      <c r="D49">
        <v>150</v>
      </c>
      <c r="E49">
        <v>151.03450000000001</v>
      </c>
      <c r="F49">
        <v>149.11999499999999</v>
      </c>
      <c r="G49">
        <v>149.35150100000001</v>
      </c>
      <c r="H49">
        <v>18388000</v>
      </c>
      <c r="I49">
        <v>0</v>
      </c>
      <c r="J49">
        <v>0.11</v>
      </c>
    </row>
    <row r="50" spans="1:10" x14ac:dyDescent="0.2">
      <c r="A50" t="s">
        <v>831</v>
      </c>
      <c r="B50" t="s">
        <v>1304</v>
      </c>
      <c r="C50" s="9">
        <v>44509</v>
      </c>
      <c r="D50">
        <v>149.746002</v>
      </c>
      <c r="E50">
        <v>150.37849399999999</v>
      </c>
      <c r="F50">
        <v>147.50700399999999</v>
      </c>
      <c r="G50">
        <v>149.24850499999999</v>
      </c>
      <c r="H50">
        <v>16876000</v>
      </c>
      <c r="I50">
        <v>0</v>
      </c>
      <c r="J50">
        <v>-0.1</v>
      </c>
    </row>
    <row r="51" spans="1:10" x14ac:dyDescent="0.2">
      <c r="A51" t="s">
        <v>832</v>
      </c>
      <c r="B51" t="s">
        <v>1301</v>
      </c>
      <c r="C51" s="9">
        <v>44510</v>
      </c>
      <c r="D51">
        <v>148.00975</v>
      </c>
      <c r="E51">
        <v>148.699997</v>
      </c>
      <c r="F51">
        <v>145.324997</v>
      </c>
      <c r="G51">
        <v>146.62600699999999</v>
      </c>
      <c r="H51">
        <v>22708000</v>
      </c>
      <c r="I51">
        <v>0</v>
      </c>
      <c r="J51">
        <v>-2.62</v>
      </c>
    </row>
    <row r="52" spans="1:10" x14ac:dyDescent="0.2">
      <c r="A52" t="s">
        <v>833</v>
      </c>
      <c r="B52" t="s">
        <v>1302</v>
      </c>
      <c r="C52" s="9">
        <v>44511</v>
      </c>
      <c r="D52">
        <v>147.10699500000001</v>
      </c>
      <c r="E52">
        <v>148.50224299999999</v>
      </c>
      <c r="F52">
        <v>146.69450399999999</v>
      </c>
      <c r="G52">
        <v>146.74800099999999</v>
      </c>
      <c r="H52">
        <v>12464000</v>
      </c>
      <c r="I52">
        <v>0</v>
      </c>
      <c r="J52">
        <v>0.12</v>
      </c>
    </row>
    <row r="53" spans="1:10" x14ac:dyDescent="0.2">
      <c r="A53" t="s">
        <v>834</v>
      </c>
      <c r="B53" t="s">
        <v>1303</v>
      </c>
      <c r="C53" s="9">
        <v>44512</v>
      </c>
      <c r="D53">
        <v>147.83149700000001</v>
      </c>
      <c r="E53">
        <v>149.859497</v>
      </c>
      <c r="F53">
        <v>146.45399499999999</v>
      </c>
      <c r="G53">
        <v>149.64549299999999</v>
      </c>
      <c r="H53">
        <v>17048000</v>
      </c>
      <c r="I53">
        <v>0</v>
      </c>
      <c r="J53">
        <v>2.9</v>
      </c>
    </row>
    <row r="54" spans="1:10" x14ac:dyDescent="0.2">
      <c r="A54" t="s">
        <v>835</v>
      </c>
      <c r="B54" t="s">
        <v>1305</v>
      </c>
      <c r="C54" s="9">
        <v>44515</v>
      </c>
      <c r="D54">
        <v>150</v>
      </c>
      <c r="E54">
        <v>150.47700499999999</v>
      </c>
      <c r="F54">
        <v>148.65249600000001</v>
      </c>
      <c r="G54">
        <v>149.38800000000001</v>
      </c>
      <c r="H54">
        <v>16248000</v>
      </c>
      <c r="I54">
        <v>0</v>
      </c>
      <c r="J54">
        <v>-0.26</v>
      </c>
    </row>
    <row r="55" spans="1:10" x14ac:dyDescent="0.2">
      <c r="A55" t="s">
        <v>836</v>
      </c>
      <c r="B55" t="s">
        <v>1304</v>
      </c>
      <c r="C55" s="9">
        <v>44516</v>
      </c>
      <c r="D55">
        <v>149.170502</v>
      </c>
      <c r="E55">
        <v>149.832504</v>
      </c>
      <c r="F55">
        <v>148.35000600000001</v>
      </c>
      <c r="G55">
        <v>149.07600400000001</v>
      </c>
      <c r="H55">
        <v>17254000</v>
      </c>
      <c r="I55">
        <v>0</v>
      </c>
      <c r="J55">
        <v>-0.31</v>
      </c>
    </row>
    <row r="56" spans="1:10" x14ac:dyDescent="0.2">
      <c r="A56" t="s">
        <v>837</v>
      </c>
      <c r="B56" t="s">
        <v>1301</v>
      </c>
      <c r="C56" s="9">
        <v>44517</v>
      </c>
      <c r="D56">
        <v>149.229004</v>
      </c>
      <c r="E56">
        <v>149.62600699999999</v>
      </c>
      <c r="F56">
        <v>148.56300400000001</v>
      </c>
      <c r="G56">
        <v>149.06199599999999</v>
      </c>
      <c r="H56">
        <v>15290000</v>
      </c>
      <c r="I56">
        <v>0</v>
      </c>
      <c r="J56">
        <v>-0.01</v>
      </c>
    </row>
    <row r="57" spans="1:10" x14ac:dyDescent="0.2">
      <c r="A57" t="s">
        <v>838</v>
      </c>
      <c r="B57" t="s">
        <v>1302</v>
      </c>
      <c r="C57" s="9">
        <v>44518</v>
      </c>
      <c r="D57">
        <v>149.145996</v>
      </c>
      <c r="E57">
        <v>151.61000100000001</v>
      </c>
      <c r="F57">
        <v>148.99850499999999</v>
      </c>
      <c r="G57">
        <v>150.709</v>
      </c>
      <c r="H57">
        <v>26658000</v>
      </c>
      <c r="I57">
        <v>0</v>
      </c>
      <c r="J57">
        <v>1.65</v>
      </c>
    </row>
    <row r="58" spans="1:10" x14ac:dyDescent="0.2">
      <c r="A58" t="s">
        <v>839</v>
      </c>
      <c r="B58" t="s">
        <v>1303</v>
      </c>
      <c r="C58" s="9">
        <v>44519</v>
      </c>
      <c r="D58">
        <v>151</v>
      </c>
      <c r="E58">
        <v>151.85000600000001</v>
      </c>
      <c r="F58">
        <v>149.887497</v>
      </c>
      <c r="G58">
        <v>149.95249899999999</v>
      </c>
      <c r="H58">
        <v>19766000</v>
      </c>
      <c r="I58">
        <v>0</v>
      </c>
      <c r="J58">
        <v>-0.76</v>
      </c>
    </row>
    <row r="59" spans="1:10" x14ac:dyDescent="0.2">
      <c r="A59" t="s">
        <v>840</v>
      </c>
      <c r="B59" t="s">
        <v>1305</v>
      </c>
      <c r="C59" s="9">
        <v>44522</v>
      </c>
      <c r="D59">
        <v>150.14175399999999</v>
      </c>
      <c r="E59">
        <v>150.744507</v>
      </c>
      <c r="F59">
        <v>147.005493</v>
      </c>
      <c r="G59">
        <v>147.078506</v>
      </c>
      <c r="H59">
        <v>24608000</v>
      </c>
      <c r="I59">
        <v>0</v>
      </c>
      <c r="J59">
        <v>-2.87</v>
      </c>
    </row>
    <row r="60" spans="1:10" x14ac:dyDescent="0.2">
      <c r="A60" t="s">
        <v>841</v>
      </c>
      <c r="B60" t="s">
        <v>1304</v>
      </c>
      <c r="C60" s="9">
        <v>44523</v>
      </c>
      <c r="D60">
        <v>147.11300700000001</v>
      </c>
      <c r="E60">
        <v>147.69399999999999</v>
      </c>
      <c r="F60">
        <v>144.88949600000001</v>
      </c>
      <c r="G60">
        <v>146.75700399999999</v>
      </c>
      <c r="H60">
        <v>18126000</v>
      </c>
      <c r="I60">
        <v>0</v>
      </c>
      <c r="J60">
        <v>-0.32</v>
      </c>
    </row>
    <row r="61" spans="1:10" x14ac:dyDescent="0.2">
      <c r="A61" t="s">
        <v>842</v>
      </c>
      <c r="B61" t="s">
        <v>1301</v>
      </c>
      <c r="C61" s="9">
        <v>44524</v>
      </c>
      <c r="D61">
        <v>146.35000600000001</v>
      </c>
      <c r="E61">
        <v>147</v>
      </c>
      <c r="F61">
        <v>145.199005</v>
      </c>
      <c r="G61">
        <v>146.717499</v>
      </c>
      <c r="H61">
        <v>16464000</v>
      </c>
      <c r="I61">
        <v>0</v>
      </c>
      <c r="J61">
        <v>-0.04</v>
      </c>
    </row>
    <row r="62" spans="1:10" x14ac:dyDescent="0.2">
      <c r="A62" t="s">
        <v>843</v>
      </c>
      <c r="B62" t="s">
        <v>1303</v>
      </c>
      <c r="C62" s="9">
        <v>44526</v>
      </c>
      <c r="D62">
        <v>145.015503</v>
      </c>
      <c r="E62">
        <v>145.296997</v>
      </c>
      <c r="F62">
        <v>142.48550399999999</v>
      </c>
      <c r="G62">
        <v>142.80600000000001</v>
      </c>
      <c r="H62">
        <v>16992000</v>
      </c>
      <c r="I62">
        <v>0</v>
      </c>
      <c r="J62">
        <v>-3.91</v>
      </c>
    </row>
    <row r="63" spans="1:10" x14ac:dyDescent="0.2">
      <c r="A63" t="s">
        <v>844</v>
      </c>
      <c r="B63" t="s">
        <v>1305</v>
      </c>
      <c r="C63" s="9">
        <v>44529</v>
      </c>
      <c r="D63">
        <v>144.29849200000001</v>
      </c>
      <c r="E63">
        <v>146.86199999999999</v>
      </c>
      <c r="F63">
        <v>144.29849200000001</v>
      </c>
      <c r="G63">
        <v>146.11399800000001</v>
      </c>
      <c r="H63">
        <v>26276000</v>
      </c>
      <c r="I63">
        <v>0</v>
      </c>
      <c r="J63">
        <v>3.31</v>
      </c>
    </row>
    <row r="64" spans="1:10" x14ac:dyDescent="0.2">
      <c r="A64" t="s">
        <v>845</v>
      </c>
      <c r="B64" t="s">
        <v>1304</v>
      </c>
      <c r="C64" s="9">
        <v>44530</v>
      </c>
      <c r="D64">
        <v>145.450256</v>
      </c>
      <c r="E64">
        <v>146.62849399999999</v>
      </c>
      <c r="F64">
        <v>142.06599399999999</v>
      </c>
      <c r="G64">
        <v>142.45199600000001</v>
      </c>
      <c r="H64">
        <v>41590000</v>
      </c>
      <c r="I64">
        <v>0</v>
      </c>
      <c r="J64">
        <v>-3.66</v>
      </c>
    </row>
    <row r="65" spans="1:10" x14ac:dyDescent="0.2">
      <c r="A65" t="s">
        <v>846</v>
      </c>
      <c r="B65" t="s">
        <v>1301</v>
      </c>
      <c r="C65" s="9">
        <v>44531</v>
      </c>
      <c r="D65">
        <v>144.21249399999999</v>
      </c>
      <c r="E65">
        <v>146.499146</v>
      </c>
      <c r="F65">
        <v>141.5</v>
      </c>
      <c r="G65">
        <v>141.61799600000001</v>
      </c>
      <c r="H65">
        <v>28476000</v>
      </c>
      <c r="I65">
        <v>0</v>
      </c>
      <c r="J65">
        <v>-0.83</v>
      </c>
    </row>
    <row r="66" spans="1:10" x14ac:dyDescent="0.2">
      <c r="A66" t="s">
        <v>847</v>
      </c>
      <c r="B66" t="s">
        <v>1302</v>
      </c>
      <c r="C66" s="9">
        <v>44532</v>
      </c>
      <c r="D66">
        <v>141.824005</v>
      </c>
      <c r="E66">
        <v>144.675003</v>
      </c>
      <c r="F66">
        <v>140.98199500000001</v>
      </c>
      <c r="G66">
        <v>143.77650499999999</v>
      </c>
      <c r="H66">
        <v>21250000</v>
      </c>
      <c r="I66">
        <v>0</v>
      </c>
      <c r="J66">
        <v>2.16</v>
      </c>
    </row>
    <row r="67" spans="1:10" x14ac:dyDescent="0.2">
      <c r="A67" t="s">
        <v>848</v>
      </c>
      <c r="B67" t="s">
        <v>1303</v>
      </c>
      <c r="C67" s="9">
        <v>44533</v>
      </c>
      <c r="D67">
        <v>144.495499</v>
      </c>
      <c r="E67">
        <v>145.212997</v>
      </c>
      <c r="F67">
        <v>141.14999399999999</v>
      </c>
      <c r="G67">
        <v>142.52049299999999</v>
      </c>
      <c r="H67">
        <v>26688000</v>
      </c>
      <c r="I67">
        <v>0</v>
      </c>
      <c r="J67">
        <v>-1.26</v>
      </c>
    </row>
    <row r="68" spans="1:10" x14ac:dyDescent="0.2">
      <c r="A68" t="s">
        <v>849</v>
      </c>
      <c r="B68" t="s">
        <v>1305</v>
      </c>
      <c r="C68" s="9">
        <v>44536</v>
      </c>
      <c r="D68">
        <v>143.574005</v>
      </c>
      <c r="E68">
        <v>144.35150100000001</v>
      </c>
      <c r="F68">
        <v>140.64700300000001</v>
      </c>
      <c r="G68">
        <v>143.796494</v>
      </c>
      <c r="H68">
        <v>22198000</v>
      </c>
      <c r="I68">
        <v>0</v>
      </c>
      <c r="J68">
        <v>1.28</v>
      </c>
    </row>
    <row r="69" spans="1:10" x14ac:dyDescent="0.2">
      <c r="A69" t="s">
        <v>850</v>
      </c>
      <c r="B69" t="s">
        <v>1304</v>
      </c>
      <c r="C69" s="9">
        <v>44537</v>
      </c>
      <c r="D69">
        <v>145.949997</v>
      </c>
      <c r="E69">
        <v>148.300003</v>
      </c>
      <c r="F69">
        <v>145.70249899999999</v>
      </c>
      <c r="G69">
        <v>148.03649899999999</v>
      </c>
      <c r="H69">
        <v>23258000</v>
      </c>
      <c r="I69">
        <v>0</v>
      </c>
      <c r="J69">
        <v>4.24</v>
      </c>
    </row>
    <row r="70" spans="1:10" x14ac:dyDescent="0.2">
      <c r="A70" t="s">
        <v>851</v>
      </c>
      <c r="B70" t="s">
        <v>1301</v>
      </c>
      <c r="C70" s="9">
        <v>44538</v>
      </c>
      <c r="D70">
        <v>148.33149700000001</v>
      </c>
      <c r="E70">
        <v>149.15649400000001</v>
      </c>
      <c r="F70">
        <v>147.199997</v>
      </c>
      <c r="G70">
        <v>148.720505</v>
      </c>
      <c r="H70">
        <v>18964000</v>
      </c>
      <c r="I70">
        <v>0</v>
      </c>
      <c r="J70">
        <v>0.68</v>
      </c>
    </row>
    <row r="71" spans="1:10" x14ac:dyDescent="0.2">
      <c r="A71" t="s">
        <v>852</v>
      </c>
      <c r="B71" t="s">
        <v>1302</v>
      </c>
      <c r="C71" s="9">
        <v>44539</v>
      </c>
      <c r="D71">
        <v>148.175995</v>
      </c>
      <c r="E71">
        <v>149.604996</v>
      </c>
      <c r="F71">
        <v>147.52900700000001</v>
      </c>
      <c r="G71">
        <v>148.10600299999999</v>
      </c>
      <c r="H71">
        <v>18580000</v>
      </c>
      <c r="I71">
        <v>0</v>
      </c>
      <c r="J71">
        <v>-0.61</v>
      </c>
    </row>
    <row r="72" spans="1:10" x14ac:dyDescent="0.2">
      <c r="A72" t="s">
        <v>853</v>
      </c>
      <c r="B72" t="s">
        <v>1303</v>
      </c>
      <c r="C72" s="9">
        <v>44540</v>
      </c>
      <c r="D72">
        <v>149.10000600000001</v>
      </c>
      <c r="E72">
        <v>149.39999399999999</v>
      </c>
      <c r="F72">
        <v>147.35749799999999</v>
      </c>
      <c r="G72">
        <v>148.675003</v>
      </c>
      <c r="H72">
        <v>21634000</v>
      </c>
      <c r="I72">
        <v>0</v>
      </c>
      <c r="J72">
        <v>0.56999999999999995</v>
      </c>
    </row>
    <row r="73" spans="1:10" x14ac:dyDescent="0.2">
      <c r="A73" t="s">
        <v>854</v>
      </c>
      <c r="B73" t="s">
        <v>1305</v>
      </c>
      <c r="C73" s="9">
        <v>44543</v>
      </c>
      <c r="D73">
        <v>148.44399999999999</v>
      </c>
      <c r="E73">
        <v>148.5625</v>
      </c>
      <c r="F73">
        <v>146.36000100000001</v>
      </c>
      <c r="G73">
        <v>146.704498</v>
      </c>
      <c r="H73">
        <v>24104000</v>
      </c>
      <c r="I73">
        <v>0</v>
      </c>
      <c r="J73">
        <v>-1.97</v>
      </c>
    </row>
    <row r="74" spans="1:10" x14ac:dyDescent="0.2">
      <c r="A74" t="s">
        <v>855</v>
      </c>
      <c r="B74" t="s">
        <v>1304</v>
      </c>
      <c r="C74" s="9">
        <v>44544</v>
      </c>
      <c r="D74">
        <v>144.770004</v>
      </c>
      <c r="E74">
        <v>145.442001</v>
      </c>
      <c r="F74">
        <v>142.242493</v>
      </c>
      <c r="G74">
        <v>144.970505</v>
      </c>
      <c r="H74">
        <v>24778000</v>
      </c>
      <c r="I74">
        <v>0</v>
      </c>
      <c r="J74">
        <v>-1.73</v>
      </c>
    </row>
    <row r="75" spans="1:10" x14ac:dyDescent="0.2">
      <c r="A75" t="s">
        <v>856</v>
      </c>
      <c r="B75" t="s">
        <v>1301</v>
      </c>
      <c r="C75" s="9">
        <v>44545</v>
      </c>
      <c r="D75">
        <v>144.36599699999999</v>
      </c>
      <c r="E75">
        <v>147.51724200000001</v>
      </c>
      <c r="F75">
        <v>142.70550499999999</v>
      </c>
      <c r="G75">
        <v>147.36850000000001</v>
      </c>
      <c r="H75">
        <v>27280000</v>
      </c>
      <c r="I75">
        <v>0</v>
      </c>
      <c r="J75">
        <v>2.4</v>
      </c>
    </row>
    <row r="76" spans="1:10" x14ac:dyDescent="0.2">
      <c r="A76" t="s">
        <v>857</v>
      </c>
      <c r="B76" t="s">
        <v>1302</v>
      </c>
      <c r="C76" s="9">
        <v>44546</v>
      </c>
      <c r="D76">
        <v>148.07699600000001</v>
      </c>
      <c r="E76">
        <v>148.55149800000001</v>
      </c>
      <c r="F76">
        <v>144.092499</v>
      </c>
      <c r="G76">
        <v>144.83850100000001</v>
      </c>
      <c r="H76">
        <v>27400000</v>
      </c>
      <c r="I76">
        <v>0</v>
      </c>
      <c r="J76">
        <v>-2.5299999999999998</v>
      </c>
    </row>
    <row r="77" spans="1:10" x14ac:dyDescent="0.2">
      <c r="A77" t="s">
        <v>858</v>
      </c>
      <c r="B77" t="s">
        <v>1303</v>
      </c>
      <c r="C77" s="9">
        <v>44547</v>
      </c>
      <c r="D77">
        <v>142.714493</v>
      </c>
      <c r="E77">
        <v>144.46009799999999</v>
      </c>
      <c r="F77">
        <v>141.787994</v>
      </c>
      <c r="G77">
        <v>142.80299400000001</v>
      </c>
      <c r="H77">
        <v>43404000</v>
      </c>
      <c r="I77">
        <v>0</v>
      </c>
      <c r="J77">
        <v>-2.04</v>
      </c>
    </row>
    <row r="78" spans="1:10" x14ac:dyDescent="0.2">
      <c r="A78" t="s">
        <v>859</v>
      </c>
      <c r="B78" t="s">
        <v>1305</v>
      </c>
      <c r="C78" s="9">
        <v>44550</v>
      </c>
      <c r="D78">
        <v>140.679596</v>
      </c>
      <c r="E78">
        <v>142.61050399999999</v>
      </c>
      <c r="F78">
        <v>140.25</v>
      </c>
      <c r="G78">
        <v>142.40150499999999</v>
      </c>
      <c r="H78">
        <v>20264000</v>
      </c>
      <c r="I78">
        <v>0</v>
      </c>
      <c r="J78">
        <v>-0.4</v>
      </c>
    </row>
    <row r="79" spans="1:10" x14ac:dyDescent="0.2">
      <c r="A79" t="s">
        <v>860</v>
      </c>
      <c r="B79" t="s">
        <v>1304</v>
      </c>
      <c r="C79" s="9">
        <v>44551</v>
      </c>
      <c r="D79">
        <v>143.14999399999999</v>
      </c>
      <c r="E79">
        <v>144.692047</v>
      </c>
      <c r="F79">
        <v>141.73500100000001</v>
      </c>
      <c r="G79">
        <v>144.220505</v>
      </c>
      <c r="H79">
        <v>19548000</v>
      </c>
      <c r="I79">
        <v>0</v>
      </c>
      <c r="J79">
        <v>1.82</v>
      </c>
    </row>
    <row r="80" spans="1:10" x14ac:dyDescent="0.2">
      <c r="A80" t="s">
        <v>861</v>
      </c>
      <c r="B80" t="s">
        <v>1301</v>
      </c>
      <c r="C80" s="9">
        <v>44552</v>
      </c>
      <c r="D80">
        <v>144.10000600000001</v>
      </c>
      <c r="E80">
        <v>147.30299400000001</v>
      </c>
      <c r="F80">
        <v>143.962997</v>
      </c>
      <c r="G80">
        <v>146.949005</v>
      </c>
      <c r="H80">
        <v>18438000</v>
      </c>
      <c r="I80">
        <v>0</v>
      </c>
      <c r="J80">
        <v>2.73</v>
      </c>
    </row>
    <row r="81" spans="1:10" x14ac:dyDescent="0.2">
      <c r="A81" t="s">
        <v>862</v>
      </c>
      <c r="B81" t="s">
        <v>1302</v>
      </c>
      <c r="C81" s="9">
        <v>44553</v>
      </c>
      <c r="D81">
        <v>147.089493</v>
      </c>
      <c r="E81">
        <v>148.57260099999999</v>
      </c>
      <c r="F81">
        <v>146.950851</v>
      </c>
      <c r="G81">
        <v>147.14250200000001</v>
      </c>
      <c r="H81">
        <v>13818000</v>
      </c>
      <c r="I81">
        <v>0</v>
      </c>
      <c r="J81">
        <v>0.19</v>
      </c>
    </row>
    <row r="82" spans="1:10" x14ac:dyDescent="0.2">
      <c r="A82" t="s">
        <v>863</v>
      </c>
      <c r="B82" t="s">
        <v>1305</v>
      </c>
      <c r="C82" s="9">
        <v>44557</v>
      </c>
      <c r="D82">
        <v>147.46350100000001</v>
      </c>
      <c r="E82">
        <v>148.42649800000001</v>
      </c>
      <c r="F82">
        <v>147.25</v>
      </c>
      <c r="G82">
        <v>148.06399500000001</v>
      </c>
      <c r="H82">
        <v>13256000</v>
      </c>
      <c r="I82">
        <v>0</v>
      </c>
      <c r="J82">
        <v>0.92</v>
      </c>
    </row>
    <row r="83" spans="1:10" x14ac:dyDescent="0.2">
      <c r="A83" t="s">
        <v>864</v>
      </c>
      <c r="B83" t="s">
        <v>1304</v>
      </c>
      <c r="C83" s="9">
        <v>44558</v>
      </c>
      <c r="D83">
        <v>148.37449599999999</v>
      </c>
      <c r="E83">
        <v>148.37449599999999</v>
      </c>
      <c r="F83">
        <v>145.93550099999999</v>
      </c>
      <c r="G83">
        <v>146.44799800000001</v>
      </c>
      <c r="H83">
        <v>18624000</v>
      </c>
      <c r="I83">
        <v>0</v>
      </c>
      <c r="J83">
        <v>-1.62</v>
      </c>
    </row>
    <row r="84" spans="1:10" x14ac:dyDescent="0.2">
      <c r="A84" t="s">
        <v>865</v>
      </c>
      <c r="B84" t="s">
        <v>1301</v>
      </c>
      <c r="C84" s="9">
        <v>44559</v>
      </c>
      <c r="D84">
        <v>146.42950400000001</v>
      </c>
      <c r="E84">
        <v>147.18374600000001</v>
      </c>
      <c r="F84">
        <v>145.504501</v>
      </c>
      <c r="G84">
        <v>146.504501</v>
      </c>
      <c r="H84">
        <v>17022000</v>
      </c>
      <c r="I84">
        <v>0</v>
      </c>
      <c r="J84">
        <v>0.06</v>
      </c>
    </row>
    <row r="85" spans="1:10" x14ac:dyDescent="0.2">
      <c r="A85" t="s">
        <v>866</v>
      </c>
      <c r="B85" t="s">
        <v>1302</v>
      </c>
      <c r="C85" s="9">
        <v>44560</v>
      </c>
      <c r="D85">
        <v>146.449997</v>
      </c>
      <c r="E85">
        <v>147.0625</v>
      </c>
      <c r="F85">
        <v>145.758499</v>
      </c>
      <c r="G85">
        <v>146.00250199999999</v>
      </c>
      <c r="H85">
        <v>12978000</v>
      </c>
      <c r="I85">
        <v>0</v>
      </c>
      <c r="J85">
        <v>-0.5</v>
      </c>
    </row>
    <row r="86" spans="1:10" x14ac:dyDescent="0.2">
      <c r="A86" t="s">
        <v>867</v>
      </c>
      <c r="B86" t="s">
        <v>1303</v>
      </c>
      <c r="C86" s="9">
        <v>44561</v>
      </c>
      <c r="D86">
        <v>145.544006</v>
      </c>
      <c r="E86">
        <v>146.365005</v>
      </c>
      <c r="F86">
        <v>144.677505</v>
      </c>
      <c r="G86">
        <v>144.67950400000001</v>
      </c>
      <c r="H86">
        <v>17298000</v>
      </c>
      <c r="I86">
        <v>0</v>
      </c>
      <c r="J86">
        <v>-1.32</v>
      </c>
    </row>
    <row r="87" spans="1:10" x14ac:dyDescent="0.2">
      <c r="A87" t="s">
        <v>868</v>
      </c>
      <c r="B87" t="s">
        <v>1305</v>
      </c>
      <c r="C87" s="9">
        <v>44564</v>
      </c>
      <c r="D87">
        <v>144.475494</v>
      </c>
      <c r="E87">
        <v>145.550003</v>
      </c>
      <c r="F87">
        <v>143.50250199999999</v>
      </c>
      <c r="G87">
        <v>145.07449299999999</v>
      </c>
      <c r="H87">
        <v>25214000</v>
      </c>
      <c r="I87">
        <v>0</v>
      </c>
      <c r="J87">
        <v>0.39</v>
      </c>
    </row>
    <row r="88" spans="1:10" x14ac:dyDescent="0.2">
      <c r="A88" t="s">
        <v>869</v>
      </c>
      <c r="B88" t="s">
        <v>1304</v>
      </c>
      <c r="C88" s="9">
        <v>44565</v>
      </c>
      <c r="D88">
        <v>145.55050700000001</v>
      </c>
      <c r="E88">
        <v>146.61000100000001</v>
      </c>
      <c r="F88">
        <v>143.816147</v>
      </c>
      <c r="G88">
        <v>144.416504</v>
      </c>
      <c r="H88">
        <v>22928000</v>
      </c>
      <c r="I88">
        <v>0</v>
      </c>
      <c r="J88">
        <v>-0.66</v>
      </c>
    </row>
    <row r="89" spans="1:10" x14ac:dyDescent="0.2">
      <c r="A89" t="s">
        <v>870</v>
      </c>
      <c r="B89" t="s">
        <v>1301</v>
      </c>
      <c r="C89" s="9">
        <v>44566</v>
      </c>
      <c r="D89">
        <v>144.18100000000001</v>
      </c>
      <c r="E89">
        <v>144.29800399999999</v>
      </c>
      <c r="F89">
        <v>137.52349899999999</v>
      </c>
      <c r="G89">
        <v>137.653503</v>
      </c>
      <c r="H89">
        <v>49642000</v>
      </c>
      <c r="I89">
        <v>0</v>
      </c>
      <c r="J89">
        <v>-6.76</v>
      </c>
    </row>
    <row r="90" spans="1:10" x14ac:dyDescent="0.2">
      <c r="A90" t="s">
        <v>871</v>
      </c>
      <c r="B90" t="s">
        <v>1302</v>
      </c>
      <c r="C90" s="9">
        <v>44567</v>
      </c>
      <c r="D90">
        <v>137.49749800000001</v>
      </c>
      <c r="E90">
        <v>139.68600499999999</v>
      </c>
      <c r="F90">
        <v>136.76350400000001</v>
      </c>
      <c r="G90">
        <v>137.550995</v>
      </c>
      <c r="H90">
        <v>29050000</v>
      </c>
      <c r="I90">
        <v>0</v>
      </c>
      <c r="J90">
        <v>-0.1</v>
      </c>
    </row>
    <row r="91" spans="1:10" x14ac:dyDescent="0.2">
      <c r="A91" t="s">
        <v>872</v>
      </c>
      <c r="B91" t="s">
        <v>1303</v>
      </c>
      <c r="C91" s="9">
        <v>44568</v>
      </c>
      <c r="D91">
        <v>137.904999</v>
      </c>
      <c r="E91">
        <v>138.25474500000001</v>
      </c>
      <c r="F91">
        <v>135.78900100000001</v>
      </c>
      <c r="G91">
        <v>137.004501</v>
      </c>
      <c r="H91">
        <v>19408000</v>
      </c>
      <c r="I91">
        <v>0</v>
      </c>
      <c r="J91">
        <v>-0.55000000000000004</v>
      </c>
    </row>
    <row r="92" spans="1:10" x14ac:dyDescent="0.2">
      <c r="A92" t="s">
        <v>873</v>
      </c>
      <c r="B92" t="s">
        <v>1305</v>
      </c>
      <c r="C92" s="9">
        <v>44571</v>
      </c>
      <c r="D92">
        <v>135.09899899999999</v>
      </c>
      <c r="E92">
        <v>138.63999899999999</v>
      </c>
      <c r="F92">
        <v>133.140503</v>
      </c>
      <c r="G92">
        <v>138.574005</v>
      </c>
      <c r="H92">
        <v>34096000</v>
      </c>
      <c r="I92">
        <v>0</v>
      </c>
      <c r="J92">
        <v>1.57</v>
      </c>
    </row>
    <row r="93" spans="1:10" x14ac:dyDescent="0.2">
      <c r="A93" t="s">
        <v>874</v>
      </c>
      <c r="B93" t="s">
        <v>1304</v>
      </c>
      <c r="C93" s="9">
        <v>44572</v>
      </c>
      <c r="D93">
        <v>138.18049600000001</v>
      </c>
      <c r="E93">
        <v>140.329498</v>
      </c>
      <c r="F93">
        <v>136.81350699999999</v>
      </c>
      <c r="G93">
        <v>140.01750200000001</v>
      </c>
      <c r="H93">
        <v>23502000</v>
      </c>
      <c r="I93">
        <v>0</v>
      </c>
      <c r="J93">
        <v>1.44</v>
      </c>
    </row>
    <row r="94" spans="1:10" x14ac:dyDescent="0.2">
      <c r="A94" t="s">
        <v>875</v>
      </c>
      <c r="B94" t="s">
        <v>1301</v>
      </c>
      <c r="C94" s="9">
        <v>44573</v>
      </c>
      <c r="D94">
        <v>141.55450400000001</v>
      </c>
      <c r="E94">
        <v>142.814255</v>
      </c>
      <c r="F94">
        <v>141.11199999999999</v>
      </c>
      <c r="G94">
        <v>141.64799500000001</v>
      </c>
      <c r="H94">
        <v>23642000</v>
      </c>
      <c r="I94">
        <v>0</v>
      </c>
      <c r="J94">
        <v>1.63</v>
      </c>
    </row>
    <row r="95" spans="1:10" x14ac:dyDescent="0.2">
      <c r="A95" t="s">
        <v>876</v>
      </c>
      <c r="B95" t="s">
        <v>1302</v>
      </c>
      <c r="C95" s="9">
        <v>44574</v>
      </c>
      <c r="D95">
        <v>141.84049999999999</v>
      </c>
      <c r="E95">
        <v>143.18550099999999</v>
      </c>
      <c r="F95">
        <v>138.91400100000001</v>
      </c>
      <c r="G95">
        <v>139.13099700000001</v>
      </c>
      <c r="H95">
        <v>26566000</v>
      </c>
      <c r="I95">
        <v>0</v>
      </c>
      <c r="J95">
        <v>-2.52</v>
      </c>
    </row>
    <row r="96" spans="1:10" x14ac:dyDescent="0.2">
      <c r="A96" t="s">
        <v>877</v>
      </c>
      <c r="B96" t="s">
        <v>1303</v>
      </c>
      <c r="C96" s="9">
        <v>44575</v>
      </c>
      <c r="D96">
        <v>137.5</v>
      </c>
      <c r="E96">
        <v>141.20050000000001</v>
      </c>
      <c r="F96">
        <v>137.5</v>
      </c>
      <c r="G96">
        <v>139.78649899999999</v>
      </c>
      <c r="H96">
        <v>23826000</v>
      </c>
      <c r="I96">
        <v>0</v>
      </c>
      <c r="J96">
        <v>0.66</v>
      </c>
    </row>
    <row r="97" spans="1:10" x14ac:dyDescent="0.2">
      <c r="A97" t="s">
        <v>878</v>
      </c>
      <c r="B97" t="s">
        <v>1304</v>
      </c>
      <c r="C97" s="9">
        <v>44579</v>
      </c>
      <c r="D97">
        <v>136.60000600000001</v>
      </c>
      <c r="E97">
        <v>137.39149499999999</v>
      </c>
      <c r="F97">
        <v>135.61700400000001</v>
      </c>
      <c r="G97">
        <v>136.29049699999999</v>
      </c>
      <c r="H97">
        <v>27382000</v>
      </c>
      <c r="I97">
        <v>0</v>
      </c>
      <c r="J97">
        <v>-3.5</v>
      </c>
    </row>
    <row r="98" spans="1:10" x14ac:dyDescent="0.2">
      <c r="A98" t="s">
        <v>879</v>
      </c>
      <c r="B98" t="s">
        <v>1301</v>
      </c>
      <c r="C98" s="9">
        <v>44580</v>
      </c>
      <c r="D98">
        <v>136.93850699999999</v>
      </c>
      <c r="E98">
        <v>138.399506</v>
      </c>
      <c r="F98">
        <v>135.5</v>
      </c>
      <c r="G98">
        <v>135.651993</v>
      </c>
      <c r="H98">
        <v>20796000</v>
      </c>
      <c r="I98">
        <v>0</v>
      </c>
      <c r="J98">
        <v>-0.64</v>
      </c>
    </row>
    <row r="99" spans="1:10" x14ac:dyDescent="0.2">
      <c r="A99" t="s">
        <v>880</v>
      </c>
      <c r="B99" t="s">
        <v>1302</v>
      </c>
      <c r="C99" s="9">
        <v>44581</v>
      </c>
      <c r="D99">
        <v>136.51400799999999</v>
      </c>
      <c r="E99">
        <v>137.912003</v>
      </c>
      <c r="F99">
        <v>133.14450099999999</v>
      </c>
      <c r="G99">
        <v>133.50649999999999</v>
      </c>
      <c r="H99">
        <v>21930000</v>
      </c>
      <c r="I99">
        <v>0</v>
      </c>
      <c r="J99">
        <v>-2.15</v>
      </c>
    </row>
    <row r="100" spans="1:10" x14ac:dyDescent="0.2">
      <c r="A100" t="s">
        <v>881</v>
      </c>
      <c r="B100" t="s">
        <v>1303</v>
      </c>
      <c r="C100" s="9">
        <v>44582</v>
      </c>
      <c r="D100">
        <v>133.01199299999999</v>
      </c>
      <c r="E100">
        <v>134.76049800000001</v>
      </c>
      <c r="F100">
        <v>130.00100699999999</v>
      </c>
      <c r="G100">
        <v>130.091995</v>
      </c>
      <c r="H100">
        <v>41920000</v>
      </c>
      <c r="I100">
        <v>0</v>
      </c>
      <c r="J100">
        <v>-3.41</v>
      </c>
    </row>
    <row r="101" spans="1:10" x14ac:dyDescent="0.2">
      <c r="A101" t="s">
        <v>882</v>
      </c>
      <c r="B101" t="s">
        <v>1305</v>
      </c>
      <c r="C101" s="9">
        <v>44585</v>
      </c>
      <c r="D101">
        <v>126.027496</v>
      </c>
      <c r="E101">
        <v>130.778503</v>
      </c>
      <c r="F101">
        <v>124.641953</v>
      </c>
      <c r="G101">
        <v>130.371994</v>
      </c>
      <c r="H101">
        <v>55148000</v>
      </c>
      <c r="I101">
        <v>0</v>
      </c>
      <c r="J101">
        <v>0.28000000000000003</v>
      </c>
    </row>
    <row r="102" spans="1:10" x14ac:dyDescent="0.2">
      <c r="A102" t="s">
        <v>883</v>
      </c>
      <c r="B102" t="s">
        <v>1304</v>
      </c>
      <c r="C102" s="9">
        <v>44586</v>
      </c>
      <c r="D102">
        <v>128.43550099999999</v>
      </c>
      <c r="E102">
        <v>129.33850100000001</v>
      </c>
      <c r="F102">
        <v>126.37799800000001</v>
      </c>
      <c r="G102">
        <v>126.735497</v>
      </c>
      <c r="H102">
        <v>36008000</v>
      </c>
      <c r="I102">
        <v>0</v>
      </c>
      <c r="J102">
        <v>-3.64</v>
      </c>
    </row>
    <row r="103" spans="1:10" x14ac:dyDescent="0.2">
      <c r="A103" t="s">
        <v>884</v>
      </c>
      <c r="B103" t="s">
        <v>1301</v>
      </c>
      <c r="C103" s="9">
        <v>44587</v>
      </c>
      <c r="D103">
        <v>130.592499</v>
      </c>
      <c r="E103">
        <v>132.80749499999999</v>
      </c>
      <c r="F103">
        <v>127.153503</v>
      </c>
      <c r="G103">
        <v>129.240005</v>
      </c>
      <c r="H103">
        <v>39630000</v>
      </c>
      <c r="I103">
        <v>0</v>
      </c>
      <c r="J103">
        <v>2.5</v>
      </c>
    </row>
    <row r="104" spans="1:10" x14ac:dyDescent="0.2">
      <c r="A104" t="s">
        <v>885</v>
      </c>
      <c r="B104" t="s">
        <v>1302</v>
      </c>
      <c r="C104" s="9">
        <v>44588</v>
      </c>
      <c r="D104">
        <v>131.36099200000001</v>
      </c>
      <c r="E104">
        <v>132.60995500000001</v>
      </c>
      <c r="F104">
        <v>128.945007</v>
      </c>
      <c r="G104">
        <v>129.121002</v>
      </c>
      <c r="H104">
        <v>30248000</v>
      </c>
      <c r="I104">
        <v>0</v>
      </c>
      <c r="J104">
        <v>-0.12</v>
      </c>
    </row>
    <row r="105" spans="1:10" x14ac:dyDescent="0.2">
      <c r="A105" t="s">
        <v>886</v>
      </c>
      <c r="B105" t="s">
        <v>1303</v>
      </c>
      <c r="C105" s="9">
        <v>44589</v>
      </c>
      <c r="D105">
        <v>130</v>
      </c>
      <c r="E105">
        <v>133.370499</v>
      </c>
      <c r="F105">
        <v>128.69450399999999</v>
      </c>
      <c r="G105">
        <v>133.28950499999999</v>
      </c>
      <c r="H105">
        <v>30518000</v>
      </c>
      <c r="I105">
        <v>0</v>
      </c>
      <c r="J105">
        <v>4.17</v>
      </c>
    </row>
    <row r="106" spans="1:10" x14ac:dyDescent="0.2">
      <c r="A106" t="s">
        <v>887</v>
      </c>
      <c r="B106" t="s">
        <v>1305</v>
      </c>
      <c r="C106" s="9">
        <v>44592</v>
      </c>
      <c r="D106">
        <v>134.19799800000001</v>
      </c>
      <c r="E106">
        <v>135.84350599999999</v>
      </c>
      <c r="F106">
        <v>132.274002</v>
      </c>
      <c r="G106">
        <v>135.69850199999999</v>
      </c>
      <c r="H106">
        <v>34056000</v>
      </c>
      <c r="I106">
        <v>0</v>
      </c>
      <c r="J106">
        <v>2.41</v>
      </c>
    </row>
    <row r="107" spans="1:10" x14ac:dyDescent="0.2">
      <c r="A107" t="s">
        <v>888</v>
      </c>
      <c r="B107" t="s">
        <v>1304</v>
      </c>
      <c r="C107" s="9">
        <v>44593</v>
      </c>
      <c r="D107">
        <v>137.83500699999999</v>
      </c>
      <c r="E107">
        <v>138.199997</v>
      </c>
      <c r="F107">
        <v>134.568253</v>
      </c>
      <c r="G107">
        <v>137.87849399999999</v>
      </c>
      <c r="H107">
        <v>51204000</v>
      </c>
      <c r="I107">
        <v>0</v>
      </c>
      <c r="J107">
        <v>2.1800000000000002</v>
      </c>
    </row>
    <row r="108" spans="1:10" x14ac:dyDescent="0.2">
      <c r="A108" t="s">
        <v>889</v>
      </c>
      <c r="B108" t="s">
        <v>1301</v>
      </c>
      <c r="C108" s="9">
        <v>44594</v>
      </c>
      <c r="D108">
        <v>151.863495</v>
      </c>
      <c r="E108">
        <v>152.10000600000001</v>
      </c>
      <c r="F108">
        <v>145.55749499999999</v>
      </c>
      <c r="G108">
        <v>148.03649899999999</v>
      </c>
      <c r="H108">
        <v>89750000</v>
      </c>
      <c r="I108">
        <v>0</v>
      </c>
      <c r="J108">
        <v>10.16</v>
      </c>
    </row>
    <row r="109" spans="1:10" x14ac:dyDescent="0.2">
      <c r="A109" t="s">
        <v>890</v>
      </c>
      <c r="B109" t="s">
        <v>1302</v>
      </c>
      <c r="C109" s="9">
        <v>44595</v>
      </c>
      <c r="D109">
        <v>145.29499799999999</v>
      </c>
      <c r="E109">
        <v>149.117706</v>
      </c>
      <c r="F109">
        <v>142.20500200000001</v>
      </c>
      <c r="G109">
        <v>142.650497</v>
      </c>
      <c r="H109">
        <v>56930000</v>
      </c>
      <c r="I109">
        <v>0</v>
      </c>
      <c r="J109">
        <v>-5.39</v>
      </c>
    </row>
    <row r="110" spans="1:10" x14ac:dyDescent="0.2">
      <c r="A110" t="s">
        <v>891</v>
      </c>
      <c r="B110" t="s">
        <v>1303</v>
      </c>
      <c r="C110" s="9">
        <v>44596</v>
      </c>
      <c r="D110">
        <v>143.016998</v>
      </c>
      <c r="E110">
        <v>144.535248</v>
      </c>
      <c r="F110">
        <v>139.81750500000001</v>
      </c>
      <c r="G110">
        <v>143.016006</v>
      </c>
      <c r="H110">
        <v>49224000</v>
      </c>
      <c r="I110">
        <v>0</v>
      </c>
      <c r="J110">
        <v>0.37</v>
      </c>
    </row>
    <row r="111" spans="1:10" x14ac:dyDescent="0.2">
      <c r="A111" t="s">
        <v>892</v>
      </c>
      <c r="B111" t="s">
        <v>1305</v>
      </c>
      <c r="C111" s="9">
        <v>44599</v>
      </c>
      <c r="D111">
        <v>143.709</v>
      </c>
      <c r="E111">
        <v>143.846497</v>
      </c>
      <c r="F111">
        <v>138.699005</v>
      </c>
      <c r="G111">
        <v>138.93800400000001</v>
      </c>
      <c r="H111">
        <v>44610000</v>
      </c>
      <c r="I111">
        <v>0</v>
      </c>
      <c r="J111">
        <v>-4.08</v>
      </c>
    </row>
    <row r="112" spans="1:10" x14ac:dyDescent="0.2">
      <c r="A112" t="s">
        <v>893</v>
      </c>
      <c r="B112" t="s">
        <v>1304</v>
      </c>
      <c r="C112" s="9">
        <v>44600</v>
      </c>
      <c r="D112">
        <v>138.99125699999999</v>
      </c>
      <c r="E112">
        <v>139.837097</v>
      </c>
      <c r="F112">
        <v>136.87300099999999</v>
      </c>
      <c r="G112">
        <v>139.212997</v>
      </c>
      <c r="H112">
        <v>34256000</v>
      </c>
      <c r="I112">
        <v>0</v>
      </c>
      <c r="J112">
        <v>0.27</v>
      </c>
    </row>
    <row r="113" spans="1:10" x14ac:dyDescent="0.2">
      <c r="A113" t="s">
        <v>894</v>
      </c>
      <c r="B113" t="s">
        <v>1301</v>
      </c>
      <c r="C113" s="9">
        <v>44601</v>
      </c>
      <c r="D113">
        <v>140.84974700000001</v>
      </c>
      <c r="E113">
        <v>142.17550700000001</v>
      </c>
      <c r="F113">
        <v>140.37699900000001</v>
      </c>
      <c r="G113">
        <v>141.453003</v>
      </c>
      <c r="H113">
        <v>28628000</v>
      </c>
      <c r="I113">
        <v>0</v>
      </c>
      <c r="J113">
        <v>2.2400000000000002</v>
      </c>
    </row>
    <row r="114" spans="1:10" x14ac:dyDescent="0.2">
      <c r="A114" t="s">
        <v>895</v>
      </c>
      <c r="B114" t="s">
        <v>1302</v>
      </c>
      <c r="C114" s="9">
        <v>44602</v>
      </c>
      <c r="D114">
        <v>139.5</v>
      </c>
      <c r="E114">
        <v>141.43100000000001</v>
      </c>
      <c r="F114">
        <v>138.050003</v>
      </c>
      <c r="G114">
        <v>138.60249300000001</v>
      </c>
      <c r="H114">
        <v>33018000</v>
      </c>
      <c r="I114">
        <v>0</v>
      </c>
      <c r="J114">
        <v>-2.85</v>
      </c>
    </row>
    <row r="115" spans="1:10" x14ac:dyDescent="0.2">
      <c r="A115" t="s">
        <v>896</v>
      </c>
      <c r="B115" t="s">
        <v>1303</v>
      </c>
      <c r="C115" s="9">
        <v>44603</v>
      </c>
      <c r="D115">
        <v>138.75</v>
      </c>
      <c r="E115">
        <v>139.28324900000001</v>
      </c>
      <c r="F115">
        <v>133.288498</v>
      </c>
      <c r="G115">
        <v>134.13000500000001</v>
      </c>
      <c r="H115">
        <v>38808000</v>
      </c>
      <c r="I115">
        <v>0</v>
      </c>
      <c r="J115">
        <v>-4.47</v>
      </c>
    </row>
    <row r="116" spans="1:10" x14ac:dyDescent="0.2">
      <c r="A116" t="s">
        <v>897</v>
      </c>
      <c r="B116" t="s">
        <v>1305</v>
      </c>
      <c r="C116" s="9">
        <v>44606</v>
      </c>
      <c r="D116">
        <v>133.36549400000001</v>
      </c>
      <c r="E116">
        <v>136.166504</v>
      </c>
      <c r="F116">
        <v>133.30200199999999</v>
      </c>
      <c r="G116">
        <v>135.300003</v>
      </c>
      <c r="H116">
        <v>26792000</v>
      </c>
      <c r="I116">
        <v>0</v>
      </c>
      <c r="J116">
        <v>1.17</v>
      </c>
    </row>
    <row r="117" spans="1:10" x14ac:dyDescent="0.2">
      <c r="A117" t="s">
        <v>898</v>
      </c>
      <c r="B117" t="s">
        <v>1304</v>
      </c>
      <c r="C117" s="9">
        <v>44607</v>
      </c>
      <c r="D117">
        <v>137.471497</v>
      </c>
      <c r="E117">
        <v>137.89999399999999</v>
      </c>
      <c r="F117">
        <v>135.53950499999999</v>
      </c>
      <c r="G117">
        <v>136.42550700000001</v>
      </c>
      <c r="H117">
        <v>26578000</v>
      </c>
      <c r="I117">
        <v>0</v>
      </c>
      <c r="J117">
        <v>1.1299999999999999</v>
      </c>
    </row>
    <row r="118" spans="1:10" x14ac:dyDescent="0.2">
      <c r="A118" t="s">
        <v>899</v>
      </c>
      <c r="B118" t="s">
        <v>1301</v>
      </c>
      <c r="C118" s="9">
        <v>44608</v>
      </c>
      <c r="D118">
        <v>136.43049600000001</v>
      </c>
      <c r="E118">
        <v>137.945999</v>
      </c>
      <c r="F118">
        <v>134.823654</v>
      </c>
      <c r="G118">
        <v>137.487503</v>
      </c>
      <c r="H118">
        <v>25610000</v>
      </c>
      <c r="I118">
        <v>0</v>
      </c>
      <c r="J118">
        <v>1.06</v>
      </c>
    </row>
    <row r="119" spans="1:10" x14ac:dyDescent="0.2">
      <c r="A119" t="s">
        <v>900</v>
      </c>
      <c r="B119" t="s">
        <v>1302</v>
      </c>
      <c r="C119" s="9">
        <v>44609</v>
      </c>
      <c r="D119">
        <v>136.14999399999999</v>
      </c>
      <c r="E119">
        <v>136.839493</v>
      </c>
      <c r="F119">
        <v>132.20199600000001</v>
      </c>
      <c r="G119">
        <v>132.308502</v>
      </c>
      <c r="H119">
        <v>30968000</v>
      </c>
      <c r="I119">
        <v>0</v>
      </c>
      <c r="J119">
        <v>-5.18</v>
      </c>
    </row>
    <row r="120" spans="1:10" x14ac:dyDescent="0.2">
      <c r="A120" t="s">
        <v>901</v>
      </c>
      <c r="B120" t="s">
        <v>1303</v>
      </c>
      <c r="C120" s="9">
        <v>44610</v>
      </c>
      <c r="D120">
        <v>133.03750600000001</v>
      </c>
      <c r="E120">
        <v>133.824005</v>
      </c>
      <c r="F120">
        <v>130.307053</v>
      </c>
      <c r="G120">
        <v>130.467499</v>
      </c>
      <c r="H120">
        <v>31858000</v>
      </c>
      <c r="I120">
        <v>0</v>
      </c>
      <c r="J120">
        <v>-1.84</v>
      </c>
    </row>
    <row r="121" spans="1:10" x14ac:dyDescent="0.2">
      <c r="A121" t="s">
        <v>902</v>
      </c>
      <c r="B121" t="s">
        <v>1304</v>
      </c>
      <c r="C121" s="9">
        <v>44614</v>
      </c>
      <c r="D121">
        <v>129.98500100000001</v>
      </c>
      <c r="E121">
        <v>131.900757</v>
      </c>
      <c r="F121">
        <v>127.74099699999999</v>
      </c>
      <c r="G121">
        <v>129.40249600000001</v>
      </c>
      <c r="H121">
        <v>38906000</v>
      </c>
      <c r="I121">
        <v>0</v>
      </c>
      <c r="J121">
        <v>-1.07</v>
      </c>
    </row>
    <row r="122" spans="1:10" x14ac:dyDescent="0.2">
      <c r="A122" t="s">
        <v>903</v>
      </c>
      <c r="B122" t="s">
        <v>1301</v>
      </c>
      <c r="C122" s="9">
        <v>44615</v>
      </c>
      <c r="D122">
        <v>131.078506</v>
      </c>
      <c r="E122">
        <v>131.74899300000001</v>
      </c>
      <c r="F122">
        <v>127.503502</v>
      </c>
      <c r="G122">
        <v>127.584999</v>
      </c>
      <c r="H122">
        <v>26432000</v>
      </c>
      <c r="I122">
        <v>0</v>
      </c>
      <c r="J122">
        <v>-1.82</v>
      </c>
    </row>
    <row r="123" spans="1:10" x14ac:dyDescent="0.2">
      <c r="A123" t="s">
        <v>904</v>
      </c>
      <c r="B123" t="s">
        <v>1302</v>
      </c>
      <c r="C123" s="9">
        <v>44616</v>
      </c>
      <c r="D123">
        <v>125</v>
      </c>
      <c r="E123">
        <v>133.037003</v>
      </c>
      <c r="F123">
        <v>124.764503</v>
      </c>
      <c r="G123">
        <v>132.67349200000001</v>
      </c>
      <c r="H123">
        <v>43166000</v>
      </c>
      <c r="I123">
        <v>0</v>
      </c>
      <c r="J123">
        <v>5.09</v>
      </c>
    </row>
    <row r="124" spans="1:10" x14ac:dyDescent="0.2">
      <c r="A124" t="s">
        <v>905</v>
      </c>
      <c r="B124" t="s">
        <v>1303</v>
      </c>
      <c r="C124" s="9">
        <v>44617</v>
      </c>
      <c r="D124">
        <v>133.525497</v>
      </c>
      <c r="E124">
        <v>135.38900799999999</v>
      </c>
      <c r="F124">
        <v>131.76499899999999</v>
      </c>
      <c r="G124">
        <v>134.51950099999999</v>
      </c>
      <c r="H124">
        <v>26236000</v>
      </c>
      <c r="I124">
        <v>0</v>
      </c>
      <c r="J124">
        <v>1.85</v>
      </c>
    </row>
    <row r="125" spans="1:10" x14ac:dyDescent="0.2">
      <c r="A125" t="s">
        <v>906</v>
      </c>
      <c r="B125" t="s">
        <v>1305</v>
      </c>
      <c r="C125" s="9">
        <v>44620</v>
      </c>
      <c r="D125">
        <v>133.28450000000001</v>
      </c>
      <c r="E125">
        <v>135.640503</v>
      </c>
      <c r="F125">
        <v>132.825256</v>
      </c>
      <c r="G125">
        <v>134.891006</v>
      </c>
      <c r="H125">
        <v>29676000</v>
      </c>
      <c r="I125">
        <v>0</v>
      </c>
      <c r="J125">
        <v>0.37</v>
      </c>
    </row>
    <row r="126" spans="1:10" x14ac:dyDescent="0.2">
      <c r="A126" t="s">
        <v>907</v>
      </c>
      <c r="B126" t="s">
        <v>1304</v>
      </c>
      <c r="C126" s="9">
        <v>44621</v>
      </c>
      <c r="D126">
        <v>134.479996</v>
      </c>
      <c r="E126">
        <v>136.11099200000001</v>
      </c>
      <c r="F126">
        <v>133.37849399999999</v>
      </c>
      <c r="G126">
        <v>134.16799900000001</v>
      </c>
      <c r="H126">
        <v>24640000</v>
      </c>
      <c r="I126">
        <v>0</v>
      </c>
      <c r="J126">
        <v>-0.72</v>
      </c>
    </row>
    <row r="127" spans="1:10" x14ac:dyDescent="0.2">
      <c r="A127" t="s">
        <v>908</v>
      </c>
      <c r="B127" t="s">
        <v>1301</v>
      </c>
      <c r="C127" s="9">
        <v>44622</v>
      </c>
      <c r="D127">
        <v>134.60824600000001</v>
      </c>
      <c r="E127">
        <v>135.61549400000001</v>
      </c>
      <c r="F127">
        <v>133.43249499999999</v>
      </c>
      <c r="G127">
        <v>134.75149500000001</v>
      </c>
      <c r="H127">
        <v>23966000</v>
      </c>
      <c r="I127">
        <v>0</v>
      </c>
      <c r="J127">
        <v>0.57999999999999996</v>
      </c>
    </row>
    <row r="128" spans="1:10" x14ac:dyDescent="0.2">
      <c r="A128" t="s">
        <v>909</v>
      </c>
      <c r="B128" t="s">
        <v>1302</v>
      </c>
      <c r="C128" s="9">
        <v>44623</v>
      </c>
      <c r="D128">
        <v>135.9785</v>
      </c>
      <c r="E128">
        <v>136.71380600000001</v>
      </c>
      <c r="F128">
        <v>133.43100000000001</v>
      </c>
      <c r="G128">
        <v>134.307999</v>
      </c>
      <c r="H128">
        <v>19780000</v>
      </c>
      <c r="I128">
        <v>0</v>
      </c>
      <c r="J128">
        <v>-0.44</v>
      </c>
    </row>
    <row r="129" spans="1:10" x14ac:dyDescent="0.2">
      <c r="A129" t="s">
        <v>910</v>
      </c>
      <c r="B129" t="s">
        <v>1303</v>
      </c>
      <c r="C129" s="9">
        <v>44624</v>
      </c>
      <c r="D129">
        <v>133.382507</v>
      </c>
      <c r="E129">
        <v>134.199005</v>
      </c>
      <c r="F129">
        <v>130.40849299999999</v>
      </c>
      <c r="G129">
        <v>132.121994</v>
      </c>
      <c r="H129">
        <v>24446000</v>
      </c>
      <c r="I129">
        <v>0</v>
      </c>
      <c r="J129">
        <v>-2.19</v>
      </c>
    </row>
    <row r="130" spans="1:10" x14ac:dyDescent="0.2">
      <c r="A130" t="s">
        <v>911</v>
      </c>
      <c r="B130" t="s">
        <v>1305</v>
      </c>
      <c r="C130" s="9">
        <v>44627</v>
      </c>
      <c r="D130">
        <v>131.90400700000001</v>
      </c>
      <c r="E130">
        <v>131.90400700000001</v>
      </c>
      <c r="F130">
        <v>126.410004</v>
      </c>
      <c r="G130">
        <v>126.4645</v>
      </c>
      <c r="H130">
        <v>39178000</v>
      </c>
      <c r="I130">
        <v>0</v>
      </c>
      <c r="J130">
        <v>-5.66</v>
      </c>
    </row>
    <row r="131" spans="1:10" x14ac:dyDescent="0.2">
      <c r="A131" t="s">
        <v>912</v>
      </c>
      <c r="B131" t="s">
        <v>1304</v>
      </c>
      <c r="C131" s="9">
        <v>44628</v>
      </c>
      <c r="D131">
        <v>126.25050400000001</v>
      </c>
      <c r="E131">
        <v>131.24650600000001</v>
      </c>
      <c r="F131">
        <v>125.860748</v>
      </c>
      <c r="G131">
        <v>127.278503</v>
      </c>
      <c r="H131">
        <v>35250000</v>
      </c>
      <c r="I131">
        <v>0</v>
      </c>
      <c r="J131">
        <v>0.81</v>
      </c>
    </row>
    <row r="132" spans="1:10" x14ac:dyDescent="0.2">
      <c r="A132" t="s">
        <v>913</v>
      </c>
      <c r="B132" t="s">
        <v>1301</v>
      </c>
      <c r="C132" s="9">
        <v>44629</v>
      </c>
      <c r="D132">
        <v>131.39999399999999</v>
      </c>
      <c r="E132">
        <v>134.19850199999999</v>
      </c>
      <c r="F132">
        <v>130.087997</v>
      </c>
      <c r="G132">
        <v>133.86599699999999</v>
      </c>
      <c r="H132">
        <v>32258000</v>
      </c>
      <c r="I132">
        <v>0</v>
      </c>
      <c r="J132">
        <v>6.59</v>
      </c>
    </row>
    <row r="133" spans="1:10" x14ac:dyDescent="0.2">
      <c r="A133" t="s">
        <v>914</v>
      </c>
      <c r="B133" t="s">
        <v>1302</v>
      </c>
      <c r="C133" s="9">
        <v>44630</v>
      </c>
      <c r="D133">
        <v>131.46249399999999</v>
      </c>
      <c r="E133">
        <v>133.538498</v>
      </c>
      <c r="F133">
        <v>131.40100100000001</v>
      </c>
      <c r="G133">
        <v>132.682007</v>
      </c>
      <c r="H133">
        <v>24266000</v>
      </c>
      <c r="I133">
        <v>0</v>
      </c>
      <c r="J133">
        <v>-1.18</v>
      </c>
    </row>
    <row r="134" spans="1:10" x14ac:dyDescent="0.2">
      <c r="A134" t="s">
        <v>915</v>
      </c>
      <c r="B134" t="s">
        <v>1303</v>
      </c>
      <c r="C134" s="9">
        <v>44631</v>
      </c>
      <c r="D134">
        <v>133.99949599999999</v>
      </c>
      <c r="E134">
        <v>134.199997</v>
      </c>
      <c r="F134">
        <v>130.296494</v>
      </c>
      <c r="G134">
        <v>130.475494</v>
      </c>
      <c r="H134">
        <v>26600000</v>
      </c>
      <c r="I134">
        <v>0</v>
      </c>
      <c r="J134">
        <v>-2.21</v>
      </c>
    </row>
    <row r="135" spans="1:10" x14ac:dyDescent="0.2">
      <c r="A135" t="s">
        <v>916</v>
      </c>
      <c r="B135" t="s">
        <v>1305</v>
      </c>
      <c r="C135" s="9">
        <v>44634</v>
      </c>
      <c r="D135">
        <v>130.57299800000001</v>
      </c>
      <c r="E135">
        <v>131.02600100000001</v>
      </c>
      <c r="F135">
        <v>126.41300200000001</v>
      </c>
      <c r="G135">
        <v>126.74099699999999</v>
      </c>
      <c r="H135">
        <v>30254000</v>
      </c>
      <c r="I135">
        <v>0</v>
      </c>
      <c r="J135">
        <v>-3.73</v>
      </c>
    </row>
    <row r="136" spans="1:10" x14ac:dyDescent="0.2">
      <c r="A136" t="s">
        <v>917</v>
      </c>
      <c r="B136" t="s">
        <v>1304</v>
      </c>
      <c r="C136" s="9">
        <v>44635</v>
      </c>
      <c r="D136">
        <v>127.741501</v>
      </c>
      <c r="E136">
        <v>130.51724200000001</v>
      </c>
      <c r="F136">
        <v>126.568001</v>
      </c>
      <c r="G136">
        <v>129.660507</v>
      </c>
      <c r="H136">
        <v>30292000</v>
      </c>
      <c r="I136">
        <v>0</v>
      </c>
      <c r="J136">
        <v>2.92</v>
      </c>
    </row>
    <row r="137" spans="1:10" x14ac:dyDescent="0.2">
      <c r="A137" t="s">
        <v>918</v>
      </c>
      <c r="B137" t="s">
        <v>1301</v>
      </c>
      <c r="C137" s="9">
        <v>44636</v>
      </c>
      <c r="D137">
        <v>131</v>
      </c>
      <c r="E137">
        <v>133.770996</v>
      </c>
      <c r="F137">
        <v>129.20100400000001</v>
      </c>
      <c r="G137">
        <v>133.690506</v>
      </c>
      <c r="H137">
        <v>32058000</v>
      </c>
      <c r="I137">
        <v>0</v>
      </c>
      <c r="J137">
        <v>4.03</v>
      </c>
    </row>
    <row r="138" spans="1:10" x14ac:dyDescent="0.2">
      <c r="A138" t="s">
        <v>919</v>
      </c>
      <c r="B138" t="s">
        <v>1302</v>
      </c>
      <c r="C138" s="9">
        <v>44637</v>
      </c>
      <c r="D138">
        <v>133.320999</v>
      </c>
      <c r="E138">
        <v>134.73950199999999</v>
      </c>
      <c r="F138">
        <v>132.71899400000001</v>
      </c>
      <c r="G138">
        <v>134.600494</v>
      </c>
      <c r="H138">
        <v>23994000</v>
      </c>
      <c r="I138">
        <v>0</v>
      </c>
      <c r="J138">
        <v>0.91</v>
      </c>
    </row>
    <row r="139" spans="1:10" x14ac:dyDescent="0.2">
      <c r="A139" t="s">
        <v>920</v>
      </c>
      <c r="B139" t="s">
        <v>1303</v>
      </c>
      <c r="C139" s="9">
        <v>44638</v>
      </c>
      <c r="D139">
        <v>133.88400300000001</v>
      </c>
      <c r="E139">
        <v>136.913498</v>
      </c>
      <c r="F139">
        <v>132.932007</v>
      </c>
      <c r="G139">
        <v>136.80149800000001</v>
      </c>
      <c r="H139">
        <v>45900000</v>
      </c>
      <c r="I139">
        <v>0</v>
      </c>
      <c r="J139">
        <v>2.2000000000000002</v>
      </c>
    </row>
    <row r="140" spans="1:10" x14ac:dyDescent="0.2">
      <c r="A140" t="s">
        <v>921</v>
      </c>
      <c r="B140" t="s">
        <v>1305</v>
      </c>
      <c r="C140" s="9">
        <v>44641</v>
      </c>
      <c r="D140">
        <v>136.84750399999999</v>
      </c>
      <c r="E140">
        <v>137.582504</v>
      </c>
      <c r="F140">
        <v>134.61149599999999</v>
      </c>
      <c r="G140">
        <v>136.4785</v>
      </c>
      <c r="H140">
        <v>26632000</v>
      </c>
      <c r="I140">
        <v>0</v>
      </c>
      <c r="J140">
        <v>-0.32</v>
      </c>
    </row>
    <row r="141" spans="1:10" x14ac:dyDescent="0.2">
      <c r="A141" t="s">
        <v>922</v>
      </c>
      <c r="B141" t="s">
        <v>1304</v>
      </c>
      <c r="C141" s="9">
        <v>44642</v>
      </c>
      <c r="D141">
        <v>136.5</v>
      </c>
      <c r="E141">
        <v>141.5</v>
      </c>
      <c r="F141">
        <v>136.5</v>
      </c>
      <c r="G141">
        <v>140.27749600000001</v>
      </c>
      <c r="H141">
        <v>29776000</v>
      </c>
      <c r="I141">
        <v>0</v>
      </c>
      <c r="J141">
        <v>3.8</v>
      </c>
    </row>
    <row r="142" spans="1:10" x14ac:dyDescent="0.2">
      <c r="A142" t="s">
        <v>923</v>
      </c>
      <c r="B142" t="s">
        <v>1301</v>
      </c>
      <c r="C142" s="9">
        <v>44643</v>
      </c>
      <c r="D142">
        <v>139.13850400000001</v>
      </c>
      <c r="E142">
        <v>140.02499399999999</v>
      </c>
      <c r="F142">
        <v>138.166504</v>
      </c>
      <c r="G142">
        <v>138.50349399999999</v>
      </c>
      <c r="H142">
        <v>25302000</v>
      </c>
      <c r="I142">
        <v>0</v>
      </c>
      <c r="J142">
        <v>-1.77</v>
      </c>
    </row>
    <row r="143" spans="1:10" x14ac:dyDescent="0.2">
      <c r="A143" t="s">
        <v>924</v>
      </c>
      <c r="B143" t="s">
        <v>1302</v>
      </c>
      <c r="C143" s="9">
        <v>44644</v>
      </c>
      <c r="D143">
        <v>139.27250699999999</v>
      </c>
      <c r="E143">
        <v>141.3965</v>
      </c>
      <c r="F143">
        <v>138.03939800000001</v>
      </c>
      <c r="G143">
        <v>141.31199599999999</v>
      </c>
      <c r="H143">
        <v>20544000</v>
      </c>
      <c r="I143">
        <v>0</v>
      </c>
      <c r="J143">
        <v>2.81</v>
      </c>
    </row>
    <row r="144" spans="1:10" x14ac:dyDescent="0.2">
      <c r="A144" t="s">
        <v>925</v>
      </c>
      <c r="B144" t="s">
        <v>1303</v>
      </c>
      <c r="C144" s="9">
        <v>44645</v>
      </c>
      <c r="D144">
        <v>141.753998</v>
      </c>
      <c r="E144">
        <v>141.95950300000001</v>
      </c>
      <c r="F144">
        <v>139.69949299999999</v>
      </c>
      <c r="G144">
        <v>141.5215</v>
      </c>
      <c r="H144">
        <v>19270000</v>
      </c>
      <c r="I144">
        <v>0</v>
      </c>
      <c r="J144">
        <v>0.21</v>
      </c>
    </row>
    <row r="145" spans="1:10" x14ac:dyDescent="0.2">
      <c r="A145" t="s">
        <v>926</v>
      </c>
      <c r="B145" t="s">
        <v>1305</v>
      </c>
      <c r="C145" s="9">
        <v>44648</v>
      </c>
      <c r="D145">
        <v>140.684494</v>
      </c>
      <c r="E145">
        <v>141.97650100000001</v>
      </c>
      <c r="F145">
        <v>139.82815600000001</v>
      </c>
      <c r="G145">
        <v>141.949997</v>
      </c>
      <c r="H145">
        <v>23774000</v>
      </c>
      <c r="I145">
        <v>0</v>
      </c>
      <c r="J145">
        <v>0.43</v>
      </c>
    </row>
    <row r="146" spans="1:10" x14ac:dyDescent="0.2">
      <c r="A146" t="s">
        <v>927</v>
      </c>
      <c r="B146" t="s">
        <v>1304</v>
      </c>
      <c r="C146" s="9">
        <v>44649</v>
      </c>
      <c r="D146">
        <v>143.160507</v>
      </c>
      <c r="E146">
        <v>144.16250600000001</v>
      </c>
      <c r="F146">
        <v>142.483994</v>
      </c>
      <c r="G146">
        <v>143.25</v>
      </c>
      <c r="H146">
        <v>28678000</v>
      </c>
      <c r="I146">
        <v>0</v>
      </c>
      <c r="J146">
        <v>1.3</v>
      </c>
    </row>
    <row r="147" spans="1:10" x14ac:dyDescent="0.2">
      <c r="A147" t="s">
        <v>928</v>
      </c>
      <c r="B147" t="s">
        <v>1301</v>
      </c>
      <c r="C147" s="9">
        <v>44650</v>
      </c>
      <c r="D147">
        <v>142.86999499999999</v>
      </c>
      <c r="E147">
        <v>143.48049900000001</v>
      </c>
      <c r="F147">
        <v>142.16799900000001</v>
      </c>
      <c r="G147">
        <v>142.64450099999999</v>
      </c>
      <c r="H147">
        <v>21046000</v>
      </c>
      <c r="I147">
        <v>0</v>
      </c>
      <c r="J147">
        <v>-0.61</v>
      </c>
    </row>
    <row r="148" spans="1:10" x14ac:dyDescent="0.2">
      <c r="A148" t="s">
        <v>929</v>
      </c>
      <c r="B148" t="s">
        <v>1302</v>
      </c>
      <c r="C148" s="9">
        <v>44651</v>
      </c>
      <c r="D148">
        <v>142.44850199999999</v>
      </c>
      <c r="E148">
        <v>142.64450099999999</v>
      </c>
      <c r="F148">
        <v>139.61900299999999</v>
      </c>
      <c r="G148">
        <v>139.649506</v>
      </c>
      <c r="H148">
        <v>29516000</v>
      </c>
      <c r="I148">
        <v>0</v>
      </c>
      <c r="J148">
        <v>-2.99</v>
      </c>
    </row>
    <row r="149" spans="1:10" x14ac:dyDescent="0.2">
      <c r="A149" t="s">
        <v>930</v>
      </c>
      <c r="B149" t="s">
        <v>1303</v>
      </c>
      <c r="C149" s="9">
        <v>44652</v>
      </c>
      <c r="D149">
        <v>140.009995</v>
      </c>
      <c r="E149">
        <v>140.949997</v>
      </c>
      <c r="F149">
        <v>138.796997</v>
      </c>
      <c r="G149">
        <v>140.699997</v>
      </c>
      <c r="H149">
        <v>23480000</v>
      </c>
      <c r="I149">
        <v>0</v>
      </c>
      <c r="J149">
        <v>1.05</v>
      </c>
    </row>
    <row r="150" spans="1:10" x14ac:dyDescent="0.2">
      <c r="A150" t="s">
        <v>931</v>
      </c>
      <c r="B150" t="s">
        <v>1305</v>
      </c>
      <c r="C150" s="9">
        <v>44655</v>
      </c>
      <c r="D150">
        <v>140.82449299999999</v>
      </c>
      <c r="E150">
        <v>144.043747</v>
      </c>
      <c r="F150">
        <v>140.82449299999999</v>
      </c>
      <c r="G150">
        <v>143.64250200000001</v>
      </c>
      <c r="H150">
        <v>19076000</v>
      </c>
      <c r="I150">
        <v>0</v>
      </c>
      <c r="J150">
        <v>2.94</v>
      </c>
    </row>
    <row r="151" spans="1:10" x14ac:dyDescent="0.2">
      <c r="A151" t="s">
        <v>932</v>
      </c>
      <c r="B151" t="s">
        <v>1304</v>
      </c>
      <c r="C151" s="9">
        <v>44656</v>
      </c>
      <c r="D151">
        <v>143.399506</v>
      </c>
      <c r="E151">
        <v>143.58999600000001</v>
      </c>
      <c r="F151">
        <v>140.94349700000001</v>
      </c>
      <c r="G151">
        <v>141.06300400000001</v>
      </c>
      <c r="H151">
        <v>19256000</v>
      </c>
      <c r="I151">
        <v>0</v>
      </c>
      <c r="J151">
        <v>-2.58</v>
      </c>
    </row>
    <row r="152" spans="1:10" x14ac:dyDescent="0.2">
      <c r="A152" t="s">
        <v>933</v>
      </c>
      <c r="B152" t="s">
        <v>1301</v>
      </c>
      <c r="C152" s="9">
        <v>44657</v>
      </c>
      <c r="D152">
        <v>139.16149899999999</v>
      </c>
      <c r="E152">
        <v>139.84849500000001</v>
      </c>
      <c r="F152">
        <v>136.41810599999999</v>
      </c>
      <c r="G152">
        <v>137.175995</v>
      </c>
      <c r="H152">
        <v>23574000</v>
      </c>
      <c r="I152">
        <v>0</v>
      </c>
      <c r="J152">
        <v>-3.89</v>
      </c>
    </row>
    <row r="153" spans="1:10" x14ac:dyDescent="0.2">
      <c r="A153" t="s">
        <v>934</v>
      </c>
      <c r="B153" t="s">
        <v>1302</v>
      </c>
      <c r="C153" s="9">
        <v>44658</v>
      </c>
      <c r="D153">
        <v>136.61799600000001</v>
      </c>
      <c r="E153">
        <v>137.70150799999999</v>
      </c>
      <c r="F153">
        <v>134.85725400000001</v>
      </c>
      <c r="G153">
        <v>136.46499600000001</v>
      </c>
      <c r="H153">
        <v>19448000</v>
      </c>
      <c r="I153">
        <v>0</v>
      </c>
      <c r="J153">
        <v>-0.71</v>
      </c>
    </row>
    <row r="154" spans="1:10" x14ac:dyDescent="0.2">
      <c r="A154" t="s">
        <v>935</v>
      </c>
      <c r="B154" t="s">
        <v>1303</v>
      </c>
      <c r="C154" s="9">
        <v>44659</v>
      </c>
      <c r="D154">
        <v>136.25</v>
      </c>
      <c r="E154">
        <v>136.25</v>
      </c>
      <c r="F154">
        <v>133.75250199999999</v>
      </c>
      <c r="G154">
        <v>134.01049800000001</v>
      </c>
      <c r="H154">
        <v>16434000</v>
      </c>
      <c r="I154">
        <v>0</v>
      </c>
      <c r="J154">
        <v>-2.4500000000000002</v>
      </c>
    </row>
    <row r="155" spans="1:10" x14ac:dyDescent="0.2">
      <c r="A155" t="s">
        <v>936</v>
      </c>
      <c r="B155" t="s">
        <v>1305</v>
      </c>
      <c r="C155" s="9">
        <v>44662</v>
      </c>
      <c r="D155">
        <v>132.89999399999999</v>
      </c>
      <c r="E155">
        <v>132.93919399999999</v>
      </c>
      <c r="F155">
        <v>129.617493</v>
      </c>
      <c r="G155">
        <v>129.796494</v>
      </c>
      <c r="H155">
        <v>24188000</v>
      </c>
      <c r="I155">
        <v>0</v>
      </c>
      <c r="J155">
        <v>-4.21</v>
      </c>
    </row>
    <row r="156" spans="1:10" x14ac:dyDescent="0.2">
      <c r="A156" t="s">
        <v>937</v>
      </c>
      <c r="B156" t="s">
        <v>1304</v>
      </c>
      <c r="C156" s="9">
        <v>44663</v>
      </c>
      <c r="D156">
        <v>132.42349200000001</v>
      </c>
      <c r="E156">
        <v>132.42349200000001</v>
      </c>
      <c r="F156">
        <v>127.575996</v>
      </c>
      <c r="G156">
        <v>128.37449599999999</v>
      </c>
      <c r="H156">
        <v>23004000</v>
      </c>
      <c r="I156">
        <v>0</v>
      </c>
      <c r="J156">
        <v>-1.42</v>
      </c>
    </row>
    <row r="157" spans="1:10" x14ac:dyDescent="0.2">
      <c r="A157" t="s">
        <v>938</v>
      </c>
      <c r="B157" t="s">
        <v>1301</v>
      </c>
      <c r="C157" s="9">
        <v>44664</v>
      </c>
      <c r="D157">
        <v>128.62649500000001</v>
      </c>
      <c r="E157">
        <v>130.65574599999999</v>
      </c>
      <c r="F157">
        <v>128.43859900000001</v>
      </c>
      <c r="G157">
        <v>130.28599500000001</v>
      </c>
      <c r="H157">
        <v>19542000</v>
      </c>
      <c r="I157">
        <v>0</v>
      </c>
      <c r="J157">
        <v>1.91</v>
      </c>
    </row>
    <row r="158" spans="1:10" x14ac:dyDescent="0.2">
      <c r="A158" t="s">
        <v>939</v>
      </c>
      <c r="B158" t="s">
        <v>1302</v>
      </c>
      <c r="C158" s="9">
        <v>44665</v>
      </c>
      <c r="D158">
        <v>130.649506</v>
      </c>
      <c r="E158">
        <v>130.710251</v>
      </c>
      <c r="F158">
        <v>127.111504</v>
      </c>
      <c r="G158">
        <v>127.25299800000001</v>
      </c>
      <c r="H158">
        <v>23484000</v>
      </c>
      <c r="I158">
        <v>0</v>
      </c>
      <c r="J158">
        <v>-3.03</v>
      </c>
    </row>
    <row r="159" spans="1:10" x14ac:dyDescent="0.2">
      <c r="A159" t="s">
        <v>940</v>
      </c>
      <c r="B159" t="s">
        <v>1305</v>
      </c>
      <c r="C159" s="9">
        <v>44669</v>
      </c>
      <c r="D159">
        <v>127.410004</v>
      </c>
      <c r="E159">
        <v>128.712006</v>
      </c>
      <c r="F159">
        <v>126.578453</v>
      </c>
      <c r="G159">
        <v>127.960999</v>
      </c>
      <c r="H159">
        <v>14918000</v>
      </c>
      <c r="I159">
        <v>0</v>
      </c>
      <c r="J159">
        <v>0.71</v>
      </c>
    </row>
    <row r="160" spans="1:10" x14ac:dyDescent="0.2">
      <c r="A160" t="s">
        <v>941</v>
      </c>
      <c r="B160" t="s">
        <v>1304</v>
      </c>
      <c r="C160" s="9">
        <v>44670</v>
      </c>
      <c r="D160">
        <v>128.07699600000001</v>
      </c>
      <c r="E160">
        <v>130.90374800000001</v>
      </c>
      <c r="F160">
        <v>127.4515</v>
      </c>
      <c r="G160">
        <v>130.53100599999999</v>
      </c>
      <c r="H160">
        <v>22720000</v>
      </c>
      <c r="I160">
        <v>0</v>
      </c>
      <c r="J160">
        <v>2.57</v>
      </c>
    </row>
    <row r="161" spans="1:10" x14ac:dyDescent="0.2">
      <c r="A161" t="s">
        <v>942</v>
      </c>
      <c r="B161" t="s">
        <v>1301</v>
      </c>
      <c r="C161" s="9">
        <v>44671</v>
      </c>
      <c r="D161">
        <v>131.283997</v>
      </c>
      <c r="E161">
        <v>131.92349200000001</v>
      </c>
      <c r="F161">
        <v>127.894051</v>
      </c>
      <c r="G161">
        <v>128.245499</v>
      </c>
      <c r="H161">
        <v>22610000</v>
      </c>
      <c r="I161">
        <v>0</v>
      </c>
      <c r="J161">
        <v>-2.29</v>
      </c>
    </row>
    <row r="162" spans="1:10" x14ac:dyDescent="0.2">
      <c r="A162" t="s">
        <v>943</v>
      </c>
      <c r="B162" t="s">
        <v>1302</v>
      </c>
      <c r="C162" s="9">
        <v>44672</v>
      </c>
      <c r="D162">
        <v>129.35000600000001</v>
      </c>
      <c r="E162">
        <v>130.30749499999999</v>
      </c>
      <c r="F162">
        <v>124.650002</v>
      </c>
      <c r="G162">
        <v>124.9375</v>
      </c>
      <c r="H162">
        <v>30158000</v>
      </c>
      <c r="I162">
        <v>0</v>
      </c>
      <c r="J162">
        <v>-3.31</v>
      </c>
    </row>
    <row r="163" spans="1:10" x14ac:dyDescent="0.2">
      <c r="A163" t="s">
        <v>944</v>
      </c>
      <c r="B163" t="s">
        <v>1303</v>
      </c>
      <c r="C163" s="9">
        <v>44673</v>
      </c>
      <c r="D163">
        <v>125</v>
      </c>
      <c r="E163">
        <v>125.452003</v>
      </c>
      <c r="F163">
        <v>119.140503</v>
      </c>
      <c r="G163">
        <v>119.613998</v>
      </c>
      <c r="H163">
        <v>46410000</v>
      </c>
      <c r="I163">
        <v>0</v>
      </c>
      <c r="J163">
        <v>-5.32</v>
      </c>
    </row>
    <row r="164" spans="1:10" x14ac:dyDescent="0.2">
      <c r="A164" t="s">
        <v>945</v>
      </c>
      <c r="B164" t="s">
        <v>1305</v>
      </c>
      <c r="C164" s="9">
        <v>44676</v>
      </c>
      <c r="D164">
        <v>119.429497</v>
      </c>
      <c r="E164">
        <v>123.27800000000001</v>
      </c>
      <c r="F164">
        <v>118.769249</v>
      </c>
      <c r="G164">
        <v>123.25</v>
      </c>
      <c r="H164">
        <v>34522000</v>
      </c>
      <c r="I164">
        <v>0</v>
      </c>
      <c r="J164">
        <v>3.64</v>
      </c>
    </row>
    <row r="165" spans="1:10" x14ac:dyDescent="0.2">
      <c r="A165" t="s">
        <v>946</v>
      </c>
      <c r="B165" t="s">
        <v>1304</v>
      </c>
      <c r="C165" s="9">
        <v>44677</v>
      </c>
      <c r="D165">
        <v>122.75</v>
      </c>
      <c r="E165">
        <v>122.75</v>
      </c>
      <c r="F165">
        <v>119.16185</v>
      </c>
      <c r="G165">
        <v>119.50599699999999</v>
      </c>
      <c r="H165">
        <v>49394000</v>
      </c>
      <c r="I165">
        <v>0</v>
      </c>
      <c r="J165">
        <v>-3.74</v>
      </c>
    </row>
    <row r="166" spans="1:10" x14ac:dyDescent="0.2">
      <c r="A166" t="s">
        <v>947</v>
      </c>
      <c r="B166" t="s">
        <v>1301</v>
      </c>
      <c r="C166" s="9">
        <v>44678</v>
      </c>
      <c r="D166">
        <v>114.373001</v>
      </c>
      <c r="E166">
        <v>117.5</v>
      </c>
      <c r="F166">
        <v>113.124252</v>
      </c>
      <c r="G166">
        <v>115.0205</v>
      </c>
      <c r="H166">
        <v>62238000</v>
      </c>
      <c r="I166">
        <v>0</v>
      </c>
      <c r="J166">
        <v>-4.49</v>
      </c>
    </row>
    <row r="167" spans="1:10" x14ac:dyDescent="0.2">
      <c r="A167" t="s">
        <v>948</v>
      </c>
      <c r="B167" t="s">
        <v>1302</v>
      </c>
      <c r="C167" s="9">
        <v>44679</v>
      </c>
      <c r="D167">
        <v>117.114998</v>
      </c>
      <c r="E167">
        <v>120.43849899999999</v>
      </c>
      <c r="F167">
        <v>115.14389799999999</v>
      </c>
      <c r="G167">
        <v>119.41149900000001</v>
      </c>
      <c r="H167">
        <v>36790000</v>
      </c>
      <c r="I167">
        <v>0</v>
      </c>
      <c r="J167">
        <v>4.3899999999999997</v>
      </c>
    </row>
    <row r="168" spans="1:10" x14ac:dyDescent="0.2">
      <c r="A168" t="s">
        <v>949</v>
      </c>
      <c r="B168" t="s">
        <v>1303</v>
      </c>
      <c r="C168" s="9">
        <v>44680</v>
      </c>
      <c r="D168">
        <v>117.578003</v>
      </c>
      <c r="E168">
        <v>118.959999</v>
      </c>
      <c r="F168">
        <v>114.694</v>
      </c>
      <c r="G168">
        <v>114.966499</v>
      </c>
      <c r="H168">
        <v>33694000</v>
      </c>
      <c r="I168">
        <v>0</v>
      </c>
      <c r="J168">
        <v>-4.45</v>
      </c>
    </row>
    <row r="169" spans="1:10" x14ac:dyDescent="0.2">
      <c r="A169" t="s">
        <v>950</v>
      </c>
      <c r="B169" t="s">
        <v>1305</v>
      </c>
      <c r="C169" s="9">
        <v>44683</v>
      </c>
      <c r="D169">
        <v>113.906502</v>
      </c>
      <c r="E169">
        <v>117.3395</v>
      </c>
      <c r="F169">
        <v>113.39949799999999</v>
      </c>
      <c r="G169">
        <v>117.156998</v>
      </c>
      <c r="H169">
        <v>30280000</v>
      </c>
      <c r="I169">
        <v>0</v>
      </c>
      <c r="J169">
        <v>2.19</v>
      </c>
    </row>
    <row r="170" spans="1:10" x14ac:dyDescent="0.2">
      <c r="A170" t="s">
        <v>951</v>
      </c>
      <c r="B170" t="s">
        <v>1304</v>
      </c>
      <c r="C170" s="9">
        <v>44684</v>
      </c>
      <c r="D170">
        <v>116.764999</v>
      </c>
      <c r="E170">
        <v>119.300003</v>
      </c>
      <c r="F170">
        <v>116.626999</v>
      </c>
      <c r="G170">
        <v>118.129501</v>
      </c>
      <c r="H170">
        <v>21216000</v>
      </c>
      <c r="I170">
        <v>0</v>
      </c>
      <c r="J170">
        <v>0.97</v>
      </c>
    </row>
    <row r="171" spans="1:10" x14ac:dyDescent="0.2">
      <c r="A171" t="s">
        <v>952</v>
      </c>
      <c r="B171" t="s">
        <v>1301</v>
      </c>
      <c r="C171" s="9">
        <v>44685</v>
      </c>
      <c r="D171">
        <v>118.003502</v>
      </c>
      <c r="E171">
        <v>123.14299800000001</v>
      </c>
      <c r="F171">
        <v>115.73850299999999</v>
      </c>
      <c r="G171">
        <v>122.574997</v>
      </c>
      <c r="H171">
        <v>33232000</v>
      </c>
      <c r="I171">
        <v>0</v>
      </c>
      <c r="J171">
        <v>4.45</v>
      </c>
    </row>
    <row r="172" spans="1:10" x14ac:dyDescent="0.2">
      <c r="A172" t="s">
        <v>953</v>
      </c>
      <c r="B172" t="s">
        <v>1302</v>
      </c>
      <c r="C172" s="9">
        <v>44686</v>
      </c>
      <c r="D172">
        <v>120.22049699999999</v>
      </c>
      <c r="E172">
        <v>121.233253</v>
      </c>
      <c r="F172">
        <v>115.182503</v>
      </c>
      <c r="G172">
        <v>116.746498</v>
      </c>
      <c r="H172">
        <v>43090000</v>
      </c>
      <c r="I172">
        <v>0</v>
      </c>
      <c r="J172">
        <v>-5.83</v>
      </c>
    </row>
    <row r="173" spans="1:10" x14ac:dyDescent="0.2">
      <c r="A173" t="s">
        <v>954</v>
      </c>
      <c r="B173" t="s">
        <v>1303</v>
      </c>
      <c r="C173" s="9">
        <v>44687</v>
      </c>
      <c r="D173">
        <v>115.518997</v>
      </c>
      <c r="E173">
        <v>117.498497</v>
      </c>
      <c r="F173">
        <v>114.14299800000001</v>
      </c>
      <c r="G173">
        <v>115.660004</v>
      </c>
      <c r="H173">
        <v>35310000</v>
      </c>
      <c r="I173">
        <v>0</v>
      </c>
      <c r="J173">
        <v>-1.0900000000000001</v>
      </c>
    </row>
    <row r="174" spans="1:10" x14ac:dyDescent="0.2">
      <c r="A174" t="s">
        <v>955</v>
      </c>
      <c r="B174" t="s">
        <v>1305</v>
      </c>
      <c r="C174" s="9">
        <v>44690</v>
      </c>
      <c r="D174">
        <v>113.30349699999999</v>
      </c>
      <c r="E174">
        <v>115.56289700000001</v>
      </c>
      <c r="F174">
        <v>112.551498</v>
      </c>
      <c r="G174">
        <v>113.084</v>
      </c>
      <c r="H174">
        <v>34520000</v>
      </c>
      <c r="I174">
        <v>0</v>
      </c>
      <c r="J174">
        <v>-2.58</v>
      </c>
    </row>
    <row r="175" spans="1:10" x14ac:dyDescent="0.2">
      <c r="A175" t="s">
        <v>956</v>
      </c>
      <c r="B175" t="s">
        <v>1304</v>
      </c>
      <c r="C175" s="9">
        <v>44691</v>
      </c>
      <c r="D175">
        <v>116.040497</v>
      </c>
      <c r="E175">
        <v>116.691002</v>
      </c>
      <c r="F175">
        <v>113.383301</v>
      </c>
      <c r="G175">
        <v>114.584503</v>
      </c>
      <c r="H175">
        <v>31158000</v>
      </c>
      <c r="I175">
        <v>0</v>
      </c>
      <c r="J175">
        <v>1.5</v>
      </c>
    </row>
    <row r="176" spans="1:10" x14ac:dyDescent="0.2">
      <c r="A176" t="s">
        <v>957</v>
      </c>
      <c r="B176" t="s">
        <v>1301</v>
      </c>
      <c r="C176" s="9">
        <v>44692</v>
      </c>
      <c r="D176">
        <v>113.710503</v>
      </c>
      <c r="E176">
        <v>116.670998</v>
      </c>
      <c r="F176">
        <v>113.650002</v>
      </c>
      <c r="G176">
        <v>113.960999</v>
      </c>
      <c r="H176">
        <v>36502000</v>
      </c>
      <c r="I176">
        <v>0</v>
      </c>
      <c r="J176">
        <v>-0.62</v>
      </c>
    </row>
    <row r="177" spans="1:10" x14ac:dyDescent="0.2">
      <c r="A177" t="s">
        <v>958</v>
      </c>
      <c r="B177" t="s">
        <v>1302</v>
      </c>
      <c r="C177" s="9">
        <v>44693</v>
      </c>
      <c r="D177">
        <v>111.93800400000001</v>
      </c>
      <c r="E177">
        <v>114.856499</v>
      </c>
      <c r="F177">
        <v>110.11350299999999</v>
      </c>
      <c r="G177">
        <v>113.16100299999999</v>
      </c>
      <c r="H177">
        <v>41464000</v>
      </c>
      <c r="I177">
        <v>0</v>
      </c>
      <c r="J177">
        <v>-0.8</v>
      </c>
    </row>
    <row r="178" spans="1:10" x14ac:dyDescent="0.2">
      <c r="A178" t="s">
        <v>959</v>
      </c>
      <c r="B178" t="s">
        <v>1303</v>
      </c>
      <c r="C178" s="9">
        <v>44694</v>
      </c>
      <c r="D178">
        <v>114.84549699999999</v>
      </c>
      <c r="E178">
        <v>118.084999</v>
      </c>
      <c r="F178">
        <v>114</v>
      </c>
      <c r="G178">
        <v>116.515503</v>
      </c>
      <c r="H178">
        <v>29738000</v>
      </c>
      <c r="I178">
        <v>0</v>
      </c>
      <c r="J178">
        <v>3.35</v>
      </c>
    </row>
    <row r="179" spans="1:10" x14ac:dyDescent="0.2">
      <c r="A179" t="s">
        <v>960</v>
      </c>
      <c r="B179" t="s">
        <v>1305</v>
      </c>
      <c r="C179" s="9">
        <v>44697</v>
      </c>
      <c r="D179">
        <v>115.38400300000001</v>
      </c>
      <c r="E179">
        <v>116.60749800000001</v>
      </c>
      <c r="F179">
        <v>114.334999</v>
      </c>
      <c r="G179">
        <v>114.792503</v>
      </c>
      <c r="H179">
        <v>23282000</v>
      </c>
      <c r="I179">
        <v>0</v>
      </c>
      <c r="J179">
        <v>-1.72</v>
      </c>
    </row>
    <row r="180" spans="1:10" x14ac:dyDescent="0.2">
      <c r="A180" t="s">
        <v>961</v>
      </c>
      <c r="B180" t="s">
        <v>1304</v>
      </c>
      <c r="C180" s="9">
        <v>44698</v>
      </c>
      <c r="D180">
        <v>117.227501</v>
      </c>
      <c r="E180">
        <v>117.227501</v>
      </c>
      <c r="F180">
        <v>115.337502</v>
      </c>
      <c r="G180">
        <v>116.7015</v>
      </c>
      <c r="H180">
        <v>21576000</v>
      </c>
      <c r="I180">
        <v>0</v>
      </c>
      <c r="J180">
        <v>1.91</v>
      </c>
    </row>
    <row r="181" spans="1:10" x14ac:dyDescent="0.2">
      <c r="A181" t="s">
        <v>962</v>
      </c>
      <c r="B181" t="s">
        <v>1301</v>
      </c>
      <c r="C181" s="9">
        <v>44699</v>
      </c>
      <c r="D181">
        <v>115.237503</v>
      </c>
      <c r="E181">
        <v>115.69564800000001</v>
      </c>
      <c r="F181">
        <v>112.141998</v>
      </c>
      <c r="G181">
        <v>112.40100099999999</v>
      </c>
      <c r="H181">
        <v>27982000</v>
      </c>
      <c r="I181">
        <v>0</v>
      </c>
      <c r="J181">
        <v>-4.3</v>
      </c>
    </row>
    <row r="182" spans="1:10" x14ac:dyDescent="0.2">
      <c r="A182" t="s">
        <v>963</v>
      </c>
      <c r="B182" t="s">
        <v>1302</v>
      </c>
      <c r="C182" s="9">
        <v>44700</v>
      </c>
      <c r="D182">
        <v>111.841003</v>
      </c>
      <c r="E182">
        <v>113.587502</v>
      </c>
      <c r="F182">
        <v>110.468002</v>
      </c>
      <c r="G182">
        <v>110.745499</v>
      </c>
      <c r="H182">
        <v>29192000</v>
      </c>
      <c r="I182">
        <v>0</v>
      </c>
      <c r="J182">
        <v>-1.66</v>
      </c>
    </row>
    <row r="183" spans="1:10" x14ac:dyDescent="0.2">
      <c r="A183" t="s">
        <v>964</v>
      </c>
      <c r="B183" t="s">
        <v>1303</v>
      </c>
      <c r="C183" s="9">
        <v>44701</v>
      </c>
      <c r="D183">
        <v>112.085503</v>
      </c>
      <c r="E183">
        <v>112.550003</v>
      </c>
      <c r="F183">
        <v>106.373001</v>
      </c>
      <c r="G183">
        <v>109.31300400000001</v>
      </c>
      <c r="H183">
        <v>37586000</v>
      </c>
      <c r="I183">
        <v>0</v>
      </c>
      <c r="J183">
        <v>-1.43</v>
      </c>
    </row>
    <row r="184" spans="1:10" x14ac:dyDescent="0.2">
      <c r="A184" t="s">
        <v>965</v>
      </c>
      <c r="B184" t="s">
        <v>1305</v>
      </c>
      <c r="C184" s="9">
        <v>44704</v>
      </c>
      <c r="D184">
        <v>110.103996</v>
      </c>
      <c r="E184">
        <v>112.005501</v>
      </c>
      <c r="F184">
        <v>109.154251</v>
      </c>
      <c r="G184">
        <v>111.666496</v>
      </c>
      <c r="H184">
        <v>31558000</v>
      </c>
      <c r="I184">
        <v>0</v>
      </c>
      <c r="J184">
        <v>2.35</v>
      </c>
    </row>
    <row r="185" spans="1:10" x14ac:dyDescent="0.2">
      <c r="A185" t="s">
        <v>966</v>
      </c>
      <c r="B185" t="s">
        <v>1304</v>
      </c>
      <c r="C185" s="9">
        <v>44705</v>
      </c>
      <c r="D185">
        <v>106.37750200000001</v>
      </c>
      <c r="E185">
        <v>106.394997</v>
      </c>
      <c r="F185">
        <v>102.208</v>
      </c>
      <c r="G185">
        <v>105.92600299999999</v>
      </c>
      <c r="H185">
        <v>60386000</v>
      </c>
      <c r="I185">
        <v>0</v>
      </c>
      <c r="J185">
        <v>-5.74</v>
      </c>
    </row>
    <row r="186" spans="1:10" x14ac:dyDescent="0.2">
      <c r="A186" t="s">
        <v>967</v>
      </c>
      <c r="B186" t="s">
        <v>1301</v>
      </c>
      <c r="C186" s="9">
        <v>44706</v>
      </c>
      <c r="D186">
        <v>105.141998</v>
      </c>
      <c r="E186">
        <v>106.544701</v>
      </c>
      <c r="F186">
        <v>104.21125000000001</v>
      </c>
      <c r="G186">
        <v>105.8395</v>
      </c>
      <c r="H186">
        <v>37900000</v>
      </c>
      <c r="I186">
        <v>0</v>
      </c>
      <c r="J186">
        <v>-0.09</v>
      </c>
    </row>
    <row r="187" spans="1:10" x14ac:dyDescent="0.2">
      <c r="A187" t="s">
        <v>968</v>
      </c>
      <c r="B187" t="s">
        <v>1302</v>
      </c>
      <c r="C187" s="9">
        <v>44707</v>
      </c>
      <c r="D187">
        <v>106.050499</v>
      </c>
      <c r="E187">
        <v>108.955254</v>
      </c>
      <c r="F187">
        <v>105.487999</v>
      </c>
      <c r="G187">
        <v>108.295998</v>
      </c>
      <c r="H187">
        <v>30288000</v>
      </c>
      <c r="I187">
        <v>0</v>
      </c>
      <c r="J187">
        <v>2.46</v>
      </c>
    </row>
    <row r="188" spans="1:10" x14ac:dyDescent="0.2">
      <c r="A188" t="s">
        <v>969</v>
      </c>
      <c r="B188" t="s">
        <v>1303</v>
      </c>
      <c r="C188" s="9">
        <v>44708</v>
      </c>
      <c r="D188">
        <v>109.788498</v>
      </c>
      <c r="E188">
        <v>112.86799600000001</v>
      </c>
      <c r="F188">
        <v>109.550003</v>
      </c>
      <c r="G188">
        <v>112.799004</v>
      </c>
      <c r="H188">
        <v>29924000</v>
      </c>
      <c r="I188">
        <v>0</v>
      </c>
      <c r="J188">
        <v>4.5</v>
      </c>
    </row>
    <row r="189" spans="1:10" x14ac:dyDescent="0.2">
      <c r="A189" t="s">
        <v>970</v>
      </c>
      <c r="B189" t="s">
        <v>1304</v>
      </c>
      <c r="C189" s="9">
        <v>44712</v>
      </c>
      <c r="D189">
        <v>113.079002</v>
      </c>
      <c r="E189">
        <v>116.433502</v>
      </c>
      <c r="F189">
        <v>112.572502</v>
      </c>
      <c r="G189">
        <v>114.039001</v>
      </c>
      <c r="H189">
        <v>51302000</v>
      </c>
      <c r="I189">
        <v>0</v>
      </c>
      <c r="J189">
        <v>1.24</v>
      </c>
    </row>
    <row r="190" spans="1:10" x14ac:dyDescent="0.2">
      <c r="A190" t="s">
        <v>971</v>
      </c>
      <c r="B190" t="s">
        <v>1301</v>
      </c>
      <c r="C190" s="9">
        <v>44713</v>
      </c>
      <c r="D190">
        <v>114.93150300000001</v>
      </c>
      <c r="E190">
        <v>117.399002</v>
      </c>
      <c r="F190">
        <v>113.550499</v>
      </c>
      <c r="G190">
        <v>114.137001</v>
      </c>
      <c r="H190">
        <v>28630000</v>
      </c>
      <c r="I190">
        <v>0</v>
      </c>
      <c r="J190">
        <v>0.1</v>
      </c>
    </row>
    <row r="191" spans="1:10" x14ac:dyDescent="0.2">
      <c r="A191" t="s">
        <v>972</v>
      </c>
      <c r="B191" t="s">
        <v>1302</v>
      </c>
      <c r="C191" s="9">
        <v>44714</v>
      </c>
      <c r="D191">
        <v>114.18800400000001</v>
      </c>
      <c r="E191">
        <v>117.898003</v>
      </c>
      <c r="F191">
        <v>113.307999</v>
      </c>
      <c r="G191">
        <v>117.746002</v>
      </c>
      <c r="H191">
        <v>27472000</v>
      </c>
      <c r="I191">
        <v>0</v>
      </c>
      <c r="J191">
        <v>3.61</v>
      </c>
    </row>
    <row r="192" spans="1:10" x14ac:dyDescent="0.2">
      <c r="A192" t="s">
        <v>973</v>
      </c>
      <c r="B192" t="s">
        <v>1303</v>
      </c>
      <c r="C192" s="9">
        <v>44715</v>
      </c>
      <c r="D192">
        <v>115.99250000000001</v>
      </c>
      <c r="E192">
        <v>116.364502</v>
      </c>
      <c r="F192">
        <v>113.66799899999999</v>
      </c>
      <c r="G192">
        <v>114.564003</v>
      </c>
      <c r="H192">
        <v>25052000</v>
      </c>
      <c r="I192">
        <v>0</v>
      </c>
      <c r="J192">
        <v>-3.18</v>
      </c>
    </row>
    <row r="193" spans="1:10" x14ac:dyDescent="0.2">
      <c r="A193" t="s">
        <v>974</v>
      </c>
      <c r="B193" t="s">
        <v>1305</v>
      </c>
      <c r="C193" s="9">
        <v>44718</v>
      </c>
      <c r="D193">
        <v>116.74250000000001</v>
      </c>
      <c r="E193">
        <v>119.398499</v>
      </c>
      <c r="F193">
        <v>116.52829699999999</v>
      </c>
      <c r="G193">
        <v>117.010498</v>
      </c>
      <c r="H193">
        <v>23786000</v>
      </c>
      <c r="I193">
        <v>0</v>
      </c>
      <c r="J193">
        <v>2.4500000000000002</v>
      </c>
    </row>
    <row r="194" spans="1:10" x14ac:dyDescent="0.2">
      <c r="A194" t="s">
        <v>975</v>
      </c>
      <c r="B194" t="s">
        <v>1304</v>
      </c>
      <c r="C194" s="9">
        <v>44719</v>
      </c>
      <c r="D194">
        <v>115.648003</v>
      </c>
      <c r="E194">
        <v>117.74865</v>
      </c>
      <c r="F194">
        <v>115.12550400000001</v>
      </c>
      <c r="G194">
        <v>117.2295</v>
      </c>
      <c r="H194">
        <v>26414000</v>
      </c>
      <c r="I194">
        <v>0</v>
      </c>
      <c r="J194">
        <v>0.22</v>
      </c>
    </row>
    <row r="195" spans="1:10" x14ac:dyDescent="0.2">
      <c r="A195" t="s">
        <v>976</v>
      </c>
      <c r="B195" t="s">
        <v>1301</v>
      </c>
      <c r="C195" s="9">
        <v>44720</v>
      </c>
      <c r="D195">
        <v>116.876503</v>
      </c>
      <c r="E195">
        <v>118.646004</v>
      </c>
      <c r="F195">
        <v>116.696747</v>
      </c>
      <c r="G195">
        <v>117.237999</v>
      </c>
      <c r="H195">
        <v>22544000</v>
      </c>
      <c r="I195">
        <v>0</v>
      </c>
      <c r="J195">
        <v>0.01</v>
      </c>
    </row>
    <row r="196" spans="1:10" x14ac:dyDescent="0.2">
      <c r="A196" t="s">
        <v>977</v>
      </c>
      <c r="B196" t="s">
        <v>1302</v>
      </c>
      <c r="C196" s="9">
        <v>44721</v>
      </c>
      <c r="D196">
        <v>116.341499</v>
      </c>
      <c r="E196">
        <v>118.349998</v>
      </c>
      <c r="F196">
        <v>114.866997</v>
      </c>
      <c r="G196">
        <v>114.91799899999999</v>
      </c>
      <c r="H196">
        <v>23142000</v>
      </c>
      <c r="I196">
        <v>0</v>
      </c>
      <c r="J196">
        <v>-2.3199999999999998</v>
      </c>
    </row>
    <row r="197" spans="1:10" x14ac:dyDescent="0.2">
      <c r="A197" t="s">
        <v>978</v>
      </c>
      <c r="B197" t="s">
        <v>1303</v>
      </c>
      <c r="C197" s="9">
        <v>44722</v>
      </c>
      <c r="D197">
        <v>112.78125</v>
      </c>
      <c r="E197">
        <v>113.49700199999999</v>
      </c>
      <c r="F197">
        <v>110.861</v>
      </c>
      <c r="G197">
        <v>111.427498</v>
      </c>
      <c r="H197">
        <v>31324000</v>
      </c>
      <c r="I197">
        <v>0</v>
      </c>
      <c r="J197">
        <v>-3.49</v>
      </c>
    </row>
    <row r="198" spans="1:10" x14ac:dyDescent="0.2">
      <c r="A198" t="s">
        <v>979</v>
      </c>
      <c r="B198" t="s">
        <v>1305</v>
      </c>
      <c r="C198" s="9">
        <v>44725</v>
      </c>
      <c r="D198">
        <v>107.445999</v>
      </c>
      <c r="E198">
        <v>109.218498</v>
      </c>
      <c r="F198">
        <v>106.58805099999999</v>
      </c>
      <c r="G198">
        <v>106.876503</v>
      </c>
      <c r="H198">
        <v>36756000</v>
      </c>
      <c r="I198">
        <v>0</v>
      </c>
      <c r="J198">
        <v>-4.55</v>
      </c>
    </row>
    <row r="199" spans="1:10" x14ac:dyDescent="0.2">
      <c r="A199" t="s">
        <v>980</v>
      </c>
      <c r="B199" t="s">
        <v>1304</v>
      </c>
      <c r="C199" s="9">
        <v>44726</v>
      </c>
      <c r="D199">
        <v>106.889999</v>
      </c>
      <c r="E199">
        <v>108.457497</v>
      </c>
      <c r="F199">
        <v>106.351997</v>
      </c>
      <c r="G199">
        <v>107.194</v>
      </c>
      <c r="H199">
        <v>25480000</v>
      </c>
      <c r="I199">
        <v>0</v>
      </c>
      <c r="J199">
        <v>0.32</v>
      </c>
    </row>
    <row r="200" spans="1:10" x14ac:dyDescent="0.2">
      <c r="A200" t="s">
        <v>981</v>
      </c>
      <c r="B200" t="s">
        <v>1301</v>
      </c>
      <c r="C200" s="9">
        <v>44727</v>
      </c>
      <c r="D200">
        <v>108.89949799999999</v>
      </c>
      <c r="E200">
        <v>112.06300400000001</v>
      </c>
      <c r="F200">
        <v>108.118752</v>
      </c>
      <c r="G200">
        <v>110.390503</v>
      </c>
      <c r="H200">
        <v>33192000</v>
      </c>
      <c r="I200">
        <v>0</v>
      </c>
      <c r="J200">
        <v>3.2</v>
      </c>
    </row>
    <row r="201" spans="1:10" x14ac:dyDescent="0.2">
      <c r="A201" t="s">
        <v>982</v>
      </c>
      <c r="B201" t="s">
        <v>1302</v>
      </c>
      <c r="C201" s="9">
        <v>44728</v>
      </c>
      <c r="D201">
        <v>108.14949799999999</v>
      </c>
      <c r="E201">
        <v>109.290497</v>
      </c>
      <c r="F201">
        <v>105.792503</v>
      </c>
      <c r="G201">
        <v>106.636002</v>
      </c>
      <c r="H201">
        <v>35314000</v>
      </c>
      <c r="I201">
        <v>0</v>
      </c>
      <c r="J201">
        <v>-3.75</v>
      </c>
    </row>
    <row r="202" spans="1:10" x14ac:dyDescent="0.2">
      <c r="A202" t="s">
        <v>983</v>
      </c>
      <c r="B202" t="s">
        <v>1303</v>
      </c>
      <c r="C202" s="9">
        <v>44729</v>
      </c>
      <c r="D202">
        <v>106.535004</v>
      </c>
      <c r="E202">
        <v>109.24949599999999</v>
      </c>
      <c r="F202">
        <v>105.62854799999999</v>
      </c>
      <c r="G202">
        <v>107.86550099999999</v>
      </c>
      <c r="H202">
        <v>43516000</v>
      </c>
      <c r="I202">
        <v>0</v>
      </c>
      <c r="J202">
        <v>1.23</v>
      </c>
    </row>
    <row r="203" spans="1:10" x14ac:dyDescent="0.2">
      <c r="A203" t="s">
        <v>984</v>
      </c>
      <c r="B203" t="s">
        <v>1304</v>
      </c>
      <c r="C203" s="9">
        <v>44733</v>
      </c>
      <c r="D203">
        <v>109.702003</v>
      </c>
      <c r="E203">
        <v>112.672997</v>
      </c>
      <c r="F203">
        <v>109.293503</v>
      </c>
      <c r="G203">
        <v>112.014999</v>
      </c>
      <c r="H203">
        <v>39010000</v>
      </c>
      <c r="I203">
        <v>0</v>
      </c>
      <c r="J203">
        <v>4.1500000000000004</v>
      </c>
    </row>
    <row r="204" spans="1:10" x14ac:dyDescent="0.2">
      <c r="A204" t="s">
        <v>985</v>
      </c>
      <c r="B204" t="s">
        <v>1301</v>
      </c>
      <c r="C204" s="9">
        <v>44734</v>
      </c>
      <c r="D204">
        <v>111.16300200000001</v>
      </c>
      <c r="E204">
        <v>113.76950100000001</v>
      </c>
      <c r="F204">
        <v>110.72429700000001</v>
      </c>
      <c r="G204">
        <v>112.033997</v>
      </c>
      <c r="H204">
        <v>23922000</v>
      </c>
      <c r="I204">
        <v>0</v>
      </c>
      <c r="J204">
        <v>0.02</v>
      </c>
    </row>
    <row r="205" spans="1:10" x14ac:dyDescent="0.2">
      <c r="A205" t="s">
        <v>986</v>
      </c>
      <c r="B205" t="s">
        <v>1302</v>
      </c>
      <c r="C205" s="9">
        <v>44735</v>
      </c>
      <c r="D205">
        <v>112.949997</v>
      </c>
      <c r="E205">
        <v>113.19650300000001</v>
      </c>
      <c r="F205">
        <v>111.028999</v>
      </c>
      <c r="G205">
        <v>112.68450199999999</v>
      </c>
      <c r="H205">
        <v>24710000</v>
      </c>
      <c r="I205">
        <v>0</v>
      </c>
      <c r="J205">
        <v>0.65</v>
      </c>
    </row>
    <row r="206" spans="1:10" x14ac:dyDescent="0.2">
      <c r="A206" t="s">
        <v>987</v>
      </c>
      <c r="B206" t="s">
        <v>1303</v>
      </c>
      <c r="C206" s="9">
        <v>44736</v>
      </c>
      <c r="D206">
        <v>113.602997</v>
      </c>
      <c r="E206">
        <v>118.637497</v>
      </c>
      <c r="F206">
        <v>113.602997</v>
      </c>
      <c r="G206">
        <v>118.53800200000001</v>
      </c>
      <c r="H206">
        <v>39122000</v>
      </c>
      <c r="I206">
        <v>0</v>
      </c>
      <c r="J206">
        <v>5.85</v>
      </c>
    </row>
    <row r="207" spans="1:10" x14ac:dyDescent="0.2">
      <c r="A207" t="s">
        <v>988</v>
      </c>
      <c r="B207" t="s">
        <v>1305</v>
      </c>
      <c r="C207" s="9">
        <v>44739</v>
      </c>
      <c r="D207">
        <v>118.93499799999999</v>
      </c>
      <c r="E207">
        <v>119.25</v>
      </c>
      <c r="F207">
        <v>116.000748</v>
      </c>
      <c r="G207">
        <v>116.62249799999999</v>
      </c>
      <c r="H207">
        <v>32840000</v>
      </c>
      <c r="I207">
        <v>0</v>
      </c>
      <c r="J207">
        <v>-1.92</v>
      </c>
    </row>
    <row r="208" spans="1:10" x14ac:dyDescent="0.2">
      <c r="A208" t="s">
        <v>989</v>
      </c>
      <c r="B208" t="s">
        <v>1304</v>
      </c>
      <c r="C208" s="9">
        <v>44740</v>
      </c>
      <c r="D208">
        <v>116.350998</v>
      </c>
      <c r="E208">
        <v>117.856499</v>
      </c>
      <c r="F208">
        <v>112.444</v>
      </c>
      <c r="G208">
        <v>112.57150300000001</v>
      </c>
      <c r="H208">
        <v>28232000</v>
      </c>
      <c r="I208">
        <v>0</v>
      </c>
      <c r="J208">
        <v>-4.05</v>
      </c>
    </row>
    <row r="209" spans="1:10" x14ac:dyDescent="0.2">
      <c r="A209" t="s">
        <v>990</v>
      </c>
      <c r="B209" t="s">
        <v>1301</v>
      </c>
      <c r="C209" s="9">
        <v>44741</v>
      </c>
      <c r="D209">
        <v>112.148499</v>
      </c>
      <c r="E209">
        <v>113.664497</v>
      </c>
      <c r="F209">
        <v>111.554001</v>
      </c>
      <c r="G209">
        <v>112.2565</v>
      </c>
      <c r="H209">
        <v>18628000</v>
      </c>
      <c r="I209">
        <v>0</v>
      </c>
      <c r="J209">
        <v>-0.32</v>
      </c>
    </row>
    <row r="210" spans="1:10" x14ac:dyDescent="0.2">
      <c r="A210" t="s">
        <v>991</v>
      </c>
      <c r="B210" t="s">
        <v>1302</v>
      </c>
      <c r="C210" s="9">
        <v>44742</v>
      </c>
      <c r="D210">
        <v>110.49949599999999</v>
      </c>
      <c r="E210">
        <v>111.329803</v>
      </c>
      <c r="F210">
        <v>107.30999799999999</v>
      </c>
      <c r="G210">
        <v>109.37249799999999</v>
      </c>
      <c r="H210">
        <v>38046000</v>
      </c>
      <c r="I210">
        <v>0</v>
      </c>
      <c r="J210">
        <v>-2.88</v>
      </c>
    </row>
    <row r="211" spans="1:10" x14ac:dyDescent="0.2">
      <c r="A211" t="s">
        <v>992</v>
      </c>
      <c r="B211" t="s">
        <v>1303</v>
      </c>
      <c r="C211" s="9">
        <v>44743</v>
      </c>
      <c r="D211">
        <v>108.33699799999999</v>
      </c>
      <c r="E211">
        <v>109.80635100000001</v>
      </c>
      <c r="F211">
        <v>107.105003</v>
      </c>
      <c r="G211">
        <v>109.081001</v>
      </c>
      <c r="H211">
        <v>31028000</v>
      </c>
      <c r="I211">
        <v>0</v>
      </c>
      <c r="J211">
        <v>-0.28999999999999998</v>
      </c>
    </row>
    <row r="212" spans="1:10" x14ac:dyDescent="0.2">
      <c r="A212" t="s">
        <v>993</v>
      </c>
      <c r="B212" t="s">
        <v>1304</v>
      </c>
      <c r="C212" s="9">
        <v>44747</v>
      </c>
      <c r="D212">
        <v>107.514503</v>
      </c>
      <c r="E212">
        <v>114.05259700000001</v>
      </c>
      <c r="F212">
        <v>106.24949599999999</v>
      </c>
      <c r="G212">
        <v>113.887001</v>
      </c>
      <c r="H212">
        <v>36398000</v>
      </c>
      <c r="I212">
        <v>0</v>
      </c>
      <c r="J212">
        <v>4.8099999999999996</v>
      </c>
    </row>
    <row r="213" spans="1:10" x14ac:dyDescent="0.2">
      <c r="A213" t="s">
        <v>994</v>
      </c>
      <c r="B213" t="s">
        <v>1301</v>
      </c>
      <c r="C213" s="9">
        <v>44748</v>
      </c>
      <c r="D213">
        <v>114.09200300000001</v>
      </c>
      <c r="E213">
        <v>116.351997</v>
      </c>
      <c r="F213">
        <v>112.25050400000001</v>
      </c>
      <c r="G213">
        <v>115.21350099999999</v>
      </c>
      <c r="H213">
        <v>28852000</v>
      </c>
      <c r="I213">
        <v>0</v>
      </c>
      <c r="J213">
        <v>1.33</v>
      </c>
    </row>
    <row r="214" spans="1:10" x14ac:dyDescent="0.2">
      <c r="A214" t="s">
        <v>995</v>
      </c>
      <c r="B214" t="s">
        <v>1302</v>
      </c>
      <c r="C214" s="9">
        <v>44749</v>
      </c>
      <c r="D214">
        <v>116.008003</v>
      </c>
      <c r="E214">
        <v>119.86199999999999</v>
      </c>
      <c r="F214">
        <v>115.533997</v>
      </c>
      <c r="G214">
        <v>119.306</v>
      </c>
      <c r="H214">
        <v>32184000</v>
      </c>
      <c r="I214">
        <v>0</v>
      </c>
      <c r="J214">
        <v>4.09</v>
      </c>
    </row>
    <row r="215" spans="1:10" x14ac:dyDescent="0.2">
      <c r="A215" t="s">
        <v>996</v>
      </c>
      <c r="B215" t="s">
        <v>1303</v>
      </c>
      <c r="C215" s="9">
        <v>44750</v>
      </c>
      <c r="D215">
        <v>117.550003</v>
      </c>
      <c r="E215">
        <v>120.43499799999999</v>
      </c>
      <c r="F215">
        <v>117.514</v>
      </c>
      <c r="G215">
        <v>120.168503</v>
      </c>
      <c r="H215">
        <v>29082000</v>
      </c>
      <c r="I215">
        <v>0</v>
      </c>
      <c r="J215">
        <v>0.86</v>
      </c>
    </row>
    <row r="216" spans="1:10" x14ac:dyDescent="0.2">
      <c r="A216" t="s">
        <v>997</v>
      </c>
      <c r="B216" t="s">
        <v>1305</v>
      </c>
      <c r="C216" s="9">
        <v>44753</v>
      </c>
      <c r="D216">
        <v>118.650002</v>
      </c>
      <c r="E216">
        <v>118.79450199999999</v>
      </c>
      <c r="F216">
        <v>116.234497</v>
      </c>
      <c r="G216">
        <v>116.522499</v>
      </c>
      <c r="H216">
        <v>26718000</v>
      </c>
      <c r="I216">
        <v>0</v>
      </c>
      <c r="J216">
        <v>-3.65</v>
      </c>
    </row>
    <row r="217" spans="1:10" x14ac:dyDescent="0.2">
      <c r="A217" t="s">
        <v>998</v>
      </c>
      <c r="B217" t="s">
        <v>1304</v>
      </c>
      <c r="C217" s="9">
        <v>44754</v>
      </c>
      <c r="D217">
        <v>116.83850099999999</v>
      </c>
      <c r="E217">
        <v>117.849503</v>
      </c>
      <c r="F217">
        <v>114.614998</v>
      </c>
      <c r="G217">
        <v>114.849503</v>
      </c>
      <c r="H217">
        <v>24970000</v>
      </c>
      <c r="I217">
        <v>0</v>
      </c>
      <c r="J217">
        <v>-1.67</v>
      </c>
    </row>
    <row r="218" spans="1:10" x14ac:dyDescent="0.2">
      <c r="A218" t="s">
        <v>999</v>
      </c>
      <c r="B218" t="s">
        <v>1301</v>
      </c>
      <c r="C218" s="9">
        <v>44755</v>
      </c>
      <c r="D218">
        <v>112.639</v>
      </c>
      <c r="E218">
        <v>115.156998</v>
      </c>
      <c r="F218">
        <v>111.822998</v>
      </c>
      <c r="G218">
        <v>112.18699599999999</v>
      </c>
      <c r="H218">
        <v>38958000</v>
      </c>
      <c r="I218">
        <v>0</v>
      </c>
      <c r="J218">
        <v>-2.66</v>
      </c>
    </row>
    <row r="219" spans="1:10" x14ac:dyDescent="0.2">
      <c r="A219" t="s">
        <v>1000</v>
      </c>
      <c r="B219" t="s">
        <v>1302</v>
      </c>
      <c r="C219" s="9">
        <v>44756</v>
      </c>
      <c r="D219">
        <v>110.825996</v>
      </c>
      <c r="E219">
        <v>111.987503</v>
      </c>
      <c r="F219">
        <v>109.32550000000001</v>
      </c>
      <c r="G219">
        <v>111.44000200000001</v>
      </c>
      <c r="H219">
        <v>32366000</v>
      </c>
      <c r="I219">
        <v>0</v>
      </c>
      <c r="J219">
        <v>-0.75</v>
      </c>
    </row>
    <row r="220" spans="1:10" x14ac:dyDescent="0.2">
      <c r="A220" t="s">
        <v>1001</v>
      </c>
      <c r="B220" t="s">
        <v>1303</v>
      </c>
      <c r="C220" s="9">
        <v>44757</v>
      </c>
      <c r="D220">
        <v>112.962997</v>
      </c>
      <c r="E220">
        <v>114.00050400000001</v>
      </c>
      <c r="F220">
        <v>111.822502</v>
      </c>
      <c r="G220">
        <v>112.766998</v>
      </c>
      <c r="H220">
        <v>34330000</v>
      </c>
      <c r="I220">
        <v>0</v>
      </c>
      <c r="J220">
        <v>1.33</v>
      </c>
    </row>
    <row r="221" spans="1:10" x14ac:dyDescent="0.2">
      <c r="A221" t="s">
        <v>1002</v>
      </c>
      <c r="B221" t="s">
        <v>1305</v>
      </c>
      <c r="C221" s="9">
        <v>44760</v>
      </c>
      <c r="D221">
        <v>113.44000200000001</v>
      </c>
      <c r="E221">
        <v>114.800003</v>
      </c>
      <c r="F221">
        <v>109.300003</v>
      </c>
      <c r="G221">
        <v>109.910004</v>
      </c>
      <c r="H221">
        <v>33354000</v>
      </c>
      <c r="I221">
        <v>0</v>
      </c>
      <c r="J221">
        <v>-2.86</v>
      </c>
    </row>
    <row r="222" spans="1:10" x14ac:dyDescent="0.2">
      <c r="A222" t="s">
        <v>1003</v>
      </c>
      <c r="B222" t="s">
        <v>1304</v>
      </c>
      <c r="C222" s="9">
        <v>44761</v>
      </c>
      <c r="D222">
        <v>111.730003</v>
      </c>
      <c r="E222">
        <v>114.80999799999999</v>
      </c>
      <c r="F222">
        <v>110.5</v>
      </c>
      <c r="G222">
        <v>114.620003</v>
      </c>
      <c r="H222">
        <v>30992300</v>
      </c>
      <c r="I222">
        <v>0</v>
      </c>
      <c r="J222">
        <v>4.71</v>
      </c>
    </row>
    <row r="223" spans="1:10" x14ac:dyDescent="0.2">
      <c r="A223" t="s">
        <v>1004</v>
      </c>
      <c r="B223" t="s">
        <v>1301</v>
      </c>
      <c r="C223" s="9">
        <v>44762</v>
      </c>
      <c r="D223">
        <v>114.05999799999999</v>
      </c>
      <c r="E223">
        <v>116.33000199999999</v>
      </c>
      <c r="F223">
        <v>113.260002</v>
      </c>
      <c r="G223">
        <v>114.699997</v>
      </c>
      <c r="H223">
        <v>26780100</v>
      </c>
      <c r="I223">
        <v>0</v>
      </c>
      <c r="J223">
        <v>0.08</v>
      </c>
    </row>
    <row r="224" spans="1:10" x14ac:dyDescent="0.2">
      <c r="A224" t="s">
        <v>1005</v>
      </c>
      <c r="B224" t="s">
        <v>1302</v>
      </c>
      <c r="C224" s="9">
        <v>44763</v>
      </c>
      <c r="D224">
        <v>115.089996</v>
      </c>
      <c r="E224">
        <v>115.209999</v>
      </c>
      <c r="F224">
        <v>111.910004</v>
      </c>
      <c r="G224">
        <v>115.040001</v>
      </c>
      <c r="H224">
        <v>27267800</v>
      </c>
      <c r="I224">
        <v>0</v>
      </c>
      <c r="J224">
        <v>0.34</v>
      </c>
    </row>
    <row r="225" spans="1:10" x14ac:dyDescent="0.2">
      <c r="A225" t="s">
        <v>1006</v>
      </c>
      <c r="B225" t="s">
        <v>1303</v>
      </c>
      <c r="C225" s="9">
        <v>44764</v>
      </c>
      <c r="D225">
        <v>111.80999799999999</v>
      </c>
      <c r="E225">
        <v>113.18</v>
      </c>
      <c r="F225">
        <v>107.599998</v>
      </c>
      <c r="G225">
        <v>108.360001</v>
      </c>
      <c r="H225">
        <v>44455300</v>
      </c>
      <c r="I225">
        <v>0</v>
      </c>
      <c r="J225">
        <v>-6.68</v>
      </c>
    </row>
    <row r="226" spans="1:10" x14ac:dyDescent="0.2">
      <c r="A226" t="s">
        <v>1007</v>
      </c>
      <c r="B226" t="s">
        <v>1305</v>
      </c>
      <c r="C226" s="9">
        <v>44767</v>
      </c>
      <c r="D226">
        <v>108.879997</v>
      </c>
      <c r="E226">
        <v>110.58000199999999</v>
      </c>
      <c r="F226">
        <v>107.010002</v>
      </c>
      <c r="G226">
        <v>108.209999</v>
      </c>
      <c r="H226">
        <v>28289900</v>
      </c>
      <c r="I226">
        <v>0</v>
      </c>
      <c r="J226">
        <v>-0.15</v>
      </c>
    </row>
    <row r="227" spans="1:10" x14ac:dyDescent="0.2">
      <c r="A227" t="s">
        <v>1008</v>
      </c>
      <c r="B227" t="s">
        <v>1304</v>
      </c>
      <c r="C227" s="9">
        <v>44768</v>
      </c>
      <c r="D227">
        <v>107.43</v>
      </c>
      <c r="E227">
        <v>107.739998</v>
      </c>
      <c r="F227">
        <v>104.760002</v>
      </c>
      <c r="G227">
        <v>105.44000200000001</v>
      </c>
      <c r="H227">
        <v>36626600</v>
      </c>
      <c r="I227">
        <v>0</v>
      </c>
      <c r="J227">
        <v>-2.77</v>
      </c>
    </row>
    <row r="228" spans="1:10" x14ac:dyDescent="0.2">
      <c r="A228" t="s">
        <v>1009</v>
      </c>
      <c r="B228" t="s">
        <v>1301</v>
      </c>
      <c r="C228" s="9">
        <v>44769</v>
      </c>
      <c r="D228">
        <v>109.599998</v>
      </c>
      <c r="E228">
        <v>114.400002</v>
      </c>
      <c r="F228">
        <v>108.41999800000001</v>
      </c>
      <c r="G228">
        <v>113.599998</v>
      </c>
      <c r="H228">
        <v>41474600</v>
      </c>
      <c r="I228">
        <v>0</v>
      </c>
      <c r="J228">
        <v>8.16</v>
      </c>
    </row>
    <row r="229" spans="1:10" x14ac:dyDescent="0.2">
      <c r="A229" t="s">
        <v>1010</v>
      </c>
      <c r="B229" t="s">
        <v>1302</v>
      </c>
      <c r="C229" s="9">
        <v>44770</v>
      </c>
      <c r="D229">
        <v>112.800003</v>
      </c>
      <c r="E229">
        <v>114.699997</v>
      </c>
      <c r="F229">
        <v>111.850998</v>
      </c>
      <c r="G229">
        <v>114.589996</v>
      </c>
      <c r="H229">
        <v>23303800</v>
      </c>
      <c r="I229">
        <v>0</v>
      </c>
      <c r="J229">
        <v>0.99</v>
      </c>
    </row>
    <row r="230" spans="1:10" x14ac:dyDescent="0.2">
      <c r="A230" t="s">
        <v>1011</v>
      </c>
      <c r="B230" t="s">
        <v>1303</v>
      </c>
      <c r="C230" s="9">
        <v>44771</v>
      </c>
      <c r="D230">
        <v>113.400002</v>
      </c>
      <c r="E230">
        <v>116.900002</v>
      </c>
      <c r="F230">
        <v>113.230003</v>
      </c>
      <c r="G230">
        <v>116.639999</v>
      </c>
      <c r="H230">
        <v>31336200</v>
      </c>
      <c r="I230">
        <v>0</v>
      </c>
      <c r="J230">
        <v>2.0499999999999998</v>
      </c>
    </row>
    <row r="231" spans="1:10" x14ac:dyDescent="0.2">
      <c r="A231" t="s">
        <v>1012</v>
      </c>
      <c r="B231" t="s">
        <v>1305</v>
      </c>
      <c r="C231" s="9">
        <v>44774</v>
      </c>
      <c r="D231">
        <v>115.529999</v>
      </c>
      <c r="E231">
        <v>117.120003</v>
      </c>
      <c r="F231">
        <v>114.69000200000001</v>
      </c>
      <c r="G231">
        <v>115.480003</v>
      </c>
      <c r="H231">
        <v>22856200</v>
      </c>
      <c r="I231">
        <v>0</v>
      </c>
      <c r="J231">
        <v>-1.1599999999999999</v>
      </c>
    </row>
    <row r="232" spans="1:10" x14ac:dyDescent="0.2">
      <c r="A232" t="s">
        <v>1013</v>
      </c>
      <c r="B232" t="s">
        <v>1304</v>
      </c>
      <c r="C232" s="9">
        <v>44775</v>
      </c>
      <c r="D232">
        <v>114.43</v>
      </c>
      <c r="E232">
        <v>117.08000199999999</v>
      </c>
      <c r="F232">
        <v>114.260002</v>
      </c>
      <c r="G232">
        <v>115.900002</v>
      </c>
      <c r="H232">
        <v>17911000</v>
      </c>
      <c r="I232">
        <v>0</v>
      </c>
      <c r="J232">
        <v>0.42</v>
      </c>
    </row>
    <row r="233" spans="1:10" x14ac:dyDescent="0.2">
      <c r="A233" t="s">
        <v>1014</v>
      </c>
      <c r="B233" t="s">
        <v>1301</v>
      </c>
      <c r="C233" s="9">
        <v>44776</v>
      </c>
      <c r="D233">
        <v>116.339996</v>
      </c>
      <c r="E233">
        <v>119.41999800000001</v>
      </c>
      <c r="F233">
        <v>116.150002</v>
      </c>
      <c r="G233">
        <v>118.779999</v>
      </c>
      <c r="H233">
        <v>25302800</v>
      </c>
      <c r="I233">
        <v>0</v>
      </c>
      <c r="J233">
        <v>2.88</v>
      </c>
    </row>
    <row r="234" spans="1:10" x14ac:dyDescent="0.2">
      <c r="A234" t="s">
        <v>1015</v>
      </c>
      <c r="B234" t="s">
        <v>1302</v>
      </c>
      <c r="C234" s="9">
        <v>44777</v>
      </c>
      <c r="D234">
        <v>118.300003</v>
      </c>
      <c r="E234">
        <v>119.5</v>
      </c>
      <c r="F234">
        <v>117.709999</v>
      </c>
      <c r="G234">
        <v>118.870003</v>
      </c>
      <c r="H234">
        <v>15757700</v>
      </c>
      <c r="I234">
        <v>0</v>
      </c>
      <c r="J234">
        <v>0.09</v>
      </c>
    </row>
    <row r="235" spans="1:10" x14ac:dyDescent="0.2">
      <c r="A235" t="s">
        <v>1016</v>
      </c>
      <c r="B235" t="s">
        <v>1303</v>
      </c>
      <c r="C235" s="9">
        <v>44778</v>
      </c>
      <c r="D235">
        <v>116.93</v>
      </c>
      <c r="E235">
        <v>118.860001</v>
      </c>
      <c r="F235">
        <v>116.709999</v>
      </c>
      <c r="G235">
        <v>118.220001</v>
      </c>
      <c r="H235">
        <v>15615700</v>
      </c>
      <c r="I235">
        <v>0</v>
      </c>
      <c r="J235">
        <v>-0.65</v>
      </c>
    </row>
    <row r="236" spans="1:10" x14ac:dyDescent="0.2">
      <c r="A236" t="s">
        <v>1017</v>
      </c>
      <c r="B236" t="s">
        <v>1305</v>
      </c>
      <c r="C236" s="9">
        <v>44781</v>
      </c>
      <c r="D236">
        <v>119.120003</v>
      </c>
      <c r="E236">
        <v>120.860001</v>
      </c>
      <c r="F236">
        <v>117.83000199999999</v>
      </c>
      <c r="G236">
        <v>118.139999</v>
      </c>
      <c r="H236">
        <v>17061100</v>
      </c>
      <c r="I236">
        <v>0</v>
      </c>
      <c r="J236">
        <v>-0.08</v>
      </c>
    </row>
    <row r="237" spans="1:10" x14ac:dyDescent="0.2">
      <c r="A237" t="s">
        <v>1018</v>
      </c>
      <c r="B237" t="s">
        <v>1304</v>
      </c>
      <c r="C237" s="9">
        <v>44782</v>
      </c>
      <c r="D237">
        <v>117.989998</v>
      </c>
      <c r="E237">
        <v>118.199997</v>
      </c>
      <c r="F237">
        <v>116.55999799999999</v>
      </c>
      <c r="G237">
        <v>117.5</v>
      </c>
      <c r="H237">
        <v>15424300</v>
      </c>
      <c r="I237">
        <v>0</v>
      </c>
      <c r="J237">
        <v>-0.64</v>
      </c>
    </row>
    <row r="238" spans="1:10" x14ac:dyDescent="0.2">
      <c r="A238" t="s">
        <v>1019</v>
      </c>
      <c r="B238" t="s">
        <v>1301</v>
      </c>
      <c r="C238" s="9">
        <v>44783</v>
      </c>
      <c r="D238">
        <v>119.589996</v>
      </c>
      <c r="E238">
        <v>121.779999</v>
      </c>
      <c r="F238">
        <v>119.360001</v>
      </c>
      <c r="G238">
        <v>120.650002</v>
      </c>
      <c r="H238">
        <v>20497000</v>
      </c>
      <c r="I238">
        <v>0</v>
      </c>
      <c r="J238">
        <v>3.15</v>
      </c>
    </row>
    <row r="239" spans="1:10" x14ac:dyDescent="0.2">
      <c r="A239" t="s">
        <v>1020</v>
      </c>
      <c r="B239" t="s">
        <v>1302</v>
      </c>
      <c r="C239" s="9">
        <v>44784</v>
      </c>
      <c r="D239">
        <v>122.08000199999999</v>
      </c>
      <c r="E239">
        <v>122.339996</v>
      </c>
      <c r="F239">
        <v>119.550003</v>
      </c>
      <c r="G239">
        <v>119.82</v>
      </c>
      <c r="H239">
        <v>16671600</v>
      </c>
      <c r="I239">
        <v>0</v>
      </c>
      <c r="J239">
        <v>-0.83</v>
      </c>
    </row>
    <row r="240" spans="1:10" x14ac:dyDescent="0.2">
      <c r="A240" t="s">
        <v>1021</v>
      </c>
      <c r="B240" t="s">
        <v>1303</v>
      </c>
      <c r="C240" s="9">
        <v>44785</v>
      </c>
      <c r="D240">
        <v>121.160004</v>
      </c>
      <c r="E240">
        <v>122.650002</v>
      </c>
      <c r="F240">
        <v>120.400002</v>
      </c>
      <c r="G240">
        <v>122.650002</v>
      </c>
      <c r="H240">
        <v>16121100</v>
      </c>
      <c r="I240">
        <v>0</v>
      </c>
      <c r="J240">
        <v>2.83</v>
      </c>
    </row>
    <row r="241" spans="1:10" x14ac:dyDescent="0.2">
      <c r="A241" t="s">
        <v>1022</v>
      </c>
      <c r="B241" t="s">
        <v>1305</v>
      </c>
      <c r="C241" s="9">
        <v>44788</v>
      </c>
      <c r="D241">
        <v>122.209999</v>
      </c>
      <c r="E241">
        <v>123.260002</v>
      </c>
      <c r="F241">
        <v>121.57</v>
      </c>
      <c r="G241">
        <v>122.879997</v>
      </c>
      <c r="H241">
        <v>15525000</v>
      </c>
      <c r="I241">
        <v>0</v>
      </c>
      <c r="J241">
        <v>0.23</v>
      </c>
    </row>
    <row r="242" spans="1:10" x14ac:dyDescent="0.2">
      <c r="A242" t="s">
        <v>1023</v>
      </c>
      <c r="B242" t="s">
        <v>1304</v>
      </c>
      <c r="C242" s="9">
        <v>44789</v>
      </c>
      <c r="D242">
        <v>122.32</v>
      </c>
      <c r="E242">
        <v>123.227997</v>
      </c>
      <c r="F242">
        <v>121.535004</v>
      </c>
      <c r="G242">
        <v>122.510002</v>
      </c>
      <c r="H242">
        <v>15626200</v>
      </c>
      <c r="I242">
        <v>0</v>
      </c>
      <c r="J242">
        <v>-0.37</v>
      </c>
    </row>
    <row r="243" spans="1:10" x14ac:dyDescent="0.2">
      <c r="A243" t="s">
        <v>1024</v>
      </c>
      <c r="B243" t="s">
        <v>1301</v>
      </c>
      <c r="C243" s="9">
        <v>44790</v>
      </c>
      <c r="D243">
        <v>120.93</v>
      </c>
      <c r="E243">
        <v>122.150002</v>
      </c>
      <c r="F243">
        <v>120.199997</v>
      </c>
      <c r="G243">
        <v>120.32</v>
      </c>
      <c r="H243">
        <v>17589200</v>
      </c>
      <c r="I243">
        <v>0</v>
      </c>
      <c r="J243">
        <v>-2.19</v>
      </c>
    </row>
    <row r="244" spans="1:10" x14ac:dyDescent="0.2">
      <c r="A244" t="s">
        <v>1025</v>
      </c>
      <c r="B244" t="s">
        <v>1302</v>
      </c>
      <c r="C244" s="9">
        <v>44791</v>
      </c>
      <c r="D244">
        <v>120.230003</v>
      </c>
      <c r="E244">
        <v>121.69000200000001</v>
      </c>
      <c r="F244">
        <v>119.550003</v>
      </c>
      <c r="G244">
        <v>120.860001</v>
      </c>
      <c r="H244">
        <v>15652000</v>
      </c>
      <c r="I244">
        <v>0</v>
      </c>
      <c r="J244">
        <v>0.54</v>
      </c>
    </row>
    <row r="245" spans="1:10" x14ac:dyDescent="0.2">
      <c r="A245" t="s">
        <v>1026</v>
      </c>
      <c r="B245" t="s">
        <v>1303</v>
      </c>
      <c r="C245" s="9">
        <v>44792</v>
      </c>
      <c r="D245">
        <v>119.870003</v>
      </c>
      <c r="E245">
        <v>120</v>
      </c>
      <c r="F245">
        <v>117.66999800000001</v>
      </c>
      <c r="G245">
        <v>118.120003</v>
      </c>
      <c r="H245">
        <v>20187000</v>
      </c>
      <c r="I245">
        <v>0</v>
      </c>
      <c r="J245">
        <v>-2.74</v>
      </c>
    </row>
    <row r="246" spans="1:10" x14ac:dyDescent="0.2">
      <c r="A246" t="s">
        <v>1027</v>
      </c>
      <c r="B246" t="s">
        <v>1305</v>
      </c>
      <c r="C246" s="9">
        <v>44795</v>
      </c>
      <c r="D246">
        <v>116.099998</v>
      </c>
      <c r="E246">
        <v>116.5</v>
      </c>
      <c r="F246">
        <v>114.66999800000001</v>
      </c>
      <c r="G246">
        <v>115.07</v>
      </c>
      <c r="H246">
        <v>19316000</v>
      </c>
      <c r="I246">
        <v>0</v>
      </c>
      <c r="J246">
        <v>-3.05</v>
      </c>
    </row>
    <row r="247" spans="1:10" x14ac:dyDescent="0.2">
      <c r="A247" t="s">
        <v>1028</v>
      </c>
      <c r="B247" t="s">
        <v>1304</v>
      </c>
      <c r="C247" s="9">
        <v>44796</v>
      </c>
      <c r="D247">
        <v>114.32</v>
      </c>
      <c r="E247">
        <v>115.93</v>
      </c>
      <c r="F247">
        <v>114.300003</v>
      </c>
      <c r="G247">
        <v>114.769997</v>
      </c>
      <c r="H247">
        <v>14390700</v>
      </c>
      <c r="I247">
        <v>0</v>
      </c>
      <c r="J247">
        <v>-0.3</v>
      </c>
    </row>
    <row r="248" spans="1:10" x14ac:dyDescent="0.2">
      <c r="A248" t="s">
        <v>1029</v>
      </c>
      <c r="B248" t="s">
        <v>1301</v>
      </c>
      <c r="C248" s="9">
        <v>44797</v>
      </c>
      <c r="D248">
        <v>114.449997</v>
      </c>
      <c r="E248">
        <v>115.71700300000001</v>
      </c>
      <c r="F248">
        <v>113.779999</v>
      </c>
      <c r="G248">
        <v>114.699997</v>
      </c>
      <c r="H248">
        <v>16051200</v>
      </c>
      <c r="I248">
        <v>0</v>
      </c>
      <c r="J248">
        <v>-7.0000000000000007E-2</v>
      </c>
    </row>
    <row r="249" spans="1:10" x14ac:dyDescent="0.2">
      <c r="A249" t="s">
        <v>1030</v>
      </c>
      <c r="B249" t="s">
        <v>1302</v>
      </c>
      <c r="C249" s="9">
        <v>44798</v>
      </c>
      <c r="D249">
        <v>115.150002</v>
      </c>
      <c r="E249">
        <v>117.779999</v>
      </c>
      <c r="F249">
        <v>115.050003</v>
      </c>
      <c r="G249">
        <v>117.699997</v>
      </c>
      <c r="H249">
        <v>14874700</v>
      </c>
      <c r="I249">
        <v>0</v>
      </c>
      <c r="J249">
        <v>3</v>
      </c>
    </row>
    <row r="250" spans="1:10" x14ac:dyDescent="0.2">
      <c r="A250" t="s">
        <v>1031</v>
      </c>
      <c r="B250" t="s">
        <v>1303</v>
      </c>
      <c r="C250" s="9">
        <v>44799</v>
      </c>
      <c r="D250">
        <v>115.80999799999999</v>
      </c>
      <c r="E250">
        <v>116.599998</v>
      </c>
      <c r="F250">
        <v>111.220001</v>
      </c>
      <c r="G250">
        <v>111.300003</v>
      </c>
      <c r="H250">
        <v>31698700</v>
      </c>
      <c r="I250">
        <v>0</v>
      </c>
      <c r="J250">
        <v>-6.4</v>
      </c>
    </row>
    <row r="251" spans="1:10" x14ac:dyDescent="0.2">
      <c r="A251" t="s">
        <v>1032</v>
      </c>
      <c r="B251" t="s">
        <v>1305</v>
      </c>
      <c r="C251" s="9">
        <v>44802</v>
      </c>
      <c r="D251">
        <v>110.779999</v>
      </c>
      <c r="E251">
        <v>111.959999</v>
      </c>
      <c r="F251">
        <v>109.80999799999999</v>
      </c>
      <c r="G251">
        <v>110.339996</v>
      </c>
      <c r="H251">
        <v>20386100</v>
      </c>
      <c r="I251">
        <v>0</v>
      </c>
      <c r="J251">
        <v>-0.96</v>
      </c>
    </row>
    <row r="252" spans="1:10" x14ac:dyDescent="0.2">
      <c r="A252" t="s">
        <v>1033</v>
      </c>
      <c r="B252" t="s">
        <v>1304</v>
      </c>
      <c r="C252" s="9">
        <v>44803</v>
      </c>
      <c r="D252">
        <v>111.029999</v>
      </c>
      <c r="E252">
        <v>111.370003</v>
      </c>
      <c r="F252">
        <v>108.800003</v>
      </c>
      <c r="G252">
        <v>109.910004</v>
      </c>
      <c r="H252">
        <v>20548200</v>
      </c>
      <c r="I252">
        <v>0</v>
      </c>
      <c r="J252">
        <v>-0.43</v>
      </c>
    </row>
    <row r="253" spans="1:10" x14ac:dyDescent="0.2">
      <c r="A253" t="s">
        <v>1034</v>
      </c>
      <c r="B253" t="s">
        <v>1301</v>
      </c>
      <c r="C253" s="9">
        <v>44804</v>
      </c>
      <c r="D253">
        <v>111.629997</v>
      </c>
      <c r="E253">
        <v>111.769997</v>
      </c>
      <c r="F253">
        <v>109.050003</v>
      </c>
      <c r="G253">
        <v>109.150002</v>
      </c>
      <c r="H253">
        <v>25898000</v>
      </c>
      <c r="I253">
        <v>0</v>
      </c>
      <c r="J253">
        <v>-0.76</v>
      </c>
    </row>
    <row r="254" spans="1:10" x14ac:dyDescent="0.2">
      <c r="A254" t="s">
        <v>1035</v>
      </c>
      <c r="B254" t="s">
        <v>1302</v>
      </c>
      <c r="C254" s="9">
        <v>44805</v>
      </c>
      <c r="D254">
        <v>109.199997</v>
      </c>
      <c r="E254">
        <v>111.220001</v>
      </c>
      <c r="F254">
        <v>108.19000200000001</v>
      </c>
      <c r="G254">
        <v>110.550003</v>
      </c>
      <c r="H254">
        <v>22784400</v>
      </c>
      <c r="I254">
        <v>0</v>
      </c>
      <c r="J254">
        <v>1.4</v>
      </c>
    </row>
    <row r="255" spans="1:10" x14ac:dyDescent="0.2">
      <c r="A255" t="s">
        <v>1036</v>
      </c>
      <c r="B255" t="s">
        <v>1303</v>
      </c>
      <c r="C255" s="9">
        <v>44806</v>
      </c>
      <c r="D255">
        <v>111.339996</v>
      </c>
      <c r="E255">
        <v>111.675003</v>
      </c>
      <c r="F255">
        <v>108.129997</v>
      </c>
      <c r="G255">
        <v>108.68</v>
      </c>
      <c r="H255">
        <v>20618100</v>
      </c>
      <c r="I255">
        <v>0</v>
      </c>
      <c r="J255">
        <v>-1.87</v>
      </c>
    </row>
    <row r="256" spans="1:10" x14ac:dyDescent="0.2">
      <c r="A256" t="s">
        <v>1037</v>
      </c>
      <c r="B256" t="s">
        <v>1304</v>
      </c>
      <c r="C256" s="9">
        <v>44810</v>
      </c>
      <c r="D256">
        <v>108.135002</v>
      </c>
      <c r="E256">
        <v>108.879997</v>
      </c>
      <c r="F256">
        <v>106.510002</v>
      </c>
      <c r="G256">
        <v>107.480003</v>
      </c>
      <c r="H256">
        <v>20565100</v>
      </c>
      <c r="I256">
        <v>0</v>
      </c>
      <c r="J256">
        <v>-1.2</v>
      </c>
    </row>
    <row r="257" spans="1:10" x14ac:dyDescent="0.2">
      <c r="A257" t="s">
        <v>1038</v>
      </c>
      <c r="B257" t="s">
        <v>1301</v>
      </c>
      <c r="C257" s="9">
        <v>44811</v>
      </c>
      <c r="D257">
        <v>107.760002</v>
      </c>
      <c r="E257">
        <v>110.989998</v>
      </c>
      <c r="F257">
        <v>107.614998</v>
      </c>
      <c r="G257">
        <v>110.480003</v>
      </c>
      <c r="H257">
        <v>22987200</v>
      </c>
      <c r="I257">
        <v>0</v>
      </c>
      <c r="J257">
        <v>3</v>
      </c>
    </row>
    <row r="258" spans="1:10" x14ac:dyDescent="0.2">
      <c r="A258" t="s">
        <v>1039</v>
      </c>
      <c r="B258" t="s">
        <v>1302</v>
      </c>
      <c r="C258" s="9">
        <v>44812</v>
      </c>
      <c r="D258">
        <v>109.18</v>
      </c>
      <c r="E258">
        <v>110.58000199999999</v>
      </c>
      <c r="F258">
        <v>108.05999799999999</v>
      </c>
      <c r="G258">
        <v>109.41999800000001</v>
      </c>
      <c r="H258">
        <v>21660700</v>
      </c>
      <c r="I258">
        <v>0</v>
      </c>
      <c r="J258">
        <v>-1.06</v>
      </c>
    </row>
    <row r="259" spans="1:10" x14ac:dyDescent="0.2">
      <c r="A259" t="s">
        <v>1040</v>
      </c>
      <c r="B259" t="s">
        <v>1303</v>
      </c>
      <c r="C259" s="9">
        <v>44813</v>
      </c>
      <c r="D259">
        <v>110.050003</v>
      </c>
      <c r="E259">
        <v>112</v>
      </c>
      <c r="F259">
        <v>110</v>
      </c>
      <c r="G259">
        <v>111.779999</v>
      </c>
      <c r="H259">
        <v>21732900</v>
      </c>
      <c r="I259">
        <v>0</v>
      </c>
      <c r="J259">
        <v>2.36</v>
      </c>
    </row>
    <row r="260" spans="1:10" x14ac:dyDescent="0.2">
      <c r="A260" t="s">
        <v>1041</v>
      </c>
      <c r="B260" t="s">
        <v>1305</v>
      </c>
      <c r="C260" s="9">
        <v>44816</v>
      </c>
      <c r="D260">
        <v>111.989998</v>
      </c>
      <c r="E260">
        <v>112.639999</v>
      </c>
      <c r="F260">
        <v>110.93</v>
      </c>
      <c r="G260">
        <v>111.870003</v>
      </c>
      <c r="H260">
        <v>19732900</v>
      </c>
      <c r="I260">
        <v>0</v>
      </c>
      <c r="J260">
        <v>0.09</v>
      </c>
    </row>
    <row r="261" spans="1:10" x14ac:dyDescent="0.2">
      <c r="A261" t="s">
        <v>1042</v>
      </c>
      <c r="B261" t="s">
        <v>1304</v>
      </c>
      <c r="C261" s="9">
        <v>44817</v>
      </c>
      <c r="D261">
        <v>108.889999</v>
      </c>
      <c r="E261">
        <v>109.370003</v>
      </c>
      <c r="F261">
        <v>105</v>
      </c>
      <c r="G261">
        <v>105.30999799999999</v>
      </c>
      <c r="H261">
        <v>33015000</v>
      </c>
      <c r="I261">
        <v>0</v>
      </c>
      <c r="J261">
        <v>-6.56</v>
      </c>
    </row>
    <row r="262" spans="1:10" x14ac:dyDescent="0.2">
      <c r="A262" t="s">
        <v>1043</v>
      </c>
      <c r="B262" t="s">
        <v>1301</v>
      </c>
      <c r="C262" s="9">
        <v>44818</v>
      </c>
      <c r="D262">
        <v>105.44000200000001</v>
      </c>
      <c r="E262">
        <v>106.099998</v>
      </c>
      <c r="F262">
        <v>104.5</v>
      </c>
      <c r="G262">
        <v>105.870003</v>
      </c>
      <c r="H262">
        <v>22115800</v>
      </c>
      <c r="I262">
        <v>0</v>
      </c>
      <c r="J262">
        <v>0.56000000000000005</v>
      </c>
    </row>
    <row r="263" spans="1:10" x14ac:dyDescent="0.2">
      <c r="A263" t="s">
        <v>1044</v>
      </c>
      <c r="B263" t="s">
        <v>1302</v>
      </c>
      <c r="C263" s="9">
        <v>44819</v>
      </c>
      <c r="D263">
        <v>105.010002</v>
      </c>
      <c r="E263">
        <v>106.209999</v>
      </c>
      <c r="F263">
        <v>103.30999799999999</v>
      </c>
      <c r="G263">
        <v>103.900002</v>
      </c>
      <c r="H263">
        <v>26494900</v>
      </c>
      <c r="I263">
        <v>0</v>
      </c>
      <c r="J263">
        <v>-1.97</v>
      </c>
    </row>
    <row r="264" spans="1:10" x14ac:dyDescent="0.2">
      <c r="A264" t="s">
        <v>1045</v>
      </c>
      <c r="B264" t="s">
        <v>1303</v>
      </c>
      <c r="C264" s="9">
        <v>44820</v>
      </c>
      <c r="D264">
        <v>102.970001</v>
      </c>
      <c r="E264">
        <v>104.029999</v>
      </c>
      <c r="F264">
        <v>101.855003</v>
      </c>
      <c r="G264">
        <v>103.629997</v>
      </c>
      <c r="H264">
        <v>64540100</v>
      </c>
      <c r="I264">
        <v>0</v>
      </c>
      <c r="J264">
        <v>-0.27</v>
      </c>
    </row>
    <row r="265" spans="1:10" x14ac:dyDescent="0.2">
      <c r="A265" t="s">
        <v>1046</v>
      </c>
      <c r="B265" t="s">
        <v>1305</v>
      </c>
      <c r="C265" s="9">
        <v>44823</v>
      </c>
      <c r="D265">
        <v>102.540001</v>
      </c>
      <c r="E265">
        <v>104.019997</v>
      </c>
      <c r="F265">
        <v>102.370003</v>
      </c>
      <c r="G265">
        <v>103.849998</v>
      </c>
      <c r="H265">
        <v>19738600</v>
      </c>
      <c r="I265">
        <v>0</v>
      </c>
      <c r="J265">
        <v>0.22</v>
      </c>
    </row>
    <row r="266" spans="1:10" x14ac:dyDescent="0.2">
      <c r="A266" t="s">
        <v>1047</v>
      </c>
      <c r="B266" t="s">
        <v>1304</v>
      </c>
      <c r="C266" s="9">
        <v>44824</v>
      </c>
      <c r="D266">
        <v>102.879997</v>
      </c>
      <c r="E266">
        <v>103.16999800000001</v>
      </c>
      <c r="F266">
        <v>101.120003</v>
      </c>
      <c r="G266">
        <v>101.83000199999999</v>
      </c>
      <c r="H266">
        <v>24001700</v>
      </c>
      <c r="I266">
        <v>0</v>
      </c>
      <c r="J266">
        <v>-2.02</v>
      </c>
    </row>
    <row r="267" spans="1:10" x14ac:dyDescent="0.2">
      <c r="A267" t="s">
        <v>1048</v>
      </c>
      <c r="B267" t="s">
        <v>1301</v>
      </c>
      <c r="C267" s="9">
        <v>44825</v>
      </c>
      <c r="D267">
        <v>102.239998</v>
      </c>
      <c r="E267">
        <v>103.489998</v>
      </c>
      <c r="F267">
        <v>99.989998</v>
      </c>
      <c r="G267">
        <v>100.010002</v>
      </c>
      <c r="H267">
        <v>26596800</v>
      </c>
      <c r="I267">
        <v>0</v>
      </c>
      <c r="J267">
        <v>-1.82</v>
      </c>
    </row>
    <row r="268" spans="1:10" x14ac:dyDescent="0.2">
      <c r="A268" t="s">
        <v>1049</v>
      </c>
      <c r="B268" t="s">
        <v>1302</v>
      </c>
      <c r="C268" s="9">
        <v>44826</v>
      </c>
      <c r="D268">
        <v>99.449996999999996</v>
      </c>
      <c r="E268">
        <v>101.68</v>
      </c>
      <c r="F268">
        <v>99.410004000000001</v>
      </c>
      <c r="G268">
        <v>100.57</v>
      </c>
      <c r="H268">
        <v>21272700</v>
      </c>
      <c r="I268">
        <v>0</v>
      </c>
      <c r="J268">
        <v>0.56000000000000005</v>
      </c>
    </row>
    <row r="269" spans="1:10" x14ac:dyDescent="0.2">
      <c r="A269" t="s">
        <v>1050</v>
      </c>
      <c r="B269" t="s">
        <v>1303</v>
      </c>
      <c r="C269" s="9">
        <v>44827</v>
      </c>
      <c r="D269">
        <v>100.05999799999999</v>
      </c>
      <c r="E269">
        <v>100.110001</v>
      </c>
      <c r="F269">
        <v>98.010002</v>
      </c>
      <c r="G269">
        <v>99.169998000000007</v>
      </c>
      <c r="H269">
        <v>25657000</v>
      </c>
      <c r="I269">
        <v>0</v>
      </c>
      <c r="J269">
        <v>-1.4</v>
      </c>
    </row>
    <row r="270" spans="1:10" x14ac:dyDescent="0.2">
      <c r="A270" t="s">
        <v>1051</v>
      </c>
      <c r="B270" t="s">
        <v>1305</v>
      </c>
      <c r="C270" s="9">
        <v>44830</v>
      </c>
      <c r="D270">
        <v>98.610000999999997</v>
      </c>
      <c r="E270">
        <v>100.44000200000001</v>
      </c>
      <c r="F270">
        <v>98.379997000000003</v>
      </c>
      <c r="G270">
        <v>98.809997999999993</v>
      </c>
      <c r="H270">
        <v>22437900</v>
      </c>
      <c r="I270">
        <v>0</v>
      </c>
      <c r="J270">
        <v>-0.36</v>
      </c>
    </row>
    <row r="271" spans="1:10" x14ac:dyDescent="0.2">
      <c r="A271" t="s">
        <v>1052</v>
      </c>
      <c r="B271" t="s">
        <v>1304</v>
      </c>
      <c r="C271" s="9">
        <v>44831</v>
      </c>
      <c r="D271">
        <v>99.910004000000001</v>
      </c>
      <c r="E271">
        <v>100.459999</v>
      </c>
      <c r="F271">
        <v>97.339995999999999</v>
      </c>
      <c r="G271">
        <v>98.089995999999999</v>
      </c>
      <c r="H271">
        <v>24225000</v>
      </c>
      <c r="I271">
        <v>0</v>
      </c>
      <c r="J271">
        <v>-0.72</v>
      </c>
    </row>
    <row r="272" spans="1:10" x14ac:dyDescent="0.2">
      <c r="A272" t="s">
        <v>1053</v>
      </c>
      <c r="B272" t="s">
        <v>1301</v>
      </c>
      <c r="C272" s="9">
        <v>44832</v>
      </c>
      <c r="D272">
        <v>98.019997000000004</v>
      </c>
      <c r="E272">
        <v>101.400002</v>
      </c>
      <c r="F272">
        <v>97.800003000000004</v>
      </c>
      <c r="G272">
        <v>100.739998</v>
      </c>
      <c r="H272">
        <v>24617000</v>
      </c>
      <c r="I272">
        <v>0</v>
      </c>
      <c r="J272">
        <v>2.65</v>
      </c>
    </row>
    <row r="273" spans="1:10" x14ac:dyDescent="0.2">
      <c r="A273" t="s">
        <v>1054</v>
      </c>
      <c r="B273" t="s">
        <v>1302</v>
      </c>
      <c r="C273" s="9">
        <v>44833</v>
      </c>
      <c r="D273">
        <v>99.300003000000004</v>
      </c>
      <c r="E273">
        <v>99.300003000000004</v>
      </c>
      <c r="F273">
        <v>96.519997000000004</v>
      </c>
      <c r="G273">
        <v>98.089995999999999</v>
      </c>
      <c r="H273">
        <v>21921500</v>
      </c>
      <c r="I273">
        <v>0</v>
      </c>
      <c r="J273">
        <v>-2.65</v>
      </c>
    </row>
    <row r="274" spans="1:10" x14ac:dyDescent="0.2">
      <c r="A274" t="s">
        <v>1055</v>
      </c>
      <c r="B274" t="s">
        <v>1303</v>
      </c>
      <c r="C274" s="9">
        <v>44834</v>
      </c>
      <c r="D274">
        <v>97.730002999999996</v>
      </c>
      <c r="E274">
        <v>99.494003000000006</v>
      </c>
      <c r="F274">
        <v>96.029999000000004</v>
      </c>
      <c r="G274">
        <v>96.150002000000001</v>
      </c>
      <c r="H274">
        <v>26277800</v>
      </c>
      <c r="I274">
        <v>0</v>
      </c>
      <c r="J274">
        <v>-1.94</v>
      </c>
    </row>
    <row r="275" spans="1:10" x14ac:dyDescent="0.2">
      <c r="A275" t="s">
        <v>1056</v>
      </c>
      <c r="B275" t="s">
        <v>1305</v>
      </c>
      <c r="C275" s="9">
        <v>44837</v>
      </c>
      <c r="D275">
        <v>97.220000999999996</v>
      </c>
      <c r="E275">
        <v>99.970000999999996</v>
      </c>
      <c r="F275">
        <v>97.019997000000004</v>
      </c>
      <c r="G275">
        <v>99.300003000000004</v>
      </c>
      <c r="H275">
        <v>24840000</v>
      </c>
      <c r="I275">
        <v>0</v>
      </c>
      <c r="J275">
        <v>3.15</v>
      </c>
    </row>
    <row r="276" spans="1:10" x14ac:dyDescent="0.2">
      <c r="A276" t="s">
        <v>1057</v>
      </c>
      <c r="B276" t="s">
        <v>1304</v>
      </c>
      <c r="C276" s="9">
        <v>44838</v>
      </c>
      <c r="D276">
        <v>101.040001</v>
      </c>
      <c r="E276">
        <v>102.720001</v>
      </c>
      <c r="F276">
        <v>101.040001</v>
      </c>
      <c r="G276">
        <v>102.410004</v>
      </c>
      <c r="H276">
        <v>22580900</v>
      </c>
      <c r="I276">
        <v>0</v>
      </c>
      <c r="J276">
        <v>3.11</v>
      </c>
    </row>
    <row r="277" spans="1:10" x14ac:dyDescent="0.2">
      <c r="A277" t="s">
        <v>1058</v>
      </c>
      <c r="B277" t="s">
        <v>1301</v>
      </c>
      <c r="C277" s="9">
        <v>44839</v>
      </c>
      <c r="D277">
        <v>100.69000200000001</v>
      </c>
      <c r="E277">
        <v>102.739998</v>
      </c>
      <c r="F277">
        <v>99.739998</v>
      </c>
      <c r="G277">
        <v>102.220001</v>
      </c>
      <c r="H277">
        <v>18475500</v>
      </c>
      <c r="I277">
        <v>0</v>
      </c>
      <c r="J277">
        <v>-0.19</v>
      </c>
    </row>
    <row r="278" spans="1:10" x14ac:dyDescent="0.2">
      <c r="A278" t="s">
        <v>1059</v>
      </c>
      <c r="B278" t="s">
        <v>1302</v>
      </c>
      <c r="C278" s="9">
        <v>44840</v>
      </c>
      <c r="D278">
        <v>101.5</v>
      </c>
      <c r="E278">
        <v>103.730003</v>
      </c>
      <c r="F278">
        <v>101.5</v>
      </c>
      <c r="G278">
        <v>102.239998</v>
      </c>
      <c r="H278">
        <v>17156200</v>
      </c>
      <c r="I278">
        <v>0</v>
      </c>
      <c r="J278">
        <v>0.02</v>
      </c>
    </row>
    <row r="279" spans="1:10" x14ac:dyDescent="0.2">
      <c r="A279" t="s">
        <v>1060</v>
      </c>
      <c r="B279" t="s">
        <v>1303</v>
      </c>
      <c r="C279" s="9">
        <v>44841</v>
      </c>
      <c r="D279">
        <v>100.650002</v>
      </c>
      <c r="E279">
        <v>101.41999800000001</v>
      </c>
      <c r="F279">
        <v>99.209998999999996</v>
      </c>
      <c r="G279">
        <v>99.57</v>
      </c>
      <c r="H279">
        <v>24249900</v>
      </c>
      <c r="I279">
        <v>0</v>
      </c>
      <c r="J279">
        <v>-2.67</v>
      </c>
    </row>
    <row r="280" spans="1:10" x14ac:dyDescent="0.2">
      <c r="A280" t="s">
        <v>1061</v>
      </c>
      <c r="B280" t="s">
        <v>1305</v>
      </c>
      <c r="C280" s="9">
        <v>44844</v>
      </c>
      <c r="D280">
        <v>99.849997999999999</v>
      </c>
      <c r="E280">
        <v>99.989998</v>
      </c>
      <c r="F280">
        <v>97.870002999999997</v>
      </c>
      <c r="G280">
        <v>98.709998999999996</v>
      </c>
      <c r="H280">
        <v>16529900</v>
      </c>
      <c r="I280">
        <v>0</v>
      </c>
      <c r="J280">
        <v>-0.86</v>
      </c>
    </row>
    <row r="281" spans="1:10" x14ac:dyDescent="0.2">
      <c r="A281" t="s">
        <v>1062</v>
      </c>
      <c r="B281" t="s">
        <v>1304</v>
      </c>
      <c r="C281" s="9">
        <v>44845</v>
      </c>
      <c r="D281">
        <v>98.25</v>
      </c>
      <c r="E281">
        <v>100.120003</v>
      </c>
      <c r="F281">
        <v>97.25</v>
      </c>
      <c r="G281">
        <v>98.050003000000004</v>
      </c>
      <c r="H281">
        <v>21617700</v>
      </c>
      <c r="I281">
        <v>0</v>
      </c>
      <c r="J281">
        <v>-0.66</v>
      </c>
    </row>
    <row r="282" spans="1:10" x14ac:dyDescent="0.2">
      <c r="A282" t="s">
        <v>1063</v>
      </c>
      <c r="B282" t="s">
        <v>1301</v>
      </c>
      <c r="C282" s="9">
        <v>44846</v>
      </c>
      <c r="D282">
        <v>98.269997000000004</v>
      </c>
      <c r="E282">
        <v>99.648003000000003</v>
      </c>
      <c r="F282">
        <v>97.669998000000007</v>
      </c>
      <c r="G282">
        <v>98.300003000000004</v>
      </c>
      <c r="H282">
        <v>17343400</v>
      </c>
      <c r="I282">
        <v>0</v>
      </c>
      <c r="J282">
        <v>0.25</v>
      </c>
    </row>
    <row r="283" spans="1:10" x14ac:dyDescent="0.2">
      <c r="A283" t="s">
        <v>1064</v>
      </c>
      <c r="B283" t="s">
        <v>1302</v>
      </c>
      <c r="C283" s="9">
        <v>44847</v>
      </c>
      <c r="D283">
        <v>95.93</v>
      </c>
      <c r="E283">
        <v>100.529999</v>
      </c>
      <c r="F283">
        <v>95.269997000000004</v>
      </c>
      <c r="G283">
        <v>99.709998999999996</v>
      </c>
      <c r="H283">
        <v>32812200</v>
      </c>
      <c r="I283">
        <v>0</v>
      </c>
      <c r="J283">
        <v>1.41</v>
      </c>
    </row>
    <row r="284" spans="1:10" x14ac:dyDescent="0.2">
      <c r="A284" t="s">
        <v>1065</v>
      </c>
      <c r="B284" t="s">
        <v>1303</v>
      </c>
      <c r="C284" s="9">
        <v>44848</v>
      </c>
      <c r="D284">
        <v>100.625</v>
      </c>
      <c r="E284">
        <v>101.290001</v>
      </c>
      <c r="F284">
        <v>97.029999000000004</v>
      </c>
      <c r="G284">
        <v>97.18</v>
      </c>
      <c r="H284">
        <v>22624800</v>
      </c>
      <c r="I284">
        <v>0</v>
      </c>
      <c r="J284">
        <v>-2.5299999999999998</v>
      </c>
    </row>
    <row r="285" spans="1:10" x14ac:dyDescent="0.2">
      <c r="A285" t="s">
        <v>1066</v>
      </c>
      <c r="B285" t="s">
        <v>1305</v>
      </c>
      <c r="C285" s="9">
        <v>44851</v>
      </c>
      <c r="D285">
        <v>99.519997000000004</v>
      </c>
      <c r="E285">
        <v>101.769997</v>
      </c>
      <c r="F285">
        <v>99.510002</v>
      </c>
      <c r="G285">
        <v>100.779999</v>
      </c>
      <c r="H285">
        <v>23311600</v>
      </c>
      <c r="I285">
        <v>0</v>
      </c>
      <c r="J285">
        <v>3.6</v>
      </c>
    </row>
    <row r="286" spans="1:10" x14ac:dyDescent="0.2">
      <c r="A286" t="s">
        <v>1067</v>
      </c>
      <c r="B286" t="s">
        <v>1304</v>
      </c>
      <c r="C286" s="9">
        <v>44852</v>
      </c>
      <c r="D286">
        <v>103.94000200000001</v>
      </c>
      <c r="E286">
        <v>104.220001</v>
      </c>
      <c r="F286">
        <v>100.650002</v>
      </c>
      <c r="G286">
        <v>101.389999</v>
      </c>
      <c r="H286">
        <v>21610500</v>
      </c>
      <c r="I286">
        <v>0</v>
      </c>
      <c r="J286">
        <v>0.61</v>
      </c>
    </row>
    <row r="287" spans="1:10" x14ac:dyDescent="0.2">
      <c r="A287" t="s">
        <v>1068</v>
      </c>
      <c r="B287" t="s">
        <v>1301</v>
      </c>
      <c r="C287" s="9">
        <v>44853</v>
      </c>
      <c r="D287">
        <v>100.699997</v>
      </c>
      <c r="E287">
        <v>101.658997</v>
      </c>
      <c r="F287">
        <v>99.635002</v>
      </c>
      <c r="G287">
        <v>100.290001</v>
      </c>
      <c r="H287">
        <v>21573700</v>
      </c>
      <c r="I287">
        <v>0</v>
      </c>
      <c r="J287">
        <v>-1.1000000000000001</v>
      </c>
    </row>
    <row r="288" spans="1:10" x14ac:dyDescent="0.2">
      <c r="A288" t="s">
        <v>1069</v>
      </c>
      <c r="B288" t="s">
        <v>1302</v>
      </c>
      <c r="C288" s="9">
        <v>44854</v>
      </c>
      <c r="D288">
        <v>100.82</v>
      </c>
      <c r="E288">
        <v>103</v>
      </c>
      <c r="F288">
        <v>99.970000999999996</v>
      </c>
      <c r="G288">
        <v>100.529999</v>
      </c>
      <c r="H288">
        <v>25125100</v>
      </c>
      <c r="I288">
        <v>0</v>
      </c>
      <c r="J288">
        <v>0.24</v>
      </c>
    </row>
    <row r="289" spans="1:10" x14ac:dyDescent="0.2">
      <c r="A289" t="s">
        <v>1070</v>
      </c>
      <c r="B289" t="s">
        <v>1303</v>
      </c>
      <c r="C289" s="9">
        <v>44855</v>
      </c>
      <c r="D289">
        <v>98.459998999999996</v>
      </c>
      <c r="E289">
        <v>101.620003</v>
      </c>
      <c r="F289">
        <v>98.230002999999996</v>
      </c>
      <c r="G289">
        <v>101.480003</v>
      </c>
      <c r="H289">
        <v>28988700</v>
      </c>
      <c r="I289">
        <v>0</v>
      </c>
      <c r="J289">
        <v>0.95</v>
      </c>
    </row>
    <row r="290" spans="1:10" x14ac:dyDescent="0.2">
      <c r="A290" t="s">
        <v>1071</v>
      </c>
      <c r="B290" t="s">
        <v>1305</v>
      </c>
      <c r="C290" s="9">
        <v>44858</v>
      </c>
      <c r="D290">
        <v>102.089996</v>
      </c>
      <c r="E290">
        <v>103.099998</v>
      </c>
      <c r="F290">
        <v>100.300003</v>
      </c>
      <c r="G290">
        <v>102.970001</v>
      </c>
      <c r="H290">
        <v>24680800</v>
      </c>
      <c r="I290">
        <v>0</v>
      </c>
      <c r="J290">
        <v>1.49</v>
      </c>
    </row>
    <row r="291" spans="1:10" x14ac:dyDescent="0.2">
      <c r="A291" t="s">
        <v>1072</v>
      </c>
      <c r="B291" t="s">
        <v>1304</v>
      </c>
      <c r="C291" s="9">
        <v>44859</v>
      </c>
      <c r="D291">
        <v>103.300003</v>
      </c>
      <c r="E291">
        <v>105.099998</v>
      </c>
      <c r="F291">
        <v>103.019997</v>
      </c>
      <c r="G291">
        <v>104.93</v>
      </c>
      <c r="H291">
        <v>29910200</v>
      </c>
      <c r="I291">
        <v>0</v>
      </c>
      <c r="J291">
        <v>1.96</v>
      </c>
    </row>
    <row r="292" spans="1:10" x14ac:dyDescent="0.2">
      <c r="A292" t="s">
        <v>1073</v>
      </c>
      <c r="B292" t="s">
        <v>1301</v>
      </c>
      <c r="C292" s="9">
        <v>44860</v>
      </c>
      <c r="D292">
        <v>96.760002</v>
      </c>
      <c r="E292">
        <v>98.540001000000004</v>
      </c>
      <c r="F292">
        <v>94.57</v>
      </c>
      <c r="G292">
        <v>94.82</v>
      </c>
      <c r="H292">
        <v>71504300</v>
      </c>
      <c r="I292">
        <v>0</v>
      </c>
      <c r="J292">
        <v>-10.11</v>
      </c>
    </row>
    <row r="293" spans="1:10" x14ac:dyDescent="0.2">
      <c r="A293" t="s">
        <v>1074</v>
      </c>
      <c r="B293" t="s">
        <v>1302</v>
      </c>
      <c r="C293" s="9">
        <v>44861</v>
      </c>
      <c r="D293">
        <v>94.309997999999993</v>
      </c>
      <c r="E293">
        <v>95.169998000000007</v>
      </c>
      <c r="F293">
        <v>91.900002000000001</v>
      </c>
      <c r="G293">
        <v>92.599997999999999</v>
      </c>
      <c r="H293">
        <v>54036500</v>
      </c>
      <c r="I293">
        <v>0</v>
      </c>
      <c r="J293">
        <v>-2.2200000000000002</v>
      </c>
    </row>
    <row r="294" spans="1:10" x14ac:dyDescent="0.2">
      <c r="A294" t="s">
        <v>1075</v>
      </c>
      <c r="B294" t="s">
        <v>1303</v>
      </c>
      <c r="C294" s="9">
        <v>44862</v>
      </c>
      <c r="D294">
        <v>92.529999000000004</v>
      </c>
      <c r="E294">
        <v>96.860000999999997</v>
      </c>
      <c r="F294">
        <v>92.322997999999998</v>
      </c>
      <c r="G294">
        <v>96.580001999999993</v>
      </c>
      <c r="H294">
        <v>35696900</v>
      </c>
      <c r="I294">
        <v>0</v>
      </c>
      <c r="J294">
        <v>3.98</v>
      </c>
    </row>
    <row r="295" spans="1:10" x14ac:dyDescent="0.2">
      <c r="A295" t="s">
        <v>1076</v>
      </c>
      <c r="B295" t="s">
        <v>1305</v>
      </c>
      <c r="C295" s="9">
        <v>44865</v>
      </c>
      <c r="D295">
        <v>95.779999000000004</v>
      </c>
      <c r="E295">
        <v>96.349997999999999</v>
      </c>
      <c r="F295">
        <v>94.379997000000003</v>
      </c>
      <c r="G295">
        <v>94.660004000000001</v>
      </c>
      <c r="H295">
        <v>29868700</v>
      </c>
      <c r="I295">
        <v>0</v>
      </c>
      <c r="J295">
        <v>-1.92</v>
      </c>
    </row>
    <row r="296" spans="1:10" x14ac:dyDescent="0.2">
      <c r="A296" t="s">
        <v>1077</v>
      </c>
      <c r="B296" t="s">
        <v>1304</v>
      </c>
      <c r="C296" s="9">
        <v>44866</v>
      </c>
      <c r="D296">
        <v>95.589995999999999</v>
      </c>
      <c r="E296">
        <v>96.165001000000004</v>
      </c>
      <c r="F296">
        <v>90.43</v>
      </c>
      <c r="G296">
        <v>90.5</v>
      </c>
      <c r="H296">
        <v>43220600</v>
      </c>
      <c r="I296">
        <v>0</v>
      </c>
      <c r="J296">
        <v>-4.16</v>
      </c>
    </row>
    <row r="297" spans="1:10" x14ac:dyDescent="0.2">
      <c r="A297" t="s">
        <v>1078</v>
      </c>
      <c r="B297" t="s">
        <v>1301</v>
      </c>
      <c r="C297" s="9">
        <v>44867</v>
      </c>
      <c r="D297">
        <v>90.910004000000001</v>
      </c>
      <c r="E297">
        <v>91.300003000000004</v>
      </c>
      <c r="F297">
        <v>87.010002</v>
      </c>
      <c r="G297">
        <v>87.07</v>
      </c>
      <c r="H297">
        <v>43553600</v>
      </c>
      <c r="I297">
        <v>0</v>
      </c>
      <c r="J297">
        <v>-3.43</v>
      </c>
    </row>
    <row r="298" spans="1:10" x14ac:dyDescent="0.2">
      <c r="A298" t="s">
        <v>1079</v>
      </c>
      <c r="B298" t="s">
        <v>1302</v>
      </c>
      <c r="C298" s="9">
        <v>44868</v>
      </c>
      <c r="D298">
        <v>86.345000999999996</v>
      </c>
      <c r="E298">
        <v>86.550003000000004</v>
      </c>
      <c r="F298">
        <v>83.449996999999996</v>
      </c>
      <c r="G298">
        <v>83.489998</v>
      </c>
      <c r="H298">
        <v>48510400</v>
      </c>
      <c r="I298">
        <v>0</v>
      </c>
      <c r="J298">
        <v>-3.58</v>
      </c>
    </row>
    <row r="299" spans="1:10" x14ac:dyDescent="0.2">
      <c r="A299" t="s">
        <v>1080</v>
      </c>
      <c r="B299" t="s">
        <v>1303</v>
      </c>
      <c r="C299" s="9">
        <v>44869</v>
      </c>
      <c r="D299">
        <v>85.510002</v>
      </c>
      <c r="E299">
        <v>86.730002999999996</v>
      </c>
      <c r="F299">
        <v>83.879997000000003</v>
      </c>
      <c r="G299">
        <v>86.699996999999996</v>
      </c>
      <c r="H299">
        <v>40173300</v>
      </c>
      <c r="I299">
        <v>0</v>
      </c>
      <c r="J299">
        <v>3.21</v>
      </c>
    </row>
    <row r="300" spans="1:10" x14ac:dyDescent="0.2">
      <c r="A300" t="s">
        <v>1081</v>
      </c>
      <c r="B300" t="s">
        <v>1305</v>
      </c>
      <c r="C300" s="9">
        <v>44872</v>
      </c>
      <c r="D300">
        <v>87.339995999999999</v>
      </c>
      <c r="E300">
        <v>88.940002000000007</v>
      </c>
      <c r="F300">
        <v>86.959998999999996</v>
      </c>
      <c r="G300">
        <v>88.650002000000001</v>
      </c>
      <c r="H300">
        <v>26899900</v>
      </c>
      <c r="I300">
        <v>0</v>
      </c>
      <c r="J300">
        <v>1.95</v>
      </c>
    </row>
    <row r="301" spans="1:10" x14ac:dyDescent="0.2">
      <c r="A301" t="s">
        <v>1082</v>
      </c>
      <c r="B301" t="s">
        <v>1304</v>
      </c>
      <c r="C301" s="9">
        <v>44873</v>
      </c>
      <c r="D301">
        <v>89.160004000000001</v>
      </c>
      <c r="E301">
        <v>90.404999000000004</v>
      </c>
      <c r="F301">
        <v>87.650002000000001</v>
      </c>
      <c r="G301">
        <v>88.910004000000001</v>
      </c>
      <c r="H301">
        <v>30172000</v>
      </c>
      <c r="I301">
        <v>0</v>
      </c>
      <c r="J301">
        <v>0.26</v>
      </c>
    </row>
    <row r="302" spans="1:10" x14ac:dyDescent="0.2">
      <c r="A302" t="s">
        <v>1083</v>
      </c>
      <c r="B302" t="s">
        <v>1301</v>
      </c>
      <c r="C302" s="9">
        <v>44874</v>
      </c>
      <c r="D302">
        <v>88.544998000000007</v>
      </c>
      <c r="E302">
        <v>89.489998</v>
      </c>
      <c r="F302">
        <v>87.360000999999997</v>
      </c>
      <c r="G302">
        <v>87.400002000000001</v>
      </c>
      <c r="H302">
        <v>26743900</v>
      </c>
      <c r="I302">
        <v>0</v>
      </c>
      <c r="J302">
        <v>-1.51</v>
      </c>
    </row>
    <row r="303" spans="1:10" x14ac:dyDescent="0.2">
      <c r="A303" t="s">
        <v>1084</v>
      </c>
      <c r="B303" t="s">
        <v>1302</v>
      </c>
      <c r="C303" s="9">
        <v>44875</v>
      </c>
      <c r="D303">
        <v>92.339995999999999</v>
      </c>
      <c r="E303">
        <v>94.550003000000004</v>
      </c>
      <c r="F303">
        <v>91.650002000000001</v>
      </c>
      <c r="G303">
        <v>94.169998000000007</v>
      </c>
      <c r="H303">
        <v>42371200</v>
      </c>
      <c r="I303">
        <v>0</v>
      </c>
      <c r="J303">
        <v>6.77</v>
      </c>
    </row>
    <row r="304" spans="1:10" x14ac:dyDescent="0.2">
      <c r="A304" t="s">
        <v>1085</v>
      </c>
      <c r="B304" t="s">
        <v>1303</v>
      </c>
      <c r="C304" s="9">
        <v>44876</v>
      </c>
      <c r="D304">
        <v>94.709998999999996</v>
      </c>
      <c r="E304">
        <v>97.360000999999997</v>
      </c>
      <c r="F304">
        <v>94.160004000000001</v>
      </c>
      <c r="G304">
        <v>96.730002999999996</v>
      </c>
      <c r="H304">
        <v>30569100</v>
      </c>
      <c r="I304">
        <v>0</v>
      </c>
      <c r="J304">
        <v>2.56</v>
      </c>
    </row>
    <row r="305" spans="1:10" x14ac:dyDescent="0.2">
      <c r="A305" t="s">
        <v>1086</v>
      </c>
      <c r="B305" t="s">
        <v>1305</v>
      </c>
      <c r="C305" s="9">
        <v>44879</v>
      </c>
      <c r="D305">
        <v>95.5</v>
      </c>
      <c r="E305">
        <v>97.18</v>
      </c>
      <c r="F305">
        <v>95.112999000000002</v>
      </c>
      <c r="G305">
        <v>96.029999000000004</v>
      </c>
      <c r="H305">
        <v>24170100</v>
      </c>
      <c r="I305">
        <v>0</v>
      </c>
      <c r="J305">
        <v>-0.7</v>
      </c>
    </row>
    <row r="306" spans="1:10" x14ac:dyDescent="0.2">
      <c r="A306" t="s">
        <v>1087</v>
      </c>
      <c r="B306" t="s">
        <v>1304</v>
      </c>
      <c r="C306" s="9">
        <v>44880</v>
      </c>
      <c r="D306">
        <v>98.669998000000007</v>
      </c>
      <c r="E306">
        <v>100.41999800000001</v>
      </c>
      <c r="F306">
        <v>97.019997000000004</v>
      </c>
      <c r="G306">
        <v>98.720000999999996</v>
      </c>
      <c r="H306">
        <v>31831000</v>
      </c>
      <c r="I306">
        <v>0</v>
      </c>
      <c r="J306">
        <v>2.69</v>
      </c>
    </row>
    <row r="307" spans="1:10" x14ac:dyDescent="0.2">
      <c r="A307" t="s">
        <v>1088</v>
      </c>
      <c r="B307" t="s">
        <v>1301</v>
      </c>
      <c r="C307" s="9">
        <v>44881</v>
      </c>
      <c r="D307">
        <v>98.019997000000004</v>
      </c>
      <c r="E307">
        <v>99.849997999999999</v>
      </c>
      <c r="F307">
        <v>97.902000000000001</v>
      </c>
      <c r="G307">
        <v>98.989998</v>
      </c>
      <c r="H307">
        <v>24660200</v>
      </c>
      <c r="I307">
        <v>0</v>
      </c>
      <c r="J307">
        <v>0.27</v>
      </c>
    </row>
    <row r="308" spans="1:10" x14ac:dyDescent="0.2">
      <c r="A308" t="s">
        <v>1089</v>
      </c>
      <c r="B308" t="s">
        <v>1302</v>
      </c>
      <c r="C308" s="9">
        <v>44882</v>
      </c>
      <c r="D308">
        <v>97.18</v>
      </c>
      <c r="E308">
        <v>99.480002999999996</v>
      </c>
      <c r="F308">
        <v>97.099997999999999</v>
      </c>
      <c r="G308">
        <v>98.5</v>
      </c>
      <c r="H308">
        <v>21818700</v>
      </c>
      <c r="I308">
        <v>0</v>
      </c>
      <c r="J308">
        <v>-0.49</v>
      </c>
    </row>
    <row r="309" spans="1:10" x14ac:dyDescent="0.2">
      <c r="A309" t="s">
        <v>1090</v>
      </c>
      <c r="B309" t="s">
        <v>1303</v>
      </c>
      <c r="C309" s="9">
        <v>44883</v>
      </c>
      <c r="D309">
        <v>99.010002</v>
      </c>
      <c r="E309">
        <v>99.160004000000001</v>
      </c>
      <c r="F309">
        <v>96.739998</v>
      </c>
      <c r="G309">
        <v>97.800003000000004</v>
      </c>
      <c r="H309">
        <v>24969900</v>
      </c>
      <c r="I309">
        <v>0</v>
      </c>
      <c r="J309">
        <v>-0.7</v>
      </c>
    </row>
    <row r="310" spans="1:10" x14ac:dyDescent="0.2">
      <c r="A310" t="s">
        <v>1091</v>
      </c>
      <c r="B310" t="s">
        <v>1305</v>
      </c>
      <c r="C310" s="9">
        <v>44886</v>
      </c>
      <c r="D310">
        <v>97.559997999999993</v>
      </c>
      <c r="E310">
        <v>98.720000999999996</v>
      </c>
      <c r="F310">
        <v>95.669998000000007</v>
      </c>
      <c r="G310">
        <v>95.830001999999993</v>
      </c>
      <c r="H310">
        <v>18696900</v>
      </c>
      <c r="I310">
        <v>0</v>
      </c>
      <c r="J310">
        <v>-1.97</v>
      </c>
    </row>
    <row r="311" spans="1:10" x14ac:dyDescent="0.2">
      <c r="A311" t="s">
        <v>1092</v>
      </c>
      <c r="B311" t="s">
        <v>1304</v>
      </c>
      <c r="C311" s="9">
        <v>44887</v>
      </c>
      <c r="D311">
        <v>96.160004000000001</v>
      </c>
      <c r="E311">
        <v>97.547996999999995</v>
      </c>
      <c r="F311">
        <v>94.410004000000001</v>
      </c>
      <c r="G311">
        <v>97.330001999999993</v>
      </c>
      <c r="H311">
        <v>18868900</v>
      </c>
      <c r="I311">
        <v>0</v>
      </c>
      <c r="J311">
        <v>1.5</v>
      </c>
    </row>
    <row r="312" spans="1:10" x14ac:dyDescent="0.2">
      <c r="A312" t="s">
        <v>1093</v>
      </c>
      <c r="B312" t="s">
        <v>1301</v>
      </c>
      <c r="C312" s="9">
        <v>44888</v>
      </c>
      <c r="D312">
        <v>97.339995999999999</v>
      </c>
      <c r="E312">
        <v>99.069000000000003</v>
      </c>
      <c r="F312">
        <v>97.339995999999999</v>
      </c>
      <c r="G312">
        <v>98.82</v>
      </c>
      <c r="H312">
        <v>17568900</v>
      </c>
      <c r="I312">
        <v>0</v>
      </c>
      <c r="J312">
        <v>1.49</v>
      </c>
    </row>
    <row r="313" spans="1:10" x14ac:dyDescent="0.2">
      <c r="A313" t="s">
        <v>1094</v>
      </c>
      <c r="B313" t="s">
        <v>1303</v>
      </c>
      <c r="C313" s="9">
        <v>44890</v>
      </c>
      <c r="D313">
        <v>98.464995999999999</v>
      </c>
      <c r="E313">
        <v>98.940002000000007</v>
      </c>
      <c r="F313">
        <v>97.529999000000004</v>
      </c>
      <c r="G313">
        <v>97.599997999999999</v>
      </c>
      <c r="H313">
        <v>8567800</v>
      </c>
      <c r="I313">
        <v>0</v>
      </c>
      <c r="J313">
        <v>-1.22</v>
      </c>
    </row>
    <row r="314" spans="1:10" x14ac:dyDescent="0.2">
      <c r="A314" t="s">
        <v>1095</v>
      </c>
      <c r="B314" t="s">
        <v>1305</v>
      </c>
      <c r="C314" s="9">
        <v>44893</v>
      </c>
      <c r="D314">
        <v>97.199996999999996</v>
      </c>
      <c r="E314">
        <v>97.830001999999993</v>
      </c>
      <c r="F314">
        <v>95.889999000000003</v>
      </c>
      <c r="G314">
        <v>96.25</v>
      </c>
      <c r="H314">
        <v>19974500</v>
      </c>
      <c r="I314">
        <v>0</v>
      </c>
      <c r="J314">
        <v>-1.35</v>
      </c>
    </row>
    <row r="315" spans="1:10" x14ac:dyDescent="0.2">
      <c r="A315" t="s">
        <v>1096</v>
      </c>
      <c r="B315" t="s">
        <v>1304</v>
      </c>
      <c r="C315" s="9">
        <v>44894</v>
      </c>
      <c r="D315">
        <v>96</v>
      </c>
      <c r="E315">
        <v>96.389999000000003</v>
      </c>
      <c r="F315">
        <v>94.389999000000003</v>
      </c>
      <c r="G315">
        <v>95.440002000000007</v>
      </c>
      <c r="H315">
        <v>20220000</v>
      </c>
      <c r="I315">
        <v>0</v>
      </c>
      <c r="J315">
        <v>-0.81</v>
      </c>
    </row>
    <row r="316" spans="1:10" x14ac:dyDescent="0.2">
      <c r="A316" t="s">
        <v>1097</v>
      </c>
      <c r="B316" t="s">
        <v>1301</v>
      </c>
      <c r="C316" s="9">
        <v>44895</v>
      </c>
      <c r="D316">
        <v>95.120002999999997</v>
      </c>
      <c r="E316">
        <v>101.449997</v>
      </c>
      <c r="F316">
        <v>94.669998000000007</v>
      </c>
      <c r="G316">
        <v>101.449997</v>
      </c>
      <c r="H316">
        <v>39888100</v>
      </c>
      <c r="I316">
        <v>0</v>
      </c>
      <c r="J316">
        <v>6.01</v>
      </c>
    </row>
    <row r="317" spans="1:10" x14ac:dyDescent="0.2">
      <c r="A317" t="s">
        <v>1098</v>
      </c>
      <c r="B317" t="s">
        <v>1302</v>
      </c>
      <c r="C317" s="9">
        <v>44896</v>
      </c>
      <c r="D317">
        <v>101.400002</v>
      </c>
      <c r="E317">
        <v>102.589996</v>
      </c>
      <c r="F317">
        <v>100.66999800000001</v>
      </c>
      <c r="G317">
        <v>101.279999</v>
      </c>
      <c r="H317">
        <v>21771500</v>
      </c>
      <c r="I317">
        <v>0</v>
      </c>
      <c r="J317">
        <v>-0.17</v>
      </c>
    </row>
    <row r="318" spans="1:10" x14ac:dyDescent="0.2">
      <c r="A318" t="s">
        <v>1099</v>
      </c>
      <c r="B318" t="s">
        <v>1303</v>
      </c>
      <c r="C318" s="9">
        <v>44897</v>
      </c>
      <c r="D318">
        <v>99.370002999999997</v>
      </c>
      <c r="E318">
        <v>101.150002</v>
      </c>
      <c r="F318">
        <v>99.169998000000007</v>
      </c>
      <c r="G318">
        <v>100.83000199999999</v>
      </c>
      <c r="H318">
        <v>18821500</v>
      </c>
      <c r="I318">
        <v>0</v>
      </c>
      <c r="J318">
        <v>-0.45</v>
      </c>
    </row>
    <row r="319" spans="1:10" x14ac:dyDescent="0.2">
      <c r="A319" t="s">
        <v>1100</v>
      </c>
      <c r="B319" t="s">
        <v>1305</v>
      </c>
      <c r="C319" s="9">
        <v>44900</v>
      </c>
      <c r="D319">
        <v>99.815002000000007</v>
      </c>
      <c r="E319">
        <v>101.75</v>
      </c>
      <c r="F319">
        <v>99.355002999999996</v>
      </c>
      <c r="G319">
        <v>99.870002999999997</v>
      </c>
      <c r="H319">
        <v>19955500</v>
      </c>
      <c r="I319">
        <v>0</v>
      </c>
      <c r="J319">
        <v>-0.96</v>
      </c>
    </row>
    <row r="320" spans="1:10" x14ac:dyDescent="0.2">
      <c r="A320" t="s">
        <v>1101</v>
      </c>
      <c r="B320" t="s">
        <v>1304</v>
      </c>
      <c r="C320" s="9">
        <v>44901</v>
      </c>
      <c r="D320">
        <v>99.669998000000007</v>
      </c>
      <c r="E320">
        <v>100.209999</v>
      </c>
      <c r="F320">
        <v>96.760002</v>
      </c>
      <c r="G320">
        <v>97.309997999999993</v>
      </c>
      <c r="H320">
        <v>20877600</v>
      </c>
      <c r="I320">
        <v>0</v>
      </c>
      <c r="J320">
        <v>-2.56</v>
      </c>
    </row>
    <row r="321" spans="1:10" x14ac:dyDescent="0.2">
      <c r="A321" t="s">
        <v>1102</v>
      </c>
      <c r="B321" t="s">
        <v>1301</v>
      </c>
      <c r="C321" s="9">
        <v>44902</v>
      </c>
      <c r="D321">
        <v>96.769997000000004</v>
      </c>
      <c r="E321">
        <v>97.309997999999993</v>
      </c>
      <c r="F321">
        <v>95.025002000000001</v>
      </c>
      <c r="G321">
        <v>95.150002000000001</v>
      </c>
      <c r="H321">
        <v>26647900</v>
      </c>
      <c r="I321">
        <v>0</v>
      </c>
      <c r="J321">
        <v>-2.16</v>
      </c>
    </row>
    <row r="322" spans="1:10" x14ac:dyDescent="0.2">
      <c r="A322" t="s">
        <v>1103</v>
      </c>
      <c r="B322" t="s">
        <v>1302</v>
      </c>
      <c r="C322" s="9">
        <v>44903</v>
      </c>
      <c r="D322">
        <v>95.690002000000007</v>
      </c>
      <c r="E322">
        <v>95.870002999999997</v>
      </c>
      <c r="F322">
        <v>93.800003000000004</v>
      </c>
      <c r="G322">
        <v>93.949996999999996</v>
      </c>
      <c r="H322">
        <v>25593200</v>
      </c>
      <c r="I322">
        <v>0</v>
      </c>
      <c r="J322">
        <v>-1.2</v>
      </c>
    </row>
    <row r="323" spans="1:10" x14ac:dyDescent="0.2">
      <c r="A323" t="s">
        <v>1104</v>
      </c>
      <c r="B323" t="s">
        <v>1303</v>
      </c>
      <c r="C323" s="9">
        <v>44904</v>
      </c>
      <c r="D323">
        <v>93.900002000000001</v>
      </c>
      <c r="E323">
        <v>94.489998</v>
      </c>
      <c r="F323">
        <v>93.019997000000004</v>
      </c>
      <c r="G323">
        <v>93.07</v>
      </c>
      <c r="H323">
        <v>21885300</v>
      </c>
      <c r="I323">
        <v>0</v>
      </c>
      <c r="J323">
        <v>-0.88</v>
      </c>
    </row>
    <row r="324" spans="1:10" x14ac:dyDescent="0.2">
      <c r="A324" t="s">
        <v>1105</v>
      </c>
      <c r="B324" t="s">
        <v>1305</v>
      </c>
      <c r="C324" s="9">
        <v>44907</v>
      </c>
      <c r="D324">
        <v>93.089995999999999</v>
      </c>
      <c r="E324">
        <v>93.875</v>
      </c>
      <c r="F324">
        <v>91.900002000000001</v>
      </c>
      <c r="G324">
        <v>93.559997999999993</v>
      </c>
      <c r="H324">
        <v>27380900</v>
      </c>
      <c r="I324">
        <v>0</v>
      </c>
      <c r="J324">
        <v>0.49</v>
      </c>
    </row>
    <row r="325" spans="1:10" x14ac:dyDescent="0.2">
      <c r="A325" t="s">
        <v>1106</v>
      </c>
      <c r="B325" t="s">
        <v>1304</v>
      </c>
      <c r="C325" s="9">
        <v>44908</v>
      </c>
      <c r="D325">
        <v>98.07</v>
      </c>
      <c r="E325">
        <v>99.800003000000004</v>
      </c>
      <c r="F325">
        <v>95.379997000000003</v>
      </c>
      <c r="G325">
        <v>95.849997999999999</v>
      </c>
      <c r="H325">
        <v>34788500</v>
      </c>
      <c r="I325">
        <v>0</v>
      </c>
      <c r="J325">
        <v>2.29</v>
      </c>
    </row>
    <row r="326" spans="1:10" x14ac:dyDescent="0.2">
      <c r="A326" t="s">
        <v>1107</v>
      </c>
      <c r="B326" t="s">
        <v>1301</v>
      </c>
      <c r="C326" s="9">
        <v>44909</v>
      </c>
      <c r="D326">
        <v>95.540001000000004</v>
      </c>
      <c r="E326">
        <v>97.220000999999996</v>
      </c>
      <c r="F326">
        <v>93.940002000000007</v>
      </c>
      <c r="G326">
        <v>95.309997999999993</v>
      </c>
      <c r="H326">
        <v>26452900</v>
      </c>
      <c r="I326">
        <v>0</v>
      </c>
      <c r="J326">
        <v>-0.54</v>
      </c>
    </row>
    <row r="327" spans="1:10" x14ac:dyDescent="0.2">
      <c r="A327" t="s">
        <v>1108</v>
      </c>
      <c r="B327" t="s">
        <v>1302</v>
      </c>
      <c r="C327" s="9">
        <v>44910</v>
      </c>
      <c r="D327">
        <v>93.540001000000004</v>
      </c>
      <c r="E327">
        <v>94.029999000000004</v>
      </c>
      <c r="F327">
        <v>90.43</v>
      </c>
      <c r="G327">
        <v>91.199996999999996</v>
      </c>
      <c r="H327">
        <v>28298800</v>
      </c>
      <c r="I327">
        <v>0</v>
      </c>
      <c r="J327">
        <v>-4.1100000000000003</v>
      </c>
    </row>
    <row r="328" spans="1:10" x14ac:dyDescent="0.2">
      <c r="A328" t="s">
        <v>1109</v>
      </c>
      <c r="B328" t="s">
        <v>1303</v>
      </c>
      <c r="C328" s="9">
        <v>44911</v>
      </c>
      <c r="D328">
        <v>91.199996999999996</v>
      </c>
      <c r="E328">
        <v>91.75</v>
      </c>
      <c r="F328">
        <v>90.010002</v>
      </c>
      <c r="G328">
        <v>90.860000999999997</v>
      </c>
      <c r="H328">
        <v>48485500</v>
      </c>
      <c r="I328">
        <v>0</v>
      </c>
      <c r="J328">
        <v>-0.34</v>
      </c>
    </row>
    <row r="329" spans="1:10" x14ac:dyDescent="0.2">
      <c r="A329" t="s">
        <v>1110</v>
      </c>
      <c r="B329" t="s">
        <v>1305</v>
      </c>
      <c r="C329" s="9">
        <v>44914</v>
      </c>
      <c r="D329">
        <v>90.879997000000003</v>
      </c>
      <c r="E329">
        <v>91.199996999999996</v>
      </c>
      <c r="F329">
        <v>88.925003000000004</v>
      </c>
      <c r="G329">
        <v>89.150002000000001</v>
      </c>
      <c r="H329">
        <v>23020500</v>
      </c>
      <c r="I329">
        <v>0</v>
      </c>
      <c r="J329">
        <v>-1.71</v>
      </c>
    </row>
    <row r="330" spans="1:10" x14ac:dyDescent="0.2">
      <c r="A330" t="s">
        <v>1111</v>
      </c>
      <c r="B330" t="s">
        <v>1304</v>
      </c>
      <c r="C330" s="9">
        <v>44915</v>
      </c>
      <c r="D330">
        <v>88.730002999999996</v>
      </c>
      <c r="E330">
        <v>89.779999000000004</v>
      </c>
      <c r="F330">
        <v>88.040001000000004</v>
      </c>
      <c r="G330">
        <v>89.629997000000003</v>
      </c>
      <c r="H330">
        <v>21976800</v>
      </c>
      <c r="I330">
        <v>0</v>
      </c>
      <c r="J330">
        <v>0.48</v>
      </c>
    </row>
    <row r="331" spans="1:10" x14ac:dyDescent="0.2">
      <c r="A331" t="s">
        <v>1112</v>
      </c>
      <c r="B331" t="s">
        <v>1301</v>
      </c>
      <c r="C331" s="9">
        <v>44916</v>
      </c>
      <c r="D331">
        <v>89.730002999999996</v>
      </c>
      <c r="E331">
        <v>90.915001000000004</v>
      </c>
      <c r="F331">
        <v>88.910004000000001</v>
      </c>
      <c r="G331">
        <v>90.25</v>
      </c>
      <c r="H331">
        <v>20336400</v>
      </c>
      <c r="I331">
        <v>0</v>
      </c>
      <c r="J331">
        <v>0.62</v>
      </c>
    </row>
    <row r="332" spans="1:10" x14ac:dyDescent="0.2">
      <c r="A332" t="s">
        <v>1113</v>
      </c>
      <c r="B332" t="s">
        <v>1302</v>
      </c>
      <c r="C332" s="9">
        <v>44917</v>
      </c>
      <c r="D332">
        <v>88.93</v>
      </c>
      <c r="E332">
        <v>89.18</v>
      </c>
      <c r="F332">
        <v>86.940002000000007</v>
      </c>
      <c r="G332">
        <v>88.260002</v>
      </c>
      <c r="H332">
        <v>23656100</v>
      </c>
      <c r="I332">
        <v>0</v>
      </c>
      <c r="J332">
        <v>-1.99</v>
      </c>
    </row>
    <row r="333" spans="1:10" x14ac:dyDescent="0.2">
      <c r="A333" t="s">
        <v>1114</v>
      </c>
      <c r="B333" t="s">
        <v>1303</v>
      </c>
      <c r="C333" s="9">
        <v>44918</v>
      </c>
      <c r="D333">
        <v>87.620002999999997</v>
      </c>
      <c r="E333">
        <v>90.099997999999999</v>
      </c>
      <c r="F333">
        <v>87.620002999999997</v>
      </c>
      <c r="G333">
        <v>89.809997999999993</v>
      </c>
      <c r="H333">
        <v>17815000</v>
      </c>
      <c r="I333">
        <v>0</v>
      </c>
      <c r="J333">
        <v>1.55</v>
      </c>
    </row>
    <row r="334" spans="1:10" x14ac:dyDescent="0.2">
      <c r="A334" t="s">
        <v>1115</v>
      </c>
      <c r="B334" t="s">
        <v>1304</v>
      </c>
      <c r="C334" s="9">
        <v>44922</v>
      </c>
      <c r="D334">
        <v>89.309997999999993</v>
      </c>
      <c r="E334">
        <v>89.5</v>
      </c>
      <c r="F334">
        <v>87.535004000000001</v>
      </c>
      <c r="G334">
        <v>87.93</v>
      </c>
      <c r="H334">
        <v>15470900</v>
      </c>
      <c r="I334">
        <v>0</v>
      </c>
      <c r="J334">
        <v>-1.88</v>
      </c>
    </row>
    <row r="335" spans="1:10" x14ac:dyDescent="0.2">
      <c r="A335" t="s">
        <v>1116</v>
      </c>
      <c r="B335" t="s">
        <v>1301</v>
      </c>
      <c r="C335" s="9">
        <v>44923</v>
      </c>
      <c r="D335">
        <v>87.5</v>
      </c>
      <c r="E335">
        <v>88.519997000000004</v>
      </c>
      <c r="F335">
        <v>86.370002999999997</v>
      </c>
      <c r="G335">
        <v>86.459998999999996</v>
      </c>
      <c r="H335">
        <v>17879600</v>
      </c>
      <c r="I335">
        <v>0</v>
      </c>
      <c r="J335">
        <v>-1.47</v>
      </c>
    </row>
    <row r="336" spans="1:10" x14ac:dyDescent="0.2">
      <c r="A336" t="s">
        <v>1117</v>
      </c>
      <c r="B336" t="s">
        <v>1302</v>
      </c>
      <c r="C336" s="9">
        <v>44924</v>
      </c>
      <c r="D336">
        <v>87.029999000000004</v>
      </c>
      <c r="E336">
        <v>89.364998</v>
      </c>
      <c r="F336">
        <v>86.989998</v>
      </c>
      <c r="G336">
        <v>88.949996999999996</v>
      </c>
      <c r="H336">
        <v>18280700</v>
      </c>
      <c r="I336">
        <v>0</v>
      </c>
      <c r="J336">
        <v>2.4900000000000002</v>
      </c>
    </row>
    <row r="337" spans="1:10" x14ac:dyDescent="0.2">
      <c r="A337" t="s">
        <v>1118</v>
      </c>
      <c r="B337" t="s">
        <v>1303</v>
      </c>
      <c r="C337" s="9">
        <v>44925</v>
      </c>
      <c r="D337">
        <v>87.364998</v>
      </c>
      <c r="E337">
        <v>88.830001999999993</v>
      </c>
      <c r="F337">
        <v>87.029999000000004</v>
      </c>
      <c r="G337">
        <v>88.730002999999996</v>
      </c>
      <c r="H337">
        <v>19190300</v>
      </c>
      <c r="I337">
        <v>0</v>
      </c>
      <c r="J337">
        <v>-0.22</v>
      </c>
    </row>
    <row r="338" spans="1:10" x14ac:dyDescent="0.2">
      <c r="A338" t="s">
        <v>1119</v>
      </c>
      <c r="B338" t="s">
        <v>1304</v>
      </c>
      <c r="C338" s="9">
        <v>44929</v>
      </c>
      <c r="D338">
        <v>89.830001999999993</v>
      </c>
      <c r="E338">
        <v>91.550003000000004</v>
      </c>
      <c r="F338">
        <v>89.019997000000004</v>
      </c>
      <c r="G338">
        <v>89.699996999999996</v>
      </c>
      <c r="H338">
        <v>20738500</v>
      </c>
      <c r="I338">
        <v>0</v>
      </c>
      <c r="J338">
        <v>0.97</v>
      </c>
    </row>
    <row r="339" spans="1:10" x14ac:dyDescent="0.2">
      <c r="A339" t="s">
        <v>1120</v>
      </c>
      <c r="B339" t="s">
        <v>1301</v>
      </c>
      <c r="C339" s="9">
        <v>44930</v>
      </c>
      <c r="D339">
        <v>91.010002</v>
      </c>
      <c r="E339">
        <v>91.239998</v>
      </c>
      <c r="F339">
        <v>87.800003000000004</v>
      </c>
      <c r="G339">
        <v>88.709998999999996</v>
      </c>
      <c r="H339">
        <v>27046500</v>
      </c>
      <c r="I339">
        <v>0</v>
      </c>
      <c r="J339">
        <v>-0.99</v>
      </c>
    </row>
    <row r="340" spans="1:10" x14ac:dyDescent="0.2">
      <c r="A340" t="s">
        <v>1121</v>
      </c>
      <c r="B340" t="s">
        <v>1302</v>
      </c>
      <c r="C340" s="9">
        <v>44931</v>
      </c>
      <c r="D340">
        <v>88.07</v>
      </c>
      <c r="E340">
        <v>88.209998999999996</v>
      </c>
      <c r="F340">
        <v>86.559997999999993</v>
      </c>
      <c r="G340">
        <v>86.769997000000004</v>
      </c>
      <c r="H340">
        <v>23136100</v>
      </c>
      <c r="I340">
        <v>0</v>
      </c>
      <c r="J340">
        <v>-1.94</v>
      </c>
    </row>
    <row r="341" spans="1:10" x14ac:dyDescent="0.2">
      <c r="A341" t="s">
        <v>1122</v>
      </c>
      <c r="B341" t="s">
        <v>1303</v>
      </c>
      <c r="C341" s="9">
        <v>44932</v>
      </c>
      <c r="D341">
        <v>87.360000999999997</v>
      </c>
      <c r="E341">
        <v>88.470000999999996</v>
      </c>
      <c r="F341">
        <v>85.57</v>
      </c>
      <c r="G341">
        <v>88.160004000000001</v>
      </c>
      <c r="H341">
        <v>26612600</v>
      </c>
      <c r="I341">
        <v>0</v>
      </c>
      <c r="J341">
        <v>1.39</v>
      </c>
    </row>
    <row r="342" spans="1:10" x14ac:dyDescent="0.2">
      <c r="A342" t="s">
        <v>1123</v>
      </c>
      <c r="B342" t="s">
        <v>1305</v>
      </c>
      <c r="C342" s="9">
        <v>44935</v>
      </c>
      <c r="D342">
        <v>89.194999999999993</v>
      </c>
      <c r="E342">
        <v>90.830001999999993</v>
      </c>
      <c r="F342">
        <v>88.580001999999993</v>
      </c>
      <c r="G342">
        <v>88.800003000000004</v>
      </c>
      <c r="H342">
        <v>22996700</v>
      </c>
      <c r="I342">
        <v>0</v>
      </c>
      <c r="J342">
        <v>0.64</v>
      </c>
    </row>
    <row r="343" spans="1:10" x14ac:dyDescent="0.2">
      <c r="A343" t="s">
        <v>1124</v>
      </c>
      <c r="B343" t="s">
        <v>1304</v>
      </c>
      <c r="C343" s="9">
        <v>44936</v>
      </c>
      <c r="D343">
        <v>86.720000999999996</v>
      </c>
      <c r="E343">
        <v>89.474997999999999</v>
      </c>
      <c r="F343">
        <v>86.699996999999996</v>
      </c>
      <c r="G343">
        <v>89.239998</v>
      </c>
      <c r="H343">
        <v>22855600</v>
      </c>
      <c r="I343">
        <v>0</v>
      </c>
      <c r="J343">
        <v>0.44</v>
      </c>
    </row>
    <row r="344" spans="1:10" x14ac:dyDescent="0.2">
      <c r="A344" t="s">
        <v>1125</v>
      </c>
      <c r="B344" t="s">
        <v>1301</v>
      </c>
      <c r="C344" s="9">
        <v>44937</v>
      </c>
      <c r="D344">
        <v>90.059997999999993</v>
      </c>
      <c r="E344">
        <v>92.449996999999996</v>
      </c>
      <c r="F344">
        <v>89.739998</v>
      </c>
      <c r="G344">
        <v>92.260002</v>
      </c>
      <c r="H344">
        <v>25998800</v>
      </c>
      <c r="I344">
        <v>0</v>
      </c>
      <c r="J344">
        <v>3.02</v>
      </c>
    </row>
    <row r="345" spans="1:10" x14ac:dyDescent="0.2">
      <c r="A345" t="s">
        <v>1126</v>
      </c>
      <c r="B345" t="s">
        <v>1302</v>
      </c>
      <c r="C345" s="9">
        <v>44938</v>
      </c>
      <c r="D345">
        <v>92.400002000000001</v>
      </c>
      <c r="E345">
        <v>92.620002999999997</v>
      </c>
      <c r="F345">
        <v>90.57</v>
      </c>
      <c r="G345">
        <v>91.910004000000001</v>
      </c>
      <c r="H345">
        <v>22754200</v>
      </c>
      <c r="I345">
        <v>0</v>
      </c>
      <c r="J345">
        <v>-0.35</v>
      </c>
    </row>
    <row r="346" spans="1:10" x14ac:dyDescent="0.2">
      <c r="A346" t="s">
        <v>1127</v>
      </c>
      <c r="B346" t="s">
        <v>1303</v>
      </c>
      <c r="C346" s="9">
        <v>44939</v>
      </c>
      <c r="D346">
        <v>91.528000000000006</v>
      </c>
      <c r="E346">
        <v>92.980002999999996</v>
      </c>
      <c r="F346">
        <v>90.93</v>
      </c>
      <c r="G346">
        <v>92.800003000000004</v>
      </c>
      <c r="H346">
        <v>18630700</v>
      </c>
      <c r="I346">
        <v>0</v>
      </c>
      <c r="J346">
        <v>0.89</v>
      </c>
    </row>
    <row r="347" spans="1:10" x14ac:dyDescent="0.2">
      <c r="A347" t="s">
        <v>1128</v>
      </c>
      <c r="B347" t="s">
        <v>1304</v>
      </c>
      <c r="C347" s="9">
        <v>44943</v>
      </c>
      <c r="D347">
        <v>92.779999000000004</v>
      </c>
      <c r="E347">
        <v>92.970000999999996</v>
      </c>
      <c r="F347">
        <v>90.839995999999999</v>
      </c>
      <c r="G347">
        <v>92.160004000000001</v>
      </c>
      <c r="H347">
        <v>22935800</v>
      </c>
      <c r="I347">
        <v>0</v>
      </c>
      <c r="J347">
        <v>-0.64</v>
      </c>
    </row>
    <row r="348" spans="1:10" x14ac:dyDescent="0.2">
      <c r="A348" t="s">
        <v>1129</v>
      </c>
      <c r="B348" t="s">
        <v>1301</v>
      </c>
      <c r="C348" s="9">
        <v>44944</v>
      </c>
      <c r="D348">
        <v>92.940002000000007</v>
      </c>
      <c r="E348">
        <v>93.587997000000001</v>
      </c>
      <c r="F348">
        <v>91.400002000000001</v>
      </c>
      <c r="G348">
        <v>91.779999000000004</v>
      </c>
      <c r="H348">
        <v>19641600</v>
      </c>
      <c r="I348">
        <v>0</v>
      </c>
      <c r="J348">
        <v>-0.38</v>
      </c>
    </row>
    <row r="349" spans="1:10" x14ac:dyDescent="0.2">
      <c r="A349" t="s">
        <v>1130</v>
      </c>
      <c r="B349" t="s">
        <v>1302</v>
      </c>
      <c r="C349" s="9">
        <v>44945</v>
      </c>
      <c r="D349">
        <v>91.389999000000003</v>
      </c>
      <c r="E349">
        <v>94.400002000000001</v>
      </c>
      <c r="F349">
        <v>91.379997000000003</v>
      </c>
      <c r="G349">
        <v>93.910004000000001</v>
      </c>
      <c r="H349">
        <v>28707700</v>
      </c>
      <c r="I349">
        <v>0</v>
      </c>
      <c r="J349">
        <v>2.13</v>
      </c>
    </row>
    <row r="350" spans="1:10" x14ac:dyDescent="0.2">
      <c r="A350" t="s">
        <v>1131</v>
      </c>
      <c r="B350" t="s">
        <v>1303</v>
      </c>
      <c r="C350" s="9">
        <v>44946</v>
      </c>
      <c r="D350">
        <v>95.949996999999996</v>
      </c>
      <c r="E350">
        <v>99.419998000000007</v>
      </c>
      <c r="F350">
        <v>95.910004000000001</v>
      </c>
      <c r="G350">
        <v>99.279999000000004</v>
      </c>
      <c r="H350">
        <v>53704800</v>
      </c>
      <c r="I350">
        <v>0</v>
      </c>
      <c r="J350">
        <v>5.37</v>
      </c>
    </row>
    <row r="351" spans="1:10" x14ac:dyDescent="0.2">
      <c r="A351" t="s">
        <v>1132</v>
      </c>
      <c r="B351" t="s">
        <v>1305</v>
      </c>
      <c r="C351" s="9">
        <v>44949</v>
      </c>
      <c r="D351">
        <v>99.129997000000003</v>
      </c>
      <c r="E351">
        <v>101.400002</v>
      </c>
      <c r="F351">
        <v>98.75</v>
      </c>
      <c r="G351">
        <v>101.209999</v>
      </c>
      <c r="H351">
        <v>31791800</v>
      </c>
      <c r="I351">
        <v>0</v>
      </c>
      <c r="J351">
        <v>1.93</v>
      </c>
    </row>
    <row r="352" spans="1:10" x14ac:dyDescent="0.2">
      <c r="A352" t="s">
        <v>1133</v>
      </c>
      <c r="B352" t="s">
        <v>1304</v>
      </c>
      <c r="C352" s="9">
        <v>44950</v>
      </c>
      <c r="D352">
        <v>99.550003000000004</v>
      </c>
      <c r="E352">
        <v>101.089996</v>
      </c>
      <c r="F352">
        <v>98.699996999999996</v>
      </c>
      <c r="G352">
        <v>99.209998999999996</v>
      </c>
      <c r="H352">
        <v>27391400</v>
      </c>
      <c r="I352">
        <v>0</v>
      </c>
      <c r="J352">
        <v>-2</v>
      </c>
    </row>
    <row r="353" spans="1:10" x14ac:dyDescent="0.2">
      <c r="A353" t="s">
        <v>1134</v>
      </c>
      <c r="B353" t="s">
        <v>1301</v>
      </c>
      <c r="C353" s="9">
        <v>44951</v>
      </c>
      <c r="D353">
        <v>97.199996999999996</v>
      </c>
      <c r="E353">
        <v>97.720000999999996</v>
      </c>
      <c r="F353">
        <v>95.262000999999998</v>
      </c>
      <c r="G353">
        <v>96.730002999999996</v>
      </c>
      <c r="H353">
        <v>31000900</v>
      </c>
      <c r="I353">
        <v>0</v>
      </c>
      <c r="J353">
        <v>-2.48</v>
      </c>
    </row>
    <row r="354" spans="1:10" x14ac:dyDescent="0.2">
      <c r="A354" t="s">
        <v>1135</v>
      </c>
      <c r="B354" t="s">
        <v>1302</v>
      </c>
      <c r="C354" s="9">
        <v>44952</v>
      </c>
      <c r="D354">
        <v>98.279999000000004</v>
      </c>
      <c r="E354">
        <v>99.209998999999996</v>
      </c>
      <c r="F354">
        <v>96.82</v>
      </c>
      <c r="G354">
        <v>99.160004000000001</v>
      </c>
      <c r="H354">
        <v>24542100</v>
      </c>
      <c r="I354">
        <v>0</v>
      </c>
      <c r="J354">
        <v>2.4300000000000002</v>
      </c>
    </row>
    <row r="355" spans="1:10" x14ac:dyDescent="0.2">
      <c r="A355" t="s">
        <v>1136</v>
      </c>
      <c r="B355" t="s">
        <v>1303</v>
      </c>
      <c r="C355" s="9">
        <v>44953</v>
      </c>
      <c r="D355">
        <v>99.050003000000004</v>
      </c>
      <c r="E355">
        <v>101.58000199999999</v>
      </c>
      <c r="F355">
        <v>98.970000999999996</v>
      </c>
      <c r="G355">
        <v>100.709999</v>
      </c>
      <c r="H355">
        <v>29020400</v>
      </c>
      <c r="I355">
        <v>0</v>
      </c>
      <c r="J355">
        <v>1.55</v>
      </c>
    </row>
    <row r="356" spans="1:10" x14ac:dyDescent="0.2">
      <c r="A356" t="s">
        <v>1137</v>
      </c>
      <c r="B356" t="s">
        <v>1305</v>
      </c>
      <c r="C356" s="9">
        <v>44956</v>
      </c>
      <c r="D356">
        <v>98.745002999999997</v>
      </c>
      <c r="E356">
        <v>99.408996999999999</v>
      </c>
      <c r="F356">
        <v>97.519997000000004</v>
      </c>
      <c r="G356">
        <v>97.949996999999996</v>
      </c>
      <c r="H356">
        <v>24365100</v>
      </c>
      <c r="I356">
        <v>0</v>
      </c>
      <c r="J356">
        <v>-2.76</v>
      </c>
    </row>
    <row r="357" spans="1:10" x14ac:dyDescent="0.2">
      <c r="A357" t="s">
        <v>1138</v>
      </c>
      <c r="B357" t="s">
        <v>1304</v>
      </c>
      <c r="C357" s="9">
        <v>44957</v>
      </c>
      <c r="D357">
        <v>97.860000999999997</v>
      </c>
      <c r="E357">
        <v>99.910004000000001</v>
      </c>
      <c r="F357">
        <v>97.790001000000004</v>
      </c>
      <c r="G357">
        <v>99.870002999999997</v>
      </c>
      <c r="H357">
        <v>22306800</v>
      </c>
      <c r="I357">
        <v>0</v>
      </c>
      <c r="J357">
        <v>1.92</v>
      </c>
    </row>
    <row r="358" spans="1:10" x14ac:dyDescent="0.2">
      <c r="A358" t="s">
        <v>1139</v>
      </c>
      <c r="B358" t="s">
        <v>1301</v>
      </c>
      <c r="C358" s="9">
        <v>44958</v>
      </c>
      <c r="D358">
        <v>99.739998</v>
      </c>
      <c r="E358">
        <v>102.19000200000001</v>
      </c>
      <c r="F358">
        <v>98.419998000000007</v>
      </c>
      <c r="G358">
        <v>101.43</v>
      </c>
      <c r="H358">
        <v>26392600</v>
      </c>
      <c r="I358">
        <v>0</v>
      </c>
      <c r="J358">
        <v>1.56</v>
      </c>
    </row>
    <row r="359" spans="1:10" x14ac:dyDescent="0.2">
      <c r="A359" t="s">
        <v>1140</v>
      </c>
      <c r="B359" t="s">
        <v>1302</v>
      </c>
      <c r="C359" s="9">
        <v>44959</v>
      </c>
      <c r="D359">
        <v>106.790001</v>
      </c>
      <c r="E359">
        <v>108.82</v>
      </c>
      <c r="F359">
        <v>106.540001</v>
      </c>
      <c r="G359">
        <v>108.800003</v>
      </c>
      <c r="H359">
        <v>46622600</v>
      </c>
      <c r="I359">
        <v>0</v>
      </c>
      <c r="J359">
        <v>7.37</v>
      </c>
    </row>
    <row r="360" spans="1:10" x14ac:dyDescent="0.2">
      <c r="A360" t="s">
        <v>1141</v>
      </c>
      <c r="B360" t="s">
        <v>1303</v>
      </c>
      <c r="C360" s="9">
        <v>44960</v>
      </c>
      <c r="D360">
        <v>103.510002</v>
      </c>
      <c r="E360">
        <v>108.019997</v>
      </c>
      <c r="F360">
        <v>103.300003</v>
      </c>
      <c r="G360">
        <v>105.220001</v>
      </c>
      <c r="H360">
        <v>36823400</v>
      </c>
      <c r="I360">
        <v>0</v>
      </c>
      <c r="J360">
        <v>-3.58</v>
      </c>
    </row>
    <row r="361" spans="1:10" x14ac:dyDescent="0.2">
      <c r="A361" t="s">
        <v>1142</v>
      </c>
      <c r="B361" t="s">
        <v>1305</v>
      </c>
      <c r="C361" s="9">
        <v>44963</v>
      </c>
      <c r="D361">
        <v>102.68499799999999</v>
      </c>
      <c r="E361">
        <v>104.699997</v>
      </c>
      <c r="F361">
        <v>102.209999</v>
      </c>
      <c r="G361">
        <v>103.470001</v>
      </c>
      <c r="H361">
        <v>25573000</v>
      </c>
      <c r="I361">
        <v>0</v>
      </c>
      <c r="J361">
        <v>-1.75</v>
      </c>
    </row>
    <row r="362" spans="1:10" x14ac:dyDescent="0.2">
      <c r="A362" t="s">
        <v>1143</v>
      </c>
      <c r="B362" t="s">
        <v>1304</v>
      </c>
      <c r="C362" s="9">
        <v>44964</v>
      </c>
      <c r="D362">
        <v>103.629997</v>
      </c>
      <c r="E362">
        <v>108.66999800000001</v>
      </c>
      <c r="F362">
        <v>103.547997</v>
      </c>
      <c r="G362">
        <v>108.040001</v>
      </c>
      <c r="H362">
        <v>33738800</v>
      </c>
      <c r="I362">
        <v>0</v>
      </c>
      <c r="J362">
        <v>4.57</v>
      </c>
    </row>
    <row r="363" spans="1:10" x14ac:dyDescent="0.2">
      <c r="A363" t="s">
        <v>1144</v>
      </c>
      <c r="B363" t="s">
        <v>1301</v>
      </c>
      <c r="C363" s="9">
        <v>44965</v>
      </c>
      <c r="D363">
        <v>102.69000200000001</v>
      </c>
      <c r="E363">
        <v>103.58000199999999</v>
      </c>
      <c r="F363">
        <v>98.455001999999993</v>
      </c>
      <c r="G363">
        <v>100</v>
      </c>
      <c r="H363">
        <v>73546000</v>
      </c>
      <c r="I363">
        <v>0</v>
      </c>
      <c r="J363">
        <v>-8.0399999999999991</v>
      </c>
    </row>
    <row r="364" spans="1:10" x14ac:dyDescent="0.2">
      <c r="A364" t="s">
        <v>1145</v>
      </c>
      <c r="B364" t="s">
        <v>1302</v>
      </c>
      <c r="C364" s="9">
        <v>44966</v>
      </c>
      <c r="D364">
        <v>100.540001</v>
      </c>
      <c r="E364">
        <v>100.610001</v>
      </c>
      <c r="F364">
        <v>93.860000999999997</v>
      </c>
      <c r="G364">
        <v>95.459998999999996</v>
      </c>
      <c r="H364">
        <v>97798600</v>
      </c>
      <c r="I364">
        <v>0</v>
      </c>
      <c r="J364">
        <v>-4.54</v>
      </c>
    </row>
    <row r="365" spans="1:10" x14ac:dyDescent="0.2">
      <c r="A365" t="s">
        <v>1146</v>
      </c>
      <c r="B365" t="s">
        <v>1303</v>
      </c>
      <c r="C365" s="9">
        <v>44967</v>
      </c>
      <c r="D365">
        <v>95.739998</v>
      </c>
      <c r="E365">
        <v>97.019997000000004</v>
      </c>
      <c r="F365">
        <v>94.529999000000004</v>
      </c>
      <c r="G365">
        <v>94.860000999999997</v>
      </c>
      <c r="H365">
        <v>49325300</v>
      </c>
      <c r="I365">
        <v>0</v>
      </c>
      <c r="J365">
        <v>-0.6</v>
      </c>
    </row>
    <row r="366" spans="1:10" x14ac:dyDescent="0.2">
      <c r="A366" t="s">
        <v>1147</v>
      </c>
      <c r="B366" t="s">
        <v>1305</v>
      </c>
      <c r="C366" s="9">
        <v>44970</v>
      </c>
      <c r="D366">
        <v>95.010002</v>
      </c>
      <c r="E366">
        <v>95.349997999999999</v>
      </c>
      <c r="F366">
        <v>94.050003000000004</v>
      </c>
      <c r="G366">
        <v>95</v>
      </c>
      <c r="H366">
        <v>43116600</v>
      </c>
      <c r="I366">
        <v>0</v>
      </c>
      <c r="J366">
        <v>0.14000000000000001</v>
      </c>
    </row>
    <row r="367" spans="1:10" x14ac:dyDescent="0.2">
      <c r="A367" t="s">
        <v>1148</v>
      </c>
      <c r="B367" t="s">
        <v>1304</v>
      </c>
      <c r="C367" s="9">
        <v>44971</v>
      </c>
      <c r="D367">
        <v>94.660004000000001</v>
      </c>
      <c r="E367">
        <v>95.175003000000004</v>
      </c>
      <c r="F367">
        <v>92.650002000000001</v>
      </c>
      <c r="G367">
        <v>94.949996999999996</v>
      </c>
      <c r="H367">
        <v>42513100</v>
      </c>
      <c r="I367">
        <v>0</v>
      </c>
      <c r="J367">
        <v>-0.05</v>
      </c>
    </row>
    <row r="368" spans="1:10" x14ac:dyDescent="0.2">
      <c r="A368" t="s">
        <v>1149</v>
      </c>
      <c r="B368" t="s">
        <v>1301</v>
      </c>
      <c r="C368" s="9">
        <v>44972</v>
      </c>
      <c r="D368">
        <v>94.739998</v>
      </c>
      <c r="E368">
        <v>97.339995999999999</v>
      </c>
      <c r="F368">
        <v>94.360000999999997</v>
      </c>
      <c r="G368">
        <v>97.099997999999999</v>
      </c>
      <c r="H368">
        <v>36964500</v>
      </c>
      <c r="I368">
        <v>0</v>
      </c>
      <c r="J368">
        <v>2.15</v>
      </c>
    </row>
    <row r="369" spans="1:10" x14ac:dyDescent="0.2">
      <c r="A369" t="s">
        <v>1150</v>
      </c>
      <c r="B369" t="s">
        <v>1302</v>
      </c>
      <c r="C369" s="9">
        <v>44973</v>
      </c>
      <c r="D369">
        <v>95.540001000000004</v>
      </c>
      <c r="E369">
        <v>97.879997000000003</v>
      </c>
      <c r="F369">
        <v>94.970000999999996</v>
      </c>
      <c r="G369">
        <v>95.779999000000004</v>
      </c>
      <c r="H369">
        <v>35642100</v>
      </c>
      <c r="I369">
        <v>0</v>
      </c>
      <c r="J369">
        <v>-1.32</v>
      </c>
    </row>
    <row r="370" spans="1:10" x14ac:dyDescent="0.2">
      <c r="A370" t="s">
        <v>1151</v>
      </c>
      <c r="B370" t="s">
        <v>1303</v>
      </c>
      <c r="C370" s="9">
        <v>44974</v>
      </c>
      <c r="D370">
        <v>95.07</v>
      </c>
      <c r="E370">
        <v>95.75</v>
      </c>
      <c r="F370">
        <v>93.449996999999996</v>
      </c>
      <c r="G370">
        <v>94.589995999999999</v>
      </c>
      <c r="H370">
        <v>31095100</v>
      </c>
      <c r="I370">
        <v>0</v>
      </c>
      <c r="J370">
        <v>-1.19</v>
      </c>
    </row>
    <row r="371" spans="1:10" x14ac:dyDescent="0.2">
      <c r="A371" t="s">
        <v>1152</v>
      </c>
      <c r="B371" t="s">
        <v>1304</v>
      </c>
      <c r="C371" s="9">
        <v>44978</v>
      </c>
      <c r="D371">
        <v>93.239998</v>
      </c>
      <c r="E371">
        <v>93.415001000000004</v>
      </c>
      <c r="F371">
        <v>92</v>
      </c>
      <c r="G371">
        <v>92.050003000000004</v>
      </c>
      <c r="H371">
        <v>28367200</v>
      </c>
      <c r="I371">
        <v>0</v>
      </c>
      <c r="J371">
        <v>-2.54</v>
      </c>
    </row>
    <row r="372" spans="1:10" x14ac:dyDescent="0.2">
      <c r="A372" t="s">
        <v>1153</v>
      </c>
      <c r="B372" t="s">
        <v>1301</v>
      </c>
      <c r="C372" s="9">
        <v>44979</v>
      </c>
      <c r="D372">
        <v>91.933998000000003</v>
      </c>
      <c r="E372">
        <v>92.360000999999997</v>
      </c>
      <c r="F372">
        <v>90.870002999999997</v>
      </c>
      <c r="G372">
        <v>91.800003000000004</v>
      </c>
      <c r="H372">
        <v>29891100</v>
      </c>
      <c r="I372">
        <v>0</v>
      </c>
      <c r="J372">
        <v>-0.25</v>
      </c>
    </row>
    <row r="373" spans="1:10" x14ac:dyDescent="0.2">
      <c r="A373" t="s">
        <v>1154</v>
      </c>
      <c r="B373" t="s">
        <v>1302</v>
      </c>
      <c r="C373" s="9">
        <v>44980</v>
      </c>
      <c r="D373">
        <v>92.129997000000003</v>
      </c>
      <c r="E373">
        <v>92.129997000000003</v>
      </c>
      <c r="F373">
        <v>90.010002</v>
      </c>
      <c r="G373">
        <v>91.07</v>
      </c>
      <c r="H373">
        <v>32423700</v>
      </c>
      <c r="I373">
        <v>0</v>
      </c>
      <c r="J373">
        <v>-0.73</v>
      </c>
    </row>
    <row r="374" spans="1:10" x14ac:dyDescent="0.2">
      <c r="A374" t="s">
        <v>1155</v>
      </c>
      <c r="B374" t="s">
        <v>1303</v>
      </c>
      <c r="C374" s="9">
        <v>44981</v>
      </c>
      <c r="D374">
        <v>89.629997000000003</v>
      </c>
      <c r="E374">
        <v>90.129997000000003</v>
      </c>
      <c r="F374">
        <v>88.860000999999997</v>
      </c>
      <c r="G374">
        <v>89.349997999999999</v>
      </c>
      <c r="H374">
        <v>31295600</v>
      </c>
      <c r="I374">
        <v>0</v>
      </c>
      <c r="J374">
        <v>-1.72</v>
      </c>
    </row>
    <row r="375" spans="1:10" x14ac:dyDescent="0.2">
      <c r="A375" t="s">
        <v>1156</v>
      </c>
      <c r="B375" t="s">
        <v>1305</v>
      </c>
      <c r="C375" s="9">
        <v>44984</v>
      </c>
      <c r="D375">
        <v>90.089995999999999</v>
      </c>
      <c r="E375">
        <v>90.449996999999996</v>
      </c>
      <c r="F375">
        <v>89.610000999999997</v>
      </c>
      <c r="G375">
        <v>90.099997999999999</v>
      </c>
      <c r="H375">
        <v>22724300</v>
      </c>
      <c r="I375">
        <v>0</v>
      </c>
      <c r="J375">
        <v>0.75</v>
      </c>
    </row>
    <row r="376" spans="1:10" x14ac:dyDescent="0.2">
      <c r="A376" t="s">
        <v>1157</v>
      </c>
      <c r="B376" t="s">
        <v>1304</v>
      </c>
      <c r="C376" s="9">
        <v>44985</v>
      </c>
      <c r="D376">
        <v>89.540001000000004</v>
      </c>
      <c r="E376">
        <v>91.449996999999996</v>
      </c>
      <c r="F376">
        <v>89.519997000000004</v>
      </c>
      <c r="G376">
        <v>90.300003000000004</v>
      </c>
      <c r="H376">
        <v>30546900</v>
      </c>
      <c r="I376">
        <v>0</v>
      </c>
      <c r="J376">
        <v>0.2</v>
      </c>
    </row>
    <row r="377" spans="1:10" x14ac:dyDescent="0.2">
      <c r="A377" t="s">
        <v>1158</v>
      </c>
      <c r="B377" t="s">
        <v>1301</v>
      </c>
      <c r="C377" s="9">
        <v>44986</v>
      </c>
      <c r="D377">
        <v>90.160004000000001</v>
      </c>
      <c r="E377">
        <v>91.199996999999996</v>
      </c>
      <c r="F377">
        <v>89.849997999999999</v>
      </c>
      <c r="G377">
        <v>90.510002</v>
      </c>
      <c r="H377">
        <v>26323900</v>
      </c>
      <c r="I377">
        <v>0</v>
      </c>
      <c r="J377">
        <v>0.21</v>
      </c>
    </row>
    <row r="378" spans="1:10" x14ac:dyDescent="0.2">
      <c r="A378" t="s">
        <v>1159</v>
      </c>
      <c r="B378" t="s">
        <v>1302</v>
      </c>
      <c r="C378" s="9">
        <v>44987</v>
      </c>
      <c r="D378">
        <v>89.860000999999997</v>
      </c>
      <c r="E378">
        <v>92.480002999999996</v>
      </c>
      <c r="F378">
        <v>89.769997000000004</v>
      </c>
      <c r="G378">
        <v>92.309997999999993</v>
      </c>
      <c r="H378">
        <v>23328600</v>
      </c>
      <c r="I378">
        <v>0</v>
      </c>
      <c r="J378">
        <v>1.8</v>
      </c>
    </row>
    <row r="379" spans="1:10" x14ac:dyDescent="0.2">
      <c r="A379" t="s">
        <v>1160</v>
      </c>
      <c r="B379" t="s">
        <v>1303</v>
      </c>
      <c r="C379" s="9">
        <v>44988</v>
      </c>
      <c r="D379">
        <v>92.739998</v>
      </c>
      <c r="E379">
        <v>94.110000999999997</v>
      </c>
      <c r="F379">
        <v>92.660004000000001</v>
      </c>
      <c r="G379">
        <v>94.019997000000004</v>
      </c>
      <c r="H379">
        <v>30242500</v>
      </c>
      <c r="I379">
        <v>0</v>
      </c>
      <c r="J379">
        <v>1.71</v>
      </c>
    </row>
    <row r="380" spans="1:10" x14ac:dyDescent="0.2">
      <c r="A380" t="s">
        <v>1161</v>
      </c>
      <c r="B380" t="s">
        <v>1305</v>
      </c>
      <c r="C380" s="9">
        <v>44991</v>
      </c>
      <c r="D380">
        <v>94.360000999999997</v>
      </c>
      <c r="E380">
        <v>96.300003000000004</v>
      </c>
      <c r="F380">
        <v>94.300003000000004</v>
      </c>
      <c r="G380">
        <v>95.580001999999993</v>
      </c>
      <c r="H380">
        <v>28288200</v>
      </c>
      <c r="I380">
        <v>0</v>
      </c>
      <c r="J380">
        <v>1.56</v>
      </c>
    </row>
    <row r="381" spans="1:10" x14ac:dyDescent="0.2">
      <c r="A381" t="s">
        <v>1162</v>
      </c>
      <c r="B381" t="s">
        <v>1304</v>
      </c>
      <c r="C381" s="9">
        <v>44992</v>
      </c>
      <c r="D381">
        <v>95.419998000000007</v>
      </c>
      <c r="E381">
        <v>96.089995999999999</v>
      </c>
      <c r="F381">
        <v>93.844002000000003</v>
      </c>
      <c r="G381">
        <v>94.169998000000007</v>
      </c>
      <c r="H381">
        <v>24101500</v>
      </c>
      <c r="I381">
        <v>0</v>
      </c>
      <c r="J381">
        <v>-1.41</v>
      </c>
    </row>
    <row r="382" spans="1:10" x14ac:dyDescent="0.2">
      <c r="A382" t="s">
        <v>1163</v>
      </c>
      <c r="B382" t="s">
        <v>1301</v>
      </c>
      <c r="C382" s="9">
        <v>44993</v>
      </c>
      <c r="D382">
        <v>94.404999000000004</v>
      </c>
      <c r="E382">
        <v>96.239998</v>
      </c>
      <c r="F382">
        <v>94.404999000000004</v>
      </c>
      <c r="G382">
        <v>94.650002000000001</v>
      </c>
      <c r="H382">
        <v>25395200</v>
      </c>
      <c r="I382">
        <v>0</v>
      </c>
      <c r="J382">
        <v>0.48</v>
      </c>
    </row>
    <row r="383" spans="1:10" x14ac:dyDescent="0.2">
      <c r="A383" t="s">
        <v>1164</v>
      </c>
      <c r="B383" t="s">
        <v>1302</v>
      </c>
      <c r="C383" s="9">
        <v>44994</v>
      </c>
      <c r="D383">
        <v>94.489998</v>
      </c>
      <c r="E383">
        <v>95.919998000000007</v>
      </c>
      <c r="F383">
        <v>92.355002999999996</v>
      </c>
      <c r="G383">
        <v>92.660004000000001</v>
      </c>
      <c r="H383">
        <v>24438900</v>
      </c>
      <c r="I383">
        <v>0</v>
      </c>
      <c r="J383">
        <v>-1.99</v>
      </c>
    </row>
    <row r="384" spans="1:10" x14ac:dyDescent="0.2">
      <c r="A384" t="s">
        <v>1165</v>
      </c>
      <c r="B384" t="s">
        <v>1303</v>
      </c>
      <c r="C384" s="9">
        <v>44995</v>
      </c>
      <c r="D384">
        <v>92.5</v>
      </c>
      <c r="E384">
        <v>93.18</v>
      </c>
      <c r="F384">
        <v>90.800003000000004</v>
      </c>
      <c r="G384">
        <v>91.010002</v>
      </c>
      <c r="H384">
        <v>32850100</v>
      </c>
      <c r="I384">
        <v>0</v>
      </c>
      <c r="J384">
        <v>-1.65</v>
      </c>
    </row>
    <row r="385" spans="1:10" x14ac:dyDescent="0.2">
      <c r="A385" t="s">
        <v>1166</v>
      </c>
      <c r="B385" t="s">
        <v>1305</v>
      </c>
      <c r="C385" s="9">
        <v>44998</v>
      </c>
      <c r="D385">
        <v>90.565002000000007</v>
      </c>
      <c r="E385">
        <v>93.080001999999993</v>
      </c>
      <c r="F385">
        <v>89.940002000000007</v>
      </c>
      <c r="G385">
        <v>91.660004000000001</v>
      </c>
      <c r="H385">
        <v>31508600</v>
      </c>
      <c r="I385">
        <v>0</v>
      </c>
      <c r="J385">
        <v>0.65</v>
      </c>
    </row>
    <row r="386" spans="1:10" x14ac:dyDescent="0.2">
      <c r="A386" t="s">
        <v>1167</v>
      </c>
      <c r="B386" t="s">
        <v>1304</v>
      </c>
      <c r="C386" s="9">
        <v>44999</v>
      </c>
      <c r="D386">
        <v>93.07</v>
      </c>
      <c r="E386">
        <v>94.830001999999993</v>
      </c>
      <c r="F386">
        <v>92.779999000000004</v>
      </c>
      <c r="G386">
        <v>94.25</v>
      </c>
      <c r="H386">
        <v>32303900</v>
      </c>
      <c r="I386">
        <v>0</v>
      </c>
      <c r="J386">
        <v>2.59</v>
      </c>
    </row>
    <row r="387" spans="1:10" x14ac:dyDescent="0.2">
      <c r="A387" t="s">
        <v>1168</v>
      </c>
      <c r="B387" t="s">
        <v>1301</v>
      </c>
      <c r="C387" s="9">
        <v>45000</v>
      </c>
      <c r="D387">
        <v>93.540001000000004</v>
      </c>
      <c r="E387">
        <v>97.25</v>
      </c>
      <c r="F387">
        <v>93.040001000000004</v>
      </c>
      <c r="G387">
        <v>96.550003000000004</v>
      </c>
      <c r="H387">
        <v>38367300</v>
      </c>
      <c r="I387">
        <v>0</v>
      </c>
      <c r="J387">
        <v>2.2999999999999998</v>
      </c>
    </row>
    <row r="388" spans="1:10" x14ac:dyDescent="0.2">
      <c r="A388" t="s">
        <v>1169</v>
      </c>
      <c r="B388" t="s">
        <v>1302</v>
      </c>
      <c r="C388" s="9">
        <v>45001</v>
      </c>
      <c r="D388">
        <v>96.57</v>
      </c>
      <c r="E388">
        <v>101.970001</v>
      </c>
      <c r="F388">
        <v>95.870002999999997</v>
      </c>
      <c r="G388">
        <v>101.07</v>
      </c>
      <c r="H388">
        <v>54499500</v>
      </c>
      <c r="I388">
        <v>0</v>
      </c>
      <c r="J388">
        <v>4.5199999999999996</v>
      </c>
    </row>
    <row r="389" spans="1:10" x14ac:dyDescent="0.2">
      <c r="A389" t="s">
        <v>1170</v>
      </c>
      <c r="B389" t="s">
        <v>1303</v>
      </c>
      <c r="C389" s="9">
        <v>45002</v>
      </c>
      <c r="D389">
        <v>100.839996</v>
      </c>
      <c r="E389">
        <v>103.489998</v>
      </c>
      <c r="F389">
        <v>100.75</v>
      </c>
      <c r="G389">
        <v>102.459999</v>
      </c>
      <c r="H389">
        <v>76140300</v>
      </c>
      <c r="I389">
        <v>0</v>
      </c>
      <c r="J389">
        <v>1.39</v>
      </c>
    </row>
    <row r="390" spans="1:10" x14ac:dyDescent="0.2">
      <c r="A390" t="s">
        <v>1171</v>
      </c>
      <c r="B390" t="s">
        <v>1305</v>
      </c>
      <c r="C390" s="9">
        <v>45005</v>
      </c>
      <c r="D390">
        <v>101.05999799999999</v>
      </c>
      <c r="E390">
        <v>102.58000199999999</v>
      </c>
      <c r="F390">
        <v>100.790001</v>
      </c>
      <c r="G390">
        <v>101.93</v>
      </c>
      <c r="H390">
        <v>26033900</v>
      </c>
      <c r="I390">
        <v>0</v>
      </c>
      <c r="J390">
        <v>-0.53</v>
      </c>
    </row>
    <row r="391" spans="1:10" x14ac:dyDescent="0.2">
      <c r="A391" t="s">
        <v>1172</v>
      </c>
      <c r="B391" t="s">
        <v>1304</v>
      </c>
      <c r="C391" s="9">
        <v>45006</v>
      </c>
      <c r="D391">
        <v>101.980003</v>
      </c>
      <c r="E391">
        <v>105.959999</v>
      </c>
      <c r="F391">
        <v>101.860001</v>
      </c>
      <c r="G391">
        <v>105.839996</v>
      </c>
      <c r="H391">
        <v>33122800</v>
      </c>
      <c r="I391">
        <v>0</v>
      </c>
      <c r="J391">
        <v>3.91</v>
      </c>
    </row>
    <row r="392" spans="1:10" x14ac:dyDescent="0.2">
      <c r="A392" t="s">
        <v>1173</v>
      </c>
      <c r="B392" t="s">
        <v>1301</v>
      </c>
      <c r="C392" s="9">
        <v>45007</v>
      </c>
      <c r="D392">
        <v>105.139999</v>
      </c>
      <c r="E392">
        <v>107.510002</v>
      </c>
      <c r="F392">
        <v>104.209999</v>
      </c>
      <c r="G392">
        <v>104.220001</v>
      </c>
      <c r="H392">
        <v>32336900</v>
      </c>
      <c r="I392">
        <v>0</v>
      </c>
      <c r="J392">
        <v>-1.62</v>
      </c>
    </row>
    <row r="393" spans="1:10" x14ac:dyDescent="0.2">
      <c r="A393" t="s">
        <v>1174</v>
      </c>
      <c r="B393" t="s">
        <v>1302</v>
      </c>
      <c r="C393" s="9">
        <v>45008</v>
      </c>
      <c r="D393">
        <v>105.889999</v>
      </c>
      <c r="E393">
        <v>107.100998</v>
      </c>
      <c r="F393">
        <v>105.410004</v>
      </c>
      <c r="G393">
        <v>106.260002</v>
      </c>
      <c r="H393">
        <v>31385800</v>
      </c>
      <c r="I393">
        <v>0</v>
      </c>
      <c r="J393">
        <v>2.04</v>
      </c>
    </row>
    <row r="394" spans="1:10" x14ac:dyDescent="0.2">
      <c r="A394" t="s">
        <v>1175</v>
      </c>
      <c r="B394" t="s">
        <v>1303</v>
      </c>
      <c r="C394" s="9">
        <v>45009</v>
      </c>
      <c r="D394">
        <v>105.739998</v>
      </c>
      <c r="E394">
        <v>106.160004</v>
      </c>
      <c r="F394">
        <v>104.739998</v>
      </c>
      <c r="G394">
        <v>106.05999799999999</v>
      </c>
      <c r="H394">
        <v>25236200</v>
      </c>
      <c r="I394">
        <v>0</v>
      </c>
      <c r="J394">
        <v>-0.2</v>
      </c>
    </row>
    <row r="395" spans="1:10" x14ac:dyDescent="0.2">
      <c r="A395" t="s">
        <v>1176</v>
      </c>
      <c r="B395" t="s">
        <v>1305</v>
      </c>
      <c r="C395" s="9">
        <v>45012</v>
      </c>
      <c r="D395">
        <v>105.32</v>
      </c>
      <c r="E395">
        <v>105.400002</v>
      </c>
      <c r="F395">
        <v>102.629997</v>
      </c>
      <c r="G395">
        <v>103.05999799999999</v>
      </c>
      <c r="H395">
        <v>25393400</v>
      </c>
      <c r="I395">
        <v>0</v>
      </c>
      <c r="J395">
        <v>-3</v>
      </c>
    </row>
    <row r="396" spans="1:10" x14ac:dyDescent="0.2">
      <c r="A396" t="s">
        <v>1177</v>
      </c>
      <c r="B396" t="s">
        <v>1304</v>
      </c>
      <c r="C396" s="9">
        <v>45013</v>
      </c>
      <c r="D396">
        <v>103</v>
      </c>
      <c r="E396">
        <v>103</v>
      </c>
      <c r="F396">
        <v>100.279999</v>
      </c>
      <c r="G396">
        <v>101.360001</v>
      </c>
      <c r="H396">
        <v>24913500</v>
      </c>
      <c r="I396">
        <v>0</v>
      </c>
      <c r="J396">
        <v>-1.7</v>
      </c>
    </row>
    <row r="397" spans="1:10" x14ac:dyDescent="0.2">
      <c r="A397" t="s">
        <v>1178</v>
      </c>
      <c r="B397" t="s">
        <v>1301</v>
      </c>
      <c r="C397" s="9">
        <v>45014</v>
      </c>
      <c r="D397">
        <v>102.720001</v>
      </c>
      <c r="E397">
        <v>102.82</v>
      </c>
      <c r="F397">
        <v>101.029999</v>
      </c>
      <c r="G397">
        <v>101.900002</v>
      </c>
      <c r="H397">
        <v>26148300</v>
      </c>
      <c r="I397">
        <v>0</v>
      </c>
      <c r="J397">
        <v>0.54</v>
      </c>
    </row>
    <row r="398" spans="1:10" x14ac:dyDescent="0.2">
      <c r="A398" t="s">
        <v>1179</v>
      </c>
      <c r="B398" t="s">
        <v>1302</v>
      </c>
      <c r="C398" s="9">
        <v>45015</v>
      </c>
      <c r="D398">
        <v>101.44000200000001</v>
      </c>
      <c r="E398">
        <v>101.610001</v>
      </c>
      <c r="F398">
        <v>100.290001</v>
      </c>
      <c r="G398">
        <v>101.32</v>
      </c>
      <c r="H398">
        <v>25009800</v>
      </c>
      <c r="I398">
        <v>0</v>
      </c>
      <c r="J398">
        <v>-0.57999999999999996</v>
      </c>
    </row>
    <row r="399" spans="1:10" x14ac:dyDescent="0.2">
      <c r="A399" t="s">
        <v>1180</v>
      </c>
      <c r="B399" t="s">
        <v>1303</v>
      </c>
      <c r="C399" s="9">
        <v>45016</v>
      </c>
      <c r="D399">
        <v>101.709999</v>
      </c>
      <c r="E399">
        <v>104.19000200000001</v>
      </c>
      <c r="F399">
        <v>101.44000200000001</v>
      </c>
      <c r="G399">
        <v>104</v>
      </c>
      <c r="H399">
        <v>28108000</v>
      </c>
      <c r="I399">
        <v>0</v>
      </c>
      <c r="J399">
        <v>2.68</v>
      </c>
    </row>
    <row r="400" spans="1:10" x14ac:dyDescent="0.2">
      <c r="A400" t="s">
        <v>1181</v>
      </c>
      <c r="B400" t="s">
        <v>1305</v>
      </c>
      <c r="C400" s="9">
        <v>45019</v>
      </c>
      <c r="D400">
        <v>102.66999800000001</v>
      </c>
      <c r="E400">
        <v>104.949997</v>
      </c>
      <c r="F400">
        <v>102.379997</v>
      </c>
      <c r="G400">
        <v>104.910004</v>
      </c>
      <c r="H400">
        <v>20719900</v>
      </c>
      <c r="I400">
        <v>0</v>
      </c>
      <c r="J400">
        <v>0.91</v>
      </c>
    </row>
    <row r="401" spans="1:10" x14ac:dyDescent="0.2">
      <c r="A401" t="s">
        <v>1182</v>
      </c>
      <c r="B401" t="s">
        <v>1304</v>
      </c>
      <c r="C401" s="9">
        <v>45020</v>
      </c>
      <c r="D401">
        <v>104.839996</v>
      </c>
      <c r="E401">
        <v>106.099998</v>
      </c>
      <c r="F401">
        <v>104.599998</v>
      </c>
      <c r="G401">
        <v>105.120003</v>
      </c>
      <c r="H401">
        <v>20377200</v>
      </c>
      <c r="I401">
        <v>0</v>
      </c>
      <c r="J401">
        <v>0.21</v>
      </c>
    </row>
    <row r="402" spans="1:10" x14ac:dyDescent="0.2">
      <c r="A402" t="s">
        <v>1183</v>
      </c>
      <c r="B402" t="s">
        <v>1301</v>
      </c>
      <c r="C402" s="9">
        <v>45021</v>
      </c>
      <c r="D402">
        <v>106.120003</v>
      </c>
      <c r="E402">
        <v>106.540001</v>
      </c>
      <c r="F402">
        <v>104.101997</v>
      </c>
      <c r="G402">
        <v>104.949997</v>
      </c>
      <c r="H402">
        <v>21864200</v>
      </c>
      <c r="I402">
        <v>0</v>
      </c>
      <c r="J402">
        <v>-0.17</v>
      </c>
    </row>
    <row r="403" spans="1:10" x14ac:dyDescent="0.2">
      <c r="A403" t="s">
        <v>1184</v>
      </c>
      <c r="B403" t="s">
        <v>1302</v>
      </c>
      <c r="C403" s="9">
        <v>45022</v>
      </c>
      <c r="D403">
        <v>105.769997</v>
      </c>
      <c r="E403">
        <v>109.629997</v>
      </c>
      <c r="F403">
        <v>104.81500200000001</v>
      </c>
      <c r="G403">
        <v>108.900002</v>
      </c>
      <c r="H403">
        <v>34684200</v>
      </c>
      <c r="I403">
        <v>0</v>
      </c>
      <c r="J403">
        <v>3.95</v>
      </c>
    </row>
    <row r="404" spans="1:10" x14ac:dyDescent="0.2">
      <c r="A404" t="s">
        <v>1185</v>
      </c>
      <c r="B404" t="s">
        <v>1305</v>
      </c>
      <c r="C404" s="9">
        <v>45026</v>
      </c>
      <c r="D404">
        <v>107.389999</v>
      </c>
      <c r="E404">
        <v>107.970001</v>
      </c>
      <c r="F404">
        <v>105.599998</v>
      </c>
      <c r="G404">
        <v>106.949997</v>
      </c>
      <c r="H404">
        <v>19741500</v>
      </c>
      <c r="I404">
        <v>0</v>
      </c>
      <c r="J404">
        <v>-1.95</v>
      </c>
    </row>
    <row r="405" spans="1:10" x14ac:dyDescent="0.2">
      <c r="A405" t="s">
        <v>1186</v>
      </c>
      <c r="B405" t="s">
        <v>1304</v>
      </c>
      <c r="C405" s="9">
        <v>45027</v>
      </c>
      <c r="D405">
        <v>106.91999800000001</v>
      </c>
      <c r="E405">
        <v>107.220001</v>
      </c>
      <c r="F405">
        <v>105.279999</v>
      </c>
      <c r="G405">
        <v>106.120003</v>
      </c>
      <c r="H405">
        <v>18721300</v>
      </c>
      <c r="I405">
        <v>0</v>
      </c>
      <c r="J405">
        <v>-0.83</v>
      </c>
    </row>
    <row r="406" spans="1:10" x14ac:dyDescent="0.2">
      <c r="A406" t="s">
        <v>1187</v>
      </c>
      <c r="B406" t="s">
        <v>1301</v>
      </c>
      <c r="C406" s="9">
        <v>45028</v>
      </c>
      <c r="D406">
        <v>107.389999</v>
      </c>
      <c r="E406">
        <v>107.58699799999999</v>
      </c>
      <c r="F406">
        <v>104.970001</v>
      </c>
      <c r="G406">
        <v>105.220001</v>
      </c>
      <c r="H406">
        <v>22761600</v>
      </c>
      <c r="I406">
        <v>0</v>
      </c>
      <c r="J406">
        <v>-0.9</v>
      </c>
    </row>
    <row r="407" spans="1:10" x14ac:dyDescent="0.2">
      <c r="A407" t="s">
        <v>1188</v>
      </c>
      <c r="B407" t="s">
        <v>1302</v>
      </c>
      <c r="C407" s="9">
        <v>45029</v>
      </c>
      <c r="D407">
        <v>106.470001</v>
      </c>
      <c r="E407">
        <v>108.264999</v>
      </c>
      <c r="F407">
        <v>106.44000200000001</v>
      </c>
      <c r="G407">
        <v>108.19000200000001</v>
      </c>
      <c r="H407">
        <v>21650700</v>
      </c>
      <c r="I407">
        <v>0</v>
      </c>
      <c r="J407">
        <v>2.97</v>
      </c>
    </row>
    <row r="408" spans="1:10" x14ac:dyDescent="0.2">
      <c r="A408" t="s">
        <v>1189</v>
      </c>
      <c r="B408" t="s">
        <v>1303</v>
      </c>
      <c r="C408" s="9">
        <v>45030</v>
      </c>
      <c r="D408">
        <v>107.69000200000001</v>
      </c>
      <c r="E408">
        <v>109.58000199999999</v>
      </c>
      <c r="F408">
        <v>107.589996</v>
      </c>
      <c r="G408">
        <v>109.459999</v>
      </c>
      <c r="H408">
        <v>20758700</v>
      </c>
      <c r="I408">
        <v>0</v>
      </c>
      <c r="J408">
        <v>1.27</v>
      </c>
    </row>
    <row r="409" spans="1:10" x14ac:dyDescent="0.2">
      <c r="A409" t="s">
        <v>1190</v>
      </c>
      <c r="B409" t="s">
        <v>1305</v>
      </c>
      <c r="C409" s="9">
        <v>45033</v>
      </c>
      <c r="D409">
        <v>105.43</v>
      </c>
      <c r="E409">
        <v>106.709999</v>
      </c>
      <c r="F409">
        <v>105.32</v>
      </c>
      <c r="G409">
        <v>106.41999800000001</v>
      </c>
      <c r="H409">
        <v>29043400</v>
      </c>
      <c r="I409">
        <v>0</v>
      </c>
      <c r="J409">
        <v>-3.04</v>
      </c>
    </row>
    <row r="410" spans="1:10" x14ac:dyDescent="0.2">
      <c r="A410" t="s">
        <v>1191</v>
      </c>
      <c r="B410" t="s">
        <v>1304</v>
      </c>
      <c r="C410" s="9">
        <v>45034</v>
      </c>
      <c r="D410">
        <v>107</v>
      </c>
      <c r="E410">
        <v>107.050003</v>
      </c>
      <c r="F410">
        <v>104.779999</v>
      </c>
      <c r="G410">
        <v>105.120003</v>
      </c>
      <c r="H410">
        <v>17641400</v>
      </c>
      <c r="I410">
        <v>0</v>
      </c>
      <c r="J410">
        <v>-1.3</v>
      </c>
    </row>
    <row r="411" spans="1:10" x14ac:dyDescent="0.2">
      <c r="A411" t="s">
        <v>1192</v>
      </c>
      <c r="B411" t="s">
        <v>1301</v>
      </c>
      <c r="C411" s="9">
        <v>45035</v>
      </c>
      <c r="D411">
        <v>104.214996</v>
      </c>
      <c r="E411">
        <v>105.724998</v>
      </c>
      <c r="F411">
        <v>103.800003</v>
      </c>
      <c r="G411">
        <v>105.019997</v>
      </c>
      <c r="H411">
        <v>16732000</v>
      </c>
      <c r="I411">
        <v>0</v>
      </c>
      <c r="J411">
        <v>-0.1</v>
      </c>
    </row>
    <row r="412" spans="1:10" x14ac:dyDescent="0.2">
      <c r="A412" t="s">
        <v>1193</v>
      </c>
      <c r="B412" t="s">
        <v>1302</v>
      </c>
      <c r="C412" s="9">
        <v>45036</v>
      </c>
      <c r="D412">
        <v>104.650002</v>
      </c>
      <c r="E412">
        <v>106.88800000000001</v>
      </c>
      <c r="F412">
        <v>104.639999</v>
      </c>
      <c r="G412">
        <v>105.900002</v>
      </c>
      <c r="H412">
        <v>22515300</v>
      </c>
      <c r="I412">
        <v>0</v>
      </c>
      <c r="J412">
        <v>0.88</v>
      </c>
    </row>
    <row r="413" spans="1:10" x14ac:dyDescent="0.2">
      <c r="A413" t="s">
        <v>1194</v>
      </c>
      <c r="B413" t="s">
        <v>1303</v>
      </c>
      <c r="C413" s="9">
        <v>45037</v>
      </c>
      <c r="D413">
        <v>106.089996</v>
      </c>
      <c r="E413">
        <v>106.639999</v>
      </c>
      <c r="F413">
        <v>105.485001</v>
      </c>
      <c r="G413">
        <v>105.910004</v>
      </c>
      <c r="H413">
        <v>22379000</v>
      </c>
      <c r="I413">
        <v>0</v>
      </c>
      <c r="J413">
        <v>0.01</v>
      </c>
    </row>
    <row r="414" spans="1:10" x14ac:dyDescent="0.2">
      <c r="A414" t="s">
        <v>1195</v>
      </c>
      <c r="B414" t="s">
        <v>1305</v>
      </c>
      <c r="C414" s="9">
        <v>45040</v>
      </c>
      <c r="D414">
        <v>106.050003</v>
      </c>
      <c r="E414">
        <v>107.32</v>
      </c>
      <c r="F414">
        <v>105.360001</v>
      </c>
      <c r="G414">
        <v>106.779999</v>
      </c>
      <c r="H414">
        <v>21410900</v>
      </c>
      <c r="I414">
        <v>0</v>
      </c>
      <c r="J414">
        <v>0.87</v>
      </c>
    </row>
    <row r="415" spans="1:10" x14ac:dyDescent="0.2">
      <c r="A415" t="s">
        <v>1196</v>
      </c>
      <c r="B415" t="s">
        <v>1304</v>
      </c>
      <c r="C415" s="9">
        <v>45041</v>
      </c>
      <c r="D415">
        <v>106.610001</v>
      </c>
      <c r="E415">
        <v>107.44000200000001</v>
      </c>
      <c r="F415">
        <v>104.55999799999999</v>
      </c>
      <c r="G415">
        <v>104.610001</v>
      </c>
      <c r="H415">
        <v>31408100</v>
      </c>
      <c r="I415">
        <v>0</v>
      </c>
      <c r="J415">
        <v>-2.17</v>
      </c>
    </row>
    <row r="416" spans="1:10" x14ac:dyDescent="0.2">
      <c r="A416" t="s">
        <v>1197</v>
      </c>
      <c r="B416" t="s">
        <v>1301</v>
      </c>
      <c r="C416" s="9">
        <v>45042</v>
      </c>
      <c r="D416">
        <v>105.55999799999999</v>
      </c>
      <c r="E416">
        <v>107.019997</v>
      </c>
      <c r="F416">
        <v>103.269997</v>
      </c>
      <c r="G416">
        <v>104.449997</v>
      </c>
      <c r="H416">
        <v>37068200</v>
      </c>
      <c r="I416">
        <v>0</v>
      </c>
      <c r="J416">
        <v>-0.16</v>
      </c>
    </row>
    <row r="417" spans="1:10" x14ac:dyDescent="0.2">
      <c r="A417" t="s">
        <v>1198</v>
      </c>
      <c r="B417" t="s">
        <v>1302</v>
      </c>
      <c r="C417" s="9">
        <v>45043</v>
      </c>
      <c r="D417">
        <v>105.230003</v>
      </c>
      <c r="E417">
        <v>109.150002</v>
      </c>
      <c r="F417">
        <v>104.41999800000001</v>
      </c>
      <c r="G417">
        <v>108.370003</v>
      </c>
      <c r="H417">
        <v>38235200</v>
      </c>
      <c r="I417">
        <v>0</v>
      </c>
      <c r="J417">
        <v>3.92</v>
      </c>
    </row>
    <row r="418" spans="1:10" x14ac:dyDescent="0.2">
      <c r="A418" t="s">
        <v>1199</v>
      </c>
      <c r="B418" t="s">
        <v>1303</v>
      </c>
      <c r="C418" s="9">
        <v>45044</v>
      </c>
      <c r="D418">
        <v>107.800003</v>
      </c>
      <c r="E418">
        <v>108.290001</v>
      </c>
      <c r="F418">
        <v>106.040001</v>
      </c>
      <c r="G418">
        <v>108.220001</v>
      </c>
      <c r="H418">
        <v>23957900</v>
      </c>
      <c r="I418">
        <v>0</v>
      </c>
      <c r="J418">
        <v>-0.15</v>
      </c>
    </row>
    <row r="419" spans="1:10" x14ac:dyDescent="0.2">
      <c r="A419" t="s">
        <v>1200</v>
      </c>
      <c r="B419" t="s">
        <v>1305</v>
      </c>
      <c r="C419" s="9">
        <v>45047</v>
      </c>
      <c r="D419">
        <v>107.720001</v>
      </c>
      <c r="E419">
        <v>108.68</v>
      </c>
      <c r="F419">
        <v>107.5</v>
      </c>
      <c r="G419">
        <v>107.709999</v>
      </c>
      <c r="H419">
        <v>20926300</v>
      </c>
      <c r="I419">
        <v>0</v>
      </c>
      <c r="J419">
        <v>-0.51</v>
      </c>
    </row>
    <row r="420" spans="1:10" x14ac:dyDescent="0.2">
      <c r="A420" t="s">
        <v>1201</v>
      </c>
      <c r="B420" t="s">
        <v>1304</v>
      </c>
      <c r="C420" s="9">
        <v>45048</v>
      </c>
      <c r="D420">
        <v>107.660004</v>
      </c>
      <c r="E420">
        <v>107.730003</v>
      </c>
      <c r="F420">
        <v>104.5</v>
      </c>
      <c r="G420">
        <v>105.980003</v>
      </c>
      <c r="H420">
        <v>20343100</v>
      </c>
      <c r="I420">
        <v>0</v>
      </c>
      <c r="J420">
        <v>-1.73</v>
      </c>
    </row>
    <row r="421" spans="1:10" x14ac:dyDescent="0.2">
      <c r="A421" t="s">
        <v>1202</v>
      </c>
      <c r="B421" t="s">
        <v>1301</v>
      </c>
      <c r="C421" s="9">
        <v>45049</v>
      </c>
      <c r="D421">
        <v>106.220001</v>
      </c>
      <c r="E421">
        <v>108.129997</v>
      </c>
      <c r="F421">
        <v>105.620003</v>
      </c>
      <c r="G421">
        <v>106.120003</v>
      </c>
      <c r="H421">
        <v>17116300</v>
      </c>
      <c r="I421">
        <v>0</v>
      </c>
      <c r="J421">
        <v>0.14000000000000001</v>
      </c>
    </row>
    <row r="422" spans="1:10" x14ac:dyDescent="0.2">
      <c r="A422" t="s">
        <v>1203</v>
      </c>
      <c r="B422" t="s">
        <v>1302</v>
      </c>
      <c r="C422" s="9">
        <v>45050</v>
      </c>
      <c r="D422">
        <v>106.160004</v>
      </c>
      <c r="E422">
        <v>106.300003</v>
      </c>
      <c r="F422">
        <v>104.699997</v>
      </c>
      <c r="G422">
        <v>105.209999</v>
      </c>
      <c r="H422">
        <v>19780600</v>
      </c>
      <c r="I422">
        <v>0</v>
      </c>
      <c r="J422">
        <v>-0.91</v>
      </c>
    </row>
    <row r="423" spans="1:10" x14ac:dyDescent="0.2">
      <c r="A423" t="s">
        <v>1204</v>
      </c>
      <c r="B423" t="s">
        <v>1303</v>
      </c>
      <c r="C423" s="9">
        <v>45051</v>
      </c>
      <c r="D423">
        <v>105.32</v>
      </c>
      <c r="E423">
        <v>106.44000200000001</v>
      </c>
      <c r="F423">
        <v>104.738998</v>
      </c>
      <c r="G423">
        <v>106.214996</v>
      </c>
      <c r="H423">
        <v>20705300</v>
      </c>
      <c r="I423">
        <v>0</v>
      </c>
      <c r="J423">
        <v>1</v>
      </c>
    </row>
    <row r="424" spans="1:10" x14ac:dyDescent="0.2">
      <c r="A424" t="s">
        <v>1205</v>
      </c>
      <c r="B424" t="s">
        <v>1305</v>
      </c>
      <c r="C424" s="9">
        <v>45054</v>
      </c>
      <c r="D424">
        <v>105.79499800000001</v>
      </c>
      <c r="E424">
        <v>108.41999800000001</v>
      </c>
      <c r="F424">
        <v>105.790001</v>
      </c>
      <c r="G424">
        <v>108.239998</v>
      </c>
      <c r="H424">
        <v>17266000</v>
      </c>
      <c r="I424">
        <v>0</v>
      </c>
      <c r="J424">
        <v>2.0299999999999998</v>
      </c>
    </row>
    <row r="425" spans="1:10" x14ac:dyDescent="0.2">
      <c r="A425" t="s">
        <v>1206</v>
      </c>
      <c r="B425" t="s">
        <v>1304</v>
      </c>
      <c r="C425" s="9">
        <v>45055</v>
      </c>
      <c r="D425">
        <v>108.779999</v>
      </c>
      <c r="E425">
        <v>110.595001</v>
      </c>
      <c r="F425">
        <v>107.724998</v>
      </c>
      <c r="G425">
        <v>107.94000200000001</v>
      </c>
      <c r="H425">
        <v>24782400</v>
      </c>
      <c r="I425">
        <v>0</v>
      </c>
      <c r="J425">
        <v>-0.3</v>
      </c>
    </row>
    <row r="426" spans="1:10" x14ac:dyDescent="0.2">
      <c r="A426" t="s">
        <v>1207</v>
      </c>
      <c r="B426" t="s">
        <v>1301</v>
      </c>
      <c r="C426" s="9">
        <v>45056</v>
      </c>
      <c r="D426">
        <v>108.550003</v>
      </c>
      <c r="E426">
        <v>113.510002</v>
      </c>
      <c r="F426">
        <v>108.480003</v>
      </c>
      <c r="G426">
        <v>112.279999</v>
      </c>
      <c r="H426">
        <v>47533500</v>
      </c>
      <c r="I426">
        <v>0</v>
      </c>
      <c r="J426">
        <v>4.34</v>
      </c>
    </row>
    <row r="427" spans="1:10" x14ac:dyDescent="0.2">
      <c r="A427" t="s">
        <v>1208</v>
      </c>
      <c r="B427" t="s">
        <v>1302</v>
      </c>
      <c r="C427" s="9">
        <v>45057</v>
      </c>
      <c r="D427">
        <v>115.860001</v>
      </c>
      <c r="E427">
        <v>118.44000200000001</v>
      </c>
      <c r="F427">
        <v>114.93</v>
      </c>
      <c r="G427">
        <v>116.900002</v>
      </c>
      <c r="H427">
        <v>57115100</v>
      </c>
      <c r="I427">
        <v>0</v>
      </c>
      <c r="J427">
        <v>4.62</v>
      </c>
    </row>
    <row r="428" spans="1:10" x14ac:dyDescent="0.2">
      <c r="A428" t="s">
        <v>1209</v>
      </c>
      <c r="B428" t="s">
        <v>1303</v>
      </c>
      <c r="C428" s="9">
        <v>45058</v>
      </c>
      <c r="D428">
        <v>117</v>
      </c>
      <c r="E428">
        <v>118.260002</v>
      </c>
      <c r="F428">
        <v>116.550003</v>
      </c>
      <c r="G428">
        <v>117.91999800000001</v>
      </c>
      <c r="H428">
        <v>31272500</v>
      </c>
      <c r="I428">
        <v>0</v>
      </c>
      <c r="J428">
        <v>1.02</v>
      </c>
    </row>
    <row r="429" spans="1:10" x14ac:dyDescent="0.2">
      <c r="A429" t="s">
        <v>1210</v>
      </c>
      <c r="B429" t="s">
        <v>1305</v>
      </c>
      <c r="C429" s="9">
        <v>45061</v>
      </c>
      <c r="D429">
        <v>116.489998</v>
      </c>
      <c r="E429">
        <v>118.79499800000001</v>
      </c>
      <c r="F429">
        <v>116.480003</v>
      </c>
      <c r="G429">
        <v>116.959999</v>
      </c>
      <c r="H429">
        <v>22107900</v>
      </c>
      <c r="I429">
        <v>0</v>
      </c>
      <c r="J429">
        <v>-0.96</v>
      </c>
    </row>
    <row r="430" spans="1:10" x14ac:dyDescent="0.2">
      <c r="A430" t="s">
        <v>1211</v>
      </c>
      <c r="B430" t="s">
        <v>1304</v>
      </c>
      <c r="C430" s="9">
        <v>45062</v>
      </c>
      <c r="D430">
        <v>116.83000199999999</v>
      </c>
      <c r="E430">
        <v>121.199997</v>
      </c>
      <c r="F430">
        <v>116.83000199999999</v>
      </c>
      <c r="G430">
        <v>120.089996</v>
      </c>
      <c r="H430">
        <v>32370100</v>
      </c>
      <c r="I430">
        <v>0</v>
      </c>
      <c r="J430">
        <v>3.13</v>
      </c>
    </row>
    <row r="431" spans="1:10" x14ac:dyDescent="0.2">
      <c r="A431" t="s">
        <v>1212</v>
      </c>
      <c r="B431" t="s">
        <v>1301</v>
      </c>
      <c r="C431" s="9">
        <v>45063</v>
      </c>
      <c r="D431">
        <v>120.18</v>
      </c>
      <c r="E431">
        <v>122.279999</v>
      </c>
      <c r="F431">
        <v>119.459999</v>
      </c>
      <c r="G431">
        <v>121.480003</v>
      </c>
      <c r="H431">
        <v>26659600</v>
      </c>
      <c r="I431">
        <v>0</v>
      </c>
      <c r="J431">
        <v>1.39</v>
      </c>
    </row>
    <row r="432" spans="1:10" x14ac:dyDescent="0.2">
      <c r="A432" t="s">
        <v>1213</v>
      </c>
      <c r="B432" t="s">
        <v>1302</v>
      </c>
      <c r="C432" s="9">
        <v>45064</v>
      </c>
      <c r="D432">
        <v>121.55999799999999</v>
      </c>
      <c r="E432">
        <v>123.900002</v>
      </c>
      <c r="F432">
        <v>121.489998</v>
      </c>
      <c r="G432">
        <v>123.519997</v>
      </c>
      <c r="H432">
        <v>27014500</v>
      </c>
      <c r="I432">
        <v>0</v>
      </c>
      <c r="J432">
        <v>2.04</v>
      </c>
    </row>
    <row r="433" spans="1:10" x14ac:dyDescent="0.2">
      <c r="A433" t="s">
        <v>1214</v>
      </c>
      <c r="B433" t="s">
        <v>1303</v>
      </c>
      <c r="C433" s="9">
        <v>45065</v>
      </c>
      <c r="D433">
        <v>124.199997</v>
      </c>
      <c r="E433">
        <v>126.478996</v>
      </c>
      <c r="F433">
        <v>122.720001</v>
      </c>
      <c r="G433">
        <v>123.25</v>
      </c>
      <c r="H433">
        <v>30251300</v>
      </c>
      <c r="I433">
        <v>0</v>
      </c>
      <c r="J433">
        <v>-0.27</v>
      </c>
    </row>
    <row r="434" spans="1:10" x14ac:dyDescent="0.2">
      <c r="A434" t="s">
        <v>1215</v>
      </c>
      <c r="B434" t="s">
        <v>1305</v>
      </c>
      <c r="C434" s="9">
        <v>45068</v>
      </c>
      <c r="D434">
        <v>123.510002</v>
      </c>
      <c r="E434">
        <v>127.050003</v>
      </c>
      <c r="F434">
        <v>123.449997</v>
      </c>
      <c r="G434">
        <v>125.870003</v>
      </c>
      <c r="H434">
        <v>29760200</v>
      </c>
      <c r="I434">
        <v>0</v>
      </c>
      <c r="J434">
        <v>2.62</v>
      </c>
    </row>
    <row r="435" spans="1:10" x14ac:dyDescent="0.2">
      <c r="A435" t="s">
        <v>1216</v>
      </c>
      <c r="B435" t="s">
        <v>1304</v>
      </c>
      <c r="C435" s="9">
        <v>45069</v>
      </c>
      <c r="D435">
        <v>124.93</v>
      </c>
      <c r="E435">
        <v>125.41999800000001</v>
      </c>
      <c r="F435">
        <v>123.050003</v>
      </c>
      <c r="G435">
        <v>123.290001</v>
      </c>
      <c r="H435">
        <v>24477900</v>
      </c>
      <c r="I435">
        <v>0</v>
      </c>
      <c r="J435">
        <v>-2.58</v>
      </c>
    </row>
    <row r="436" spans="1:10" x14ac:dyDescent="0.2">
      <c r="A436" t="s">
        <v>1217</v>
      </c>
      <c r="B436" t="s">
        <v>1301</v>
      </c>
      <c r="C436" s="9">
        <v>45070</v>
      </c>
      <c r="D436">
        <v>121.879997</v>
      </c>
      <c r="E436">
        <v>122.75</v>
      </c>
      <c r="F436">
        <v>120.75</v>
      </c>
      <c r="G436">
        <v>121.639999</v>
      </c>
      <c r="H436">
        <v>23087900</v>
      </c>
      <c r="I436">
        <v>0</v>
      </c>
      <c r="J436">
        <v>-1.65</v>
      </c>
    </row>
    <row r="437" spans="1:10" x14ac:dyDescent="0.2">
      <c r="A437" t="s">
        <v>1218</v>
      </c>
      <c r="B437" t="s">
        <v>1302</v>
      </c>
      <c r="C437" s="9">
        <v>45071</v>
      </c>
      <c r="D437">
        <v>125.209999</v>
      </c>
      <c r="E437">
        <v>125.980003</v>
      </c>
      <c r="F437">
        <v>122.900002</v>
      </c>
      <c r="G437">
        <v>124.349998</v>
      </c>
      <c r="H437">
        <v>33812700</v>
      </c>
      <c r="I437">
        <v>0</v>
      </c>
      <c r="J437">
        <v>2.71</v>
      </c>
    </row>
    <row r="438" spans="1:10" x14ac:dyDescent="0.2">
      <c r="A438" t="s">
        <v>1219</v>
      </c>
      <c r="B438" t="s">
        <v>1303</v>
      </c>
      <c r="C438" s="9">
        <v>45072</v>
      </c>
      <c r="D438">
        <v>124.06500200000001</v>
      </c>
      <c r="E438">
        <v>126</v>
      </c>
      <c r="F438">
        <v>123.290001</v>
      </c>
      <c r="G438">
        <v>125.43</v>
      </c>
      <c r="H438">
        <v>25154700</v>
      </c>
      <c r="I438">
        <v>0</v>
      </c>
      <c r="J438">
        <v>1.08</v>
      </c>
    </row>
    <row r="439" spans="1:10" x14ac:dyDescent="0.2">
      <c r="A439" t="s">
        <v>1220</v>
      </c>
      <c r="B439" t="s">
        <v>1304</v>
      </c>
      <c r="C439" s="9">
        <v>45076</v>
      </c>
      <c r="D439">
        <v>126.290001</v>
      </c>
      <c r="E439">
        <v>126.379997</v>
      </c>
      <c r="F439">
        <v>122.889999</v>
      </c>
      <c r="G439">
        <v>124.639999</v>
      </c>
      <c r="H439">
        <v>27230700</v>
      </c>
      <c r="I439">
        <v>0</v>
      </c>
      <c r="J439">
        <v>-0.79</v>
      </c>
    </row>
    <row r="440" spans="1:10" x14ac:dyDescent="0.2">
      <c r="A440" t="s">
        <v>1221</v>
      </c>
      <c r="B440" t="s">
        <v>1301</v>
      </c>
      <c r="C440" s="9">
        <v>45077</v>
      </c>
      <c r="D440">
        <v>123.699997</v>
      </c>
      <c r="E440">
        <v>124.900002</v>
      </c>
      <c r="F440">
        <v>123.099998</v>
      </c>
      <c r="G440">
        <v>123.370003</v>
      </c>
      <c r="H440">
        <v>41548800</v>
      </c>
      <c r="I440">
        <v>0</v>
      </c>
      <c r="J440">
        <v>-1.27</v>
      </c>
    </row>
    <row r="441" spans="1:10" x14ac:dyDescent="0.2">
      <c r="A441" t="s">
        <v>1222</v>
      </c>
      <c r="B441" t="s">
        <v>1302</v>
      </c>
      <c r="C441" s="9">
        <v>45078</v>
      </c>
      <c r="D441">
        <v>123.5</v>
      </c>
      <c r="E441">
        <v>125.040001</v>
      </c>
      <c r="F441">
        <v>123.300003</v>
      </c>
      <c r="G441">
        <v>124.370003</v>
      </c>
      <c r="H441">
        <v>25017700</v>
      </c>
      <c r="I441">
        <v>0</v>
      </c>
      <c r="J441">
        <v>1</v>
      </c>
    </row>
    <row r="442" spans="1:10" x14ac:dyDescent="0.2">
      <c r="A442" t="s">
        <v>1223</v>
      </c>
      <c r="B442" t="s">
        <v>1303</v>
      </c>
      <c r="C442" s="9">
        <v>45079</v>
      </c>
      <c r="D442">
        <v>124.489998</v>
      </c>
      <c r="E442">
        <v>126.745003</v>
      </c>
      <c r="F442">
        <v>124.349998</v>
      </c>
      <c r="G442">
        <v>125.230003</v>
      </c>
      <c r="H442">
        <v>19362400</v>
      </c>
      <c r="I442">
        <v>0</v>
      </c>
      <c r="J442">
        <v>0.86</v>
      </c>
    </row>
    <row r="443" spans="1:10" x14ac:dyDescent="0.2">
      <c r="A443" t="s">
        <v>1224</v>
      </c>
      <c r="B443" t="s">
        <v>1305</v>
      </c>
      <c r="C443" s="9">
        <v>45082</v>
      </c>
      <c r="D443">
        <v>124.610001</v>
      </c>
      <c r="E443">
        <v>127.989998</v>
      </c>
      <c r="F443">
        <v>124.379997</v>
      </c>
      <c r="G443">
        <v>126.629997</v>
      </c>
      <c r="H443">
        <v>22672500</v>
      </c>
      <c r="I443">
        <v>0</v>
      </c>
      <c r="J443">
        <v>1.4</v>
      </c>
    </row>
    <row r="444" spans="1:10" x14ac:dyDescent="0.2">
      <c r="A444" t="s">
        <v>1225</v>
      </c>
      <c r="B444" t="s">
        <v>1304</v>
      </c>
      <c r="C444" s="9">
        <v>45083</v>
      </c>
      <c r="D444">
        <v>126.599998</v>
      </c>
      <c r="E444">
        <v>128.88000500000001</v>
      </c>
      <c r="F444">
        <v>125.970001</v>
      </c>
      <c r="G444">
        <v>127.910004</v>
      </c>
      <c r="H444">
        <v>19450100</v>
      </c>
      <c r="I444">
        <v>0</v>
      </c>
      <c r="J444">
        <v>1.28</v>
      </c>
    </row>
    <row r="445" spans="1:10" x14ac:dyDescent="0.2">
      <c r="A445" t="s">
        <v>1226</v>
      </c>
      <c r="B445" t="s">
        <v>1301</v>
      </c>
      <c r="C445" s="9">
        <v>45084</v>
      </c>
      <c r="D445">
        <v>127.574997</v>
      </c>
      <c r="E445">
        <v>129.550003</v>
      </c>
      <c r="F445">
        <v>122.629997</v>
      </c>
      <c r="G445">
        <v>122.94000200000001</v>
      </c>
      <c r="H445">
        <v>34179300</v>
      </c>
      <c r="I445">
        <v>0</v>
      </c>
      <c r="J445">
        <v>-4.97</v>
      </c>
    </row>
    <row r="446" spans="1:10" x14ac:dyDescent="0.2">
      <c r="A446" t="s">
        <v>1227</v>
      </c>
      <c r="B446" t="s">
        <v>1302</v>
      </c>
      <c r="C446" s="9">
        <v>45085</v>
      </c>
      <c r="D446">
        <v>122.584999</v>
      </c>
      <c r="E446">
        <v>123.730003</v>
      </c>
      <c r="F446">
        <v>122.010002</v>
      </c>
      <c r="G446">
        <v>122.66999800000001</v>
      </c>
      <c r="H446">
        <v>24815000</v>
      </c>
      <c r="I446">
        <v>0</v>
      </c>
      <c r="J446">
        <v>-0.27</v>
      </c>
    </row>
    <row r="447" spans="1:10" x14ac:dyDescent="0.2">
      <c r="A447" t="s">
        <v>1228</v>
      </c>
      <c r="B447" t="s">
        <v>1303</v>
      </c>
      <c r="C447" s="9">
        <v>45086</v>
      </c>
      <c r="D447">
        <v>122.55999799999999</v>
      </c>
      <c r="E447">
        <v>124.285004</v>
      </c>
      <c r="F447">
        <v>122.41999800000001</v>
      </c>
      <c r="G447">
        <v>122.870003</v>
      </c>
      <c r="H447">
        <v>20304500</v>
      </c>
      <c r="I447">
        <v>0</v>
      </c>
      <c r="J447">
        <v>0.2</v>
      </c>
    </row>
    <row r="448" spans="1:10" x14ac:dyDescent="0.2">
      <c r="A448" t="s">
        <v>1229</v>
      </c>
      <c r="B448" t="s">
        <v>1305</v>
      </c>
      <c r="C448" s="9">
        <v>45089</v>
      </c>
      <c r="D448">
        <v>123.394997</v>
      </c>
      <c r="E448">
        <v>124.75</v>
      </c>
      <c r="F448">
        <v>122.349998</v>
      </c>
      <c r="G448">
        <v>124.349998</v>
      </c>
      <c r="H448">
        <v>22255700</v>
      </c>
      <c r="I448">
        <v>0</v>
      </c>
      <c r="J448">
        <v>1.48</v>
      </c>
    </row>
    <row r="449" spans="1:10" x14ac:dyDescent="0.2">
      <c r="A449" t="s">
        <v>1230</v>
      </c>
      <c r="B449" t="s">
        <v>1304</v>
      </c>
      <c r="C449" s="9">
        <v>45090</v>
      </c>
      <c r="D449">
        <v>125.650002</v>
      </c>
      <c r="E449">
        <v>125.860001</v>
      </c>
      <c r="F449">
        <v>123.845001</v>
      </c>
      <c r="G449">
        <v>124.43</v>
      </c>
      <c r="H449">
        <v>19287700</v>
      </c>
      <c r="I449">
        <v>0</v>
      </c>
      <c r="J449">
        <v>0.08</v>
      </c>
    </row>
    <row r="450" spans="1:10" x14ac:dyDescent="0.2">
      <c r="A450" t="s">
        <v>1231</v>
      </c>
      <c r="B450" t="s">
        <v>1301</v>
      </c>
      <c r="C450" s="9">
        <v>45091</v>
      </c>
      <c r="D450">
        <v>123.800003</v>
      </c>
      <c r="E450">
        <v>124.790001</v>
      </c>
      <c r="F450">
        <v>122.160004</v>
      </c>
      <c r="G450">
        <v>124.379997</v>
      </c>
      <c r="H450">
        <v>24659600</v>
      </c>
      <c r="I450">
        <v>0</v>
      </c>
      <c r="J450">
        <v>-0.05</v>
      </c>
    </row>
    <row r="451" spans="1:10" x14ac:dyDescent="0.2">
      <c r="A451" t="s">
        <v>1232</v>
      </c>
      <c r="B451" t="s">
        <v>1302</v>
      </c>
      <c r="C451" s="9">
        <v>45092</v>
      </c>
      <c r="D451">
        <v>123.879997</v>
      </c>
      <c r="E451">
        <v>126.160004</v>
      </c>
      <c r="F451">
        <v>123.139999</v>
      </c>
      <c r="G451">
        <v>125.790001</v>
      </c>
      <c r="H451">
        <v>24517100</v>
      </c>
      <c r="I451">
        <v>0</v>
      </c>
      <c r="J451">
        <v>1.41</v>
      </c>
    </row>
    <row r="452" spans="1:10" x14ac:dyDescent="0.2">
      <c r="A452" t="s">
        <v>1233</v>
      </c>
      <c r="B452" t="s">
        <v>1303</v>
      </c>
      <c r="C452" s="9">
        <v>45093</v>
      </c>
      <c r="D452">
        <v>126.699997</v>
      </c>
      <c r="E452">
        <v>126.699997</v>
      </c>
      <c r="F452">
        <v>123.790001</v>
      </c>
      <c r="G452">
        <v>124.05999799999999</v>
      </c>
      <c r="H452">
        <v>56686800</v>
      </c>
      <c r="I452">
        <v>0</v>
      </c>
      <c r="J452">
        <v>-1.73</v>
      </c>
    </row>
    <row r="453" spans="1:10" x14ac:dyDescent="0.2">
      <c r="A453" t="s">
        <v>1234</v>
      </c>
      <c r="B453" t="s">
        <v>1304</v>
      </c>
      <c r="C453" s="9">
        <v>45097</v>
      </c>
      <c r="D453">
        <v>123.535004</v>
      </c>
      <c r="E453">
        <v>125.175003</v>
      </c>
      <c r="F453">
        <v>122.83000199999999</v>
      </c>
      <c r="G453">
        <v>123.849998</v>
      </c>
      <c r="H453">
        <v>22698000</v>
      </c>
      <c r="I453">
        <v>0</v>
      </c>
      <c r="J453">
        <v>-0.21</v>
      </c>
    </row>
    <row r="454" spans="1:10" x14ac:dyDescent="0.2">
      <c r="A454" t="s">
        <v>1235</v>
      </c>
      <c r="B454" t="s">
        <v>1301</v>
      </c>
      <c r="C454" s="9">
        <v>45098</v>
      </c>
      <c r="D454">
        <v>123.235001</v>
      </c>
      <c r="E454">
        <v>123.410004</v>
      </c>
      <c r="F454">
        <v>120.860001</v>
      </c>
      <c r="G454">
        <v>121.260002</v>
      </c>
      <c r="H454">
        <v>22612000</v>
      </c>
      <c r="I454">
        <v>0</v>
      </c>
      <c r="J454">
        <v>-2.59</v>
      </c>
    </row>
    <row r="455" spans="1:10" x14ac:dyDescent="0.2">
      <c r="A455" t="s">
        <v>1236</v>
      </c>
      <c r="B455" t="s">
        <v>1302</v>
      </c>
      <c r="C455" s="9">
        <v>45099</v>
      </c>
      <c r="D455">
        <v>120.660004</v>
      </c>
      <c r="E455">
        <v>123.93499799999999</v>
      </c>
      <c r="F455">
        <v>119.599998</v>
      </c>
      <c r="G455">
        <v>123.870003</v>
      </c>
      <c r="H455">
        <v>20781900</v>
      </c>
      <c r="I455">
        <v>0</v>
      </c>
      <c r="J455">
        <v>2.61</v>
      </c>
    </row>
    <row r="456" spans="1:10" x14ac:dyDescent="0.2">
      <c r="A456" t="s">
        <v>1237</v>
      </c>
      <c r="B456" t="s">
        <v>1303</v>
      </c>
      <c r="C456" s="9">
        <v>45100</v>
      </c>
      <c r="D456">
        <v>122.040001</v>
      </c>
      <c r="E456">
        <v>123.44000200000001</v>
      </c>
      <c r="F456">
        <v>121.860001</v>
      </c>
      <c r="G456">
        <v>123.019997</v>
      </c>
      <c r="H456">
        <v>29542900</v>
      </c>
      <c r="I456">
        <v>0</v>
      </c>
      <c r="J456">
        <v>-0.85</v>
      </c>
    </row>
    <row r="457" spans="1:10" x14ac:dyDescent="0.2">
      <c r="A457" t="s">
        <v>1238</v>
      </c>
      <c r="B457" t="s">
        <v>1305</v>
      </c>
      <c r="C457" s="9">
        <v>45103</v>
      </c>
      <c r="D457">
        <v>121.466003</v>
      </c>
      <c r="E457">
        <v>122.720001</v>
      </c>
      <c r="F457">
        <v>118.989998</v>
      </c>
      <c r="G457">
        <v>119.089996</v>
      </c>
      <c r="H457">
        <v>23185000</v>
      </c>
      <c r="I457">
        <v>0</v>
      </c>
      <c r="J457">
        <v>-3.93</v>
      </c>
    </row>
    <row r="458" spans="1:10" x14ac:dyDescent="0.2">
      <c r="A458" t="s">
        <v>1239</v>
      </c>
      <c r="B458" t="s">
        <v>1304</v>
      </c>
      <c r="C458" s="9">
        <v>45104</v>
      </c>
      <c r="D458">
        <v>117.839996</v>
      </c>
      <c r="E458">
        <v>119.894997</v>
      </c>
      <c r="F458">
        <v>116.910004</v>
      </c>
      <c r="G458">
        <v>119.010002</v>
      </c>
      <c r="H458">
        <v>27221700</v>
      </c>
      <c r="I458">
        <v>0</v>
      </c>
      <c r="J458">
        <v>-0.08</v>
      </c>
    </row>
    <row r="459" spans="1:10" x14ac:dyDescent="0.2">
      <c r="A459" t="s">
        <v>1240</v>
      </c>
      <c r="B459" t="s">
        <v>1301</v>
      </c>
      <c r="C459" s="9">
        <v>45105</v>
      </c>
      <c r="D459">
        <v>117.959999</v>
      </c>
      <c r="E459">
        <v>121.269997</v>
      </c>
      <c r="F459">
        <v>117.599998</v>
      </c>
      <c r="G459">
        <v>121.08000199999999</v>
      </c>
      <c r="H459">
        <v>19753100</v>
      </c>
      <c r="I459">
        <v>0</v>
      </c>
      <c r="J459">
        <v>2.0699999999999998</v>
      </c>
    </row>
    <row r="460" spans="1:10" x14ac:dyDescent="0.2">
      <c r="A460" t="s">
        <v>1241</v>
      </c>
      <c r="B460" t="s">
        <v>1302</v>
      </c>
      <c r="C460" s="9">
        <v>45106</v>
      </c>
      <c r="D460">
        <v>120.089996</v>
      </c>
      <c r="E460">
        <v>120.910004</v>
      </c>
      <c r="F460">
        <v>119.209999</v>
      </c>
      <c r="G460">
        <v>120.010002</v>
      </c>
      <c r="H460">
        <v>18517500</v>
      </c>
      <c r="I460">
        <v>0</v>
      </c>
      <c r="J460">
        <v>-1.07</v>
      </c>
    </row>
    <row r="461" spans="1:10" x14ac:dyDescent="0.2">
      <c r="A461" t="s">
        <v>1242</v>
      </c>
      <c r="B461" t="s">
        <v>1303</v>
      </c>
      <c r="C461" s="9">
        <v>45107</v>
      </c>
      <c r="D461">
        <v>121.099998</v>
      </c>
      <c r="E461">
        <v>122.029999</v>
      </c>
      <c r="F461">
        <v>120.879997</v>
      </c>
      <c r="G461">
        <v>120.970001</v>
      </c>
      <c r="H461">
        <v>23865800</v>
      </c>
      <c r="I461">
        <v>0</v>
      </c>
      <c r="J461">
        <v>0.96</v>
      </c>
    </row>
    <row r="462" spans="1:10" x14ac:dyDescent="0.2">
      <c r="A462" t="s">
        <v>1243</v>
      </c>
      <c r="B462" t="s">
        <v>1305</v>
      </c>
      <c r="C462" s="9">
        <v>45110</v>
      </c>
      <c r="D462">
        <v>120.32</v>
      </c>
      <c r="E462">
        <v>121.019997</v>
      </c>
      <c r="F462">
        <v>119.70500199999999</v>
      </c>
      <c r="G462">
        <v>120.55999799999999</v>
      </c>
      <c r="H462">
        <v>13888300</v>
      </c>
      <c r="I462">
        <v>0</v>
      </c>
      <c r="J462">
        <v>-0.41</v>
      </c>
    </row>
    <row r="463" spans="1:10" x14ac:dyDescent="0.2">
      <c r="A463" t="s">
        <v>1244</v>
      </c>
      <c r="B463" t="s">
        <v>1301</v>
      </c>
      <c r="C463" s="9">
        <v>45112</v>
      </c>
      <c r="D463">
        <v>120.05999799999999</v>
      </c>
      <c r="E463">
        <v>123.370003</v>
      </c>
      <c r="F463">
        <v>120.05999799999999</v>
      </c>
      <c r="G463">
        <v>122.629997</v>
      </c>
      <c r="H463">
        <v>17830300</v>
      </c>
      <c r="I463">
        <v>0</v>
      </c>
      <c r="J463">
        <v>2.0699999999999998</v>
      </c>
    </row>
    <row r="464" spans="1:10" x14ac:dyDescent="0.2">
      <c r="A464" t="s">
        <v>1245</v>
      </c>
      <c r="B464" t="s">
        <v>1302</v>
      </c>
      <c r="C464" s="9">
        <v>45113</v>
      </c>
      <c r="D464">
        <v>120.639999</v>
      </c>
      <c r="E464">
        <v>121.150002</v>
      </c>
      <c r="F464">
        <v>119.25</v>
      </c>
      <c r="G464">
        <v>120.93</v>
      </c>
      <c r="H464">
        <v>17732500</v>
      </c>
      <c r="I464">
        <v>0</v>
      </c>
      <c r="J464">
        <v>-1.7</v>
      </c>
    </row>
    <row r="465" spans="1:10" x14ac:dyDescent="0.2">
      <c r="A465" t="s">
        <v>1246</v>
      </c>
      <c r="B465" t="s">
        <v>1303</v>
      </c>
      <c r="C465" s="9">
        <v>45114</v>
      </c>
      <c r="D465">
        <v>120.889999</v>
      </c>
      <c r="E465">
        <v>121.75</v>
      </c>
      <c r="F465">
        <v>120.089996</v>
      </c>
      <c r="G465">
        <v>120.139999</v>
      </c>
      <c r="H465">
        <v>20982400</v>
      </c>
      <c r="I465">
        <v>0</v>
      </c>
      <c r="J465">
        <v>-0.79</v>
      </c>
    </row>
    <row r="466" spans="1:10" x14ac:dyDescent="0.2">
      <c r="A466" t="s">
        <v>1247</v>
      </c>
      <c r="B466" t="s">
        <v>1305</v>
      </c>
      <c r="C466" s="9">
        <v>45117</v>
      </c>
      <c r="D466">
        <v>119.07</v>
      </c>
      <c r="E466">
        <v>119.07</v>
      </c>
      <c r="F466">
        <v>116.639999</v>
      </c>
      <c r="G466">
        <v>116.870003</v>
      </c>
      <c r="H466">
        <v>32960100</v>
      </c>
      <c r="I466">
        <v>0</v>
      </c>
      <c r="J466">
        <v>-3.27</v>
      </c>
    </row>
    <row r="467" spans="1:10" x14ac:dyDescent="0.2">
      <c r="A467" t="s">
        <v>1248</v>
      </c>
      <c r="B467" t="s">
        <v>1304</v>
      </c>
      <c r="C467" s="9">
        <v>45118</v>
      </c>
      <c r="D467">
        <v>116.760002</v>
      </c>
      <c r="E467">
        <v>118.224998</v>
      </c>
      <c r="F467">
        <v>115.83000199999999</v>
      </c>
      <c r="G467">
        <v>117.709999</v>
      </c>
      <c r="H467">
        <v>18286600</v>
      </c>
      <c r="I467">
        <v>0</v>
      </c>
      <c r="J467">
        <v>0.84</v>
      </c>
    </row>
    <row r="468" spans="1:10" x14ac:dyDescent="0.2">
      <c r="A468" t="s">
        <v>1249</v>
      </c>
      <c r="B468" t="s">
        <v>1301</v>
      </c>
      <c r="C468" s="9">
        <v>45119</v>
      </c>
      <c r="D468">
        <v>119.300003</v>
      </c>
      <c r="E468">
        <v>120.959999</v>
      </c>
      <c r="F468">
        <v>119</v>
      </c>
      <c r="G468">
        <v>119.620003</v>
      </c>
      <c r="H468">
        <v>22059600</v>
      </c>
      <c r="I468">
        <v>0</v>
      </c>
      <c r="J468">
        <v>1.91</v>
      </c>
    </row>
    <row r="469" spans="1:10" x14ac:dyDescent="0.2">
      <c r="A469" t="s">
        <v>1250</v>
      </c>
      <c r="B469" t="s">
        <v>1302</v>
      </c>
      <c r="C469" s="9">
        <v>45120</v>
      </c>
      <c r="D469">
        <v>121.540001</v>
      </c>
      <c r="E469">
        <v>125.334999</v>
      </c>
      <c r="F469">
        <v>121.05999799999999</v>
      </c>
      <c r="G469">
        <v>124.83000199999999</v>
      </c>
      <c r="H469">
        <v>31535900</v>
      </c>
      <c r="I469">
        <v>0</v>
      </c>
      <c r="J469">
        <v>5.21</v>
      </c>
    </row>
    <row r="470" spans="1:10" x14ac:dyDescent="0.2">
      <c r="A470" t="s">
        <v>1251</v>
      </c>
      <c r="B470" t="s">
        <v>1303</v>
      </c>
      <c r="C470" s="9">
        <v>45121</v>
      </c>
      <c r="D470">
        <v>125.129997</v>
      </c>
      <c r="E470">
        <v>127.089996</v>
      </c>
      <c r="F470">
        <v>124.900002</v>
      </c>
      <c r="G470">
        <v>125.699997</v>
      </c>
      <c r="H470">
        <v>20482800</v>
      </c>
      <c r="I470">
        <v>0</v>
      </c>
      <c r="J470">
        <v>0.87</v>
      </c>
    </row>
    <row r="471" spans="1:10" x14ac:dyDescent="0.2">
      <c r="A471" t="s">
        <v>1252</v>
      </c>
      <c r="B471" t="s">
        <v>1305</v>
      </c>
      <c r="C471" s="9">
        <v>45124</v>
      </c>
      <c r="D471">
        <v>126.05999799999999</v>
      </c>
      <c r="E471">
        <v>127.279999</v>
      </c>
      <c r="F471">
        <v>124.5</v>
      </c>
      <c r="G471">
        <v>125.05999799999999</v>
      </c>
      <c r="H471">
        <v>20675300</v>
      </c>
      <c r="I471">
        <v>0</v>
      </c>
      <c r="J471">
        <v>-0.64</v>
      </c>
    </row>
    <row r="472" spans="1:10" x14ac:dyDescent="0.2">
      <c r="A472" t="s">
        <v>1253</v>
      </c>
      <c r="B472" t="s">
        <v>1304</v>
      </c>
      <c r="C472" s="9">
        <v>45125</v>
      </c>
      <c r="D472">
        <v>124.904999</v>
      </c>
      <c r="E472">
        <v>124.989998</v>
      </c>
      <c r="F472">
        <v>123.300003</v>
      </c>
      <c r="G472">
        <v>124.08000199999999</v>
      </c>
      <c r="H472">
        <v>21071200</v>
      </c>
      <c r="I472">
        <v>0</v>
      </c>
      <c r="J472">
        <v>-0.98</v>
      </c>
    </row>
    <row r="473" spans="1:10" x14ac:dyDescent="0.2">
      <c r="A473" t="s">
        <v>1254</v>
      </c>
      <c r="B473" t="s">
        <v>1301</v>
      </c>
      <c r="C473" s="9">
        <v>45126</v>
      </c>
      <c r="D473">
        <v>124.790001</v>
      </c>
      <c r="E473">
        <v>125.470001</v>
      </c>
      <c r="F473">
        <v>122.470001</v>
      </c>
      <c r="G473">
        <v>122.779999</v>
      </c>
      <c r="H473">
        <v>22313800</v>
      </c>
      <c r="I473">
        <v>0</v>
      </c>
      <c r="J473">
        <v>-1.3</v>
      </c>
    </row>
    <row r="474" spans="1:10" x14ac:dyDescent="0.2">
      <c r="A474" t="s">
        <v>1255</v>
      </c>
      <c r="B474" t="s">
        <v>1302</v>
      </c>
      <c r="C474" s="9">
        <v>45127</v>
      </c>
      <c r="D474">
        <v>122.120003</v>
      </c>
      <c r="E474">
        <v>124.699997</v>
      </c>
      <c r="F474">
        <v>118.68499799999999</v>
      </c>
      <c r="G474">
        <v>119.529999</v>
      </c>
      <c r="H474">
        <v>27541700</v>
      </c>
      <c r="I474">
        <v>0</v>
      </c>
      <c r="J474">
        <v>-3.25</v>
      </c>
    </row>
    <row r="475" spans="1:10" x14ac:dyDescent="0.2">
      <c r="A475" t="s">
        <v>1256</v>
      </c>
      <c r="B475" t="s">
        <v>1303</v>
      </c>
      <c r="C475" s="9">
        <v>45128</v>
      </c>
      <c r="D475">
        <v>120.870003</v>
      </c>
      <c r="E475">
        <v>121.300003</v>
      </c>
      <c r="F475">
        <v>119.07</v>
      </c>
      <c r="G475">
        <v>120.30999799999999</v>
      </c>
      <c r="H475">
        <v>56498100</v>
      </c>
      <c r="I475">
        <v>0</v>
      </c>
      <c r="J475">
        <v>0.78</v>
      </c>
    </row>
    <row r="476" spans="1:10" x14ac:dyDescent="0.2">
      <c r="A476" t="s">
        <v>1257</v>
      </c>
      <c r="B476" t="s">
        <v>1305</v>
      </c>
      <c r="C476" s="9">
        <v>45131</v>
      </c>
      <c r="D476">
        <v>121.92600299999999</v>
      </c>
      <c r="E476">
        <v>123.349998</v>
      </c>
      <c r="F476">
        <v>121.379997</v>
      </c>
      <c r="G476">
        <v>121.879997</v>
      </c>
      <c r="H476">
        <v>22276100</v>
      </c>
      <c r="I476">
        <v>0</v>
      </c>
      <c r="J476">
        <v>1.57</v>
      </c>
    </row>
    <row r="477" spans="1:10" x14ac:dyDescent="0.2">
      <c r="A477" t="s">
        <v>1258</v>
      </c>
      <c r="B477" t="s">
        <v>1304</v>
      </c>
      <c r="C477" s="9">
        <v>45132</v>
      </c>
      <c r="D477">
        <v>121.879997</v>
      </c>
      <c r="E477">
        <v>123.69000200000001</v>
      </c>
      <c r="F477">
        <v>121.529999</v>
      </c>
      <c r="G477">
        <v>122.790001</v>
      </c>
      <c r="H477">
        <v>31820800</v>
      </c>
      <c r="I477">
        <v>0</v>
      </c>
      <c r="J477">
        <v>0.91</v>
      </c>
    </row>
    <row r="478" spans="1:10" x14ac:dyDescent="0.2">
      <c r="A478" t="s">
        <v>1259</v>
      </c>
      <c r="B478" t="s">
        <v>1301</v>
      </c>
      <c r="C478" s="9">
        <v>45133</v>
      </c>
      <c r="D478">
        <v>130.36000100000001</v>
      </c>
      <c r="E478">
        <v>131.36999499999999</v>
      </c>
      <c r="F478">
        <v>128.71000699999999</v>
      </c>
      <c r="G478">
        <v>129.66000399999999</v>
      </c>
      <c r="H478">
        <v>46216900</v>
      </c>
      <c r="I478">
        <v>0</v>
      </c>
      <c r="J478">
        <v>6.87</v>
      </c>
    </row>
    <row r="479" spans="1:10" x14ac:dyDescent="0.2">
      <c r="A479" t="s">
        <v>1260</v>
      </c>
      <c r="B479" t="s">
        <v>1302</v>
      </c>
      <c r="C479" s="9">
        <v>45134</v>
      </c>
      <c r="D479">
        <v>131.800003</v>
      </c>
      <c r="E479">
        <v>133.60000600000001</v>
      </c>
      <c r="F479">
        <v>129.179993</v>
      </c>
      <c r="G479">
        <v>129.86999499999999</v>
      </c>
      <c r="H479">
        <v>35931600</v>
      </c>
      <c r="I479">
        <v>0</v>
      </c>
      <c r="J479">
        <v>0.21</v>
      </c>
    </row>
    <row r="480" spans="1:10" x14ac:dyDescent="0.2">
      <c r="A480" t="s">
        <v>1261</v>
      </c>
      <c r="B480" t="s">
        <v>1303</v>
      </c>
      <c r="C480" s="9">
        <v>45135</v>
      </c>
      <c r="D480">
        <v>130.970001</v>
      </c>
      <c r="E480">
        <v>134.070007</v>
      </c>
      <c r="F480">
        <v>130.91999799999999</v>
      </c>
      <c r="G480">
        <v>133.009995</v>
      </c>
      <c r="H480">
        <v>26971000</v>
      </c>
      <c r="I480">
        <v>0</v>
      </c>
      <c r="J480">
        <v>3.14</v>
      </c>
    </row>
    <row r="481" spans="1:10" x14ac:dyDescent="0.2">
      <c r="A481" t="s">
        <v>1262</v>
      </c>
      <c r="B481" t="s">
        <v>1305</v>
      </c>
      <c r="C481" s="9">
        <v>45138</v>
      </c>
      <c r="D481">
        <v>133.009995</v>
      </c>
      <c r="E481">
        <v>133.83000200000001</v>
      </c>
      <c r="F481">
        <v>132.13000500000001</v>
      </c>
      <c r="G481">
        <v>133.11000100000001</v>
      </c>
      <c r="H481">
        <v>18381900</v>
      </c>
      <c r="I481">
        <v>0</v>
      </c>
      <c r="J481">
        <v>0.1</v>
      </c>
    </row>
    <row r="482" spans="1:10" x14ac:dyDescent="0.2">
      <c r="A482" t="s">
        <v>1263</v>
      </c>
      <c r="B482" t="s">
        <v>1304</v>
      </c>
      <c r="C482" s="9">
        <v>45139</v>
      </c>
      <c r="D482">
        <v>130.854996</v>
      </c>
      <c r="E482">
        <v>132.91999799999999</v>
      </c>
      <c r="F482">
        <v>130.75</v>
      </c>
      <c r="G482">
        <v>131.88999899999999</v>
      </c>
      <c r="H482">
        <v>22154300</v>
      </c>
      <c r="I482">
        <v>0</v>
      </c>
      <c r="J482">
        <v>-1.22</v>
      </c>
    </row>
    <row r="483" spans="1:10" x14ac:dyDescent="0.2">
      <c r="A483" t="s">
        <v>1264</v>
      </c>
      <c r="B483" t="s">
        <v>1301</v>
      </c>
      <c r="C483" s="9">
        <v>45140</v>
      </c>
      <c r="D483">
        <v>129.83999600000001</v>
      </c>
      <c r="E483">
        <v>130.41999799999999</v>
      </c>
      <c r="F483">
        <v>127.849998</v>
      </c>
      <c r="G483">
        <v>128.63999899999999</v>
      </c>
      <c r="H483">
        <v>22705800</v>
      </c>
      <c r="I483">
        <v>0</v>
      </c>
      <c r="J483">
        <v>-3.25</v>
      </c>
    </row>
    <row r="484" spans="1:10" x14ac:dyDescent="0.2">
      <c r="A484" t="s">
        <v>1265</v>
      </c>
      <c r="B484" t="s">
        <v>1302</v>
      </c>
      <c r="C484" s="9">
        <v>45141</v>
      </c>
      <c r="D484">
        <v>128.36999499999999</v>
      </c>
      <c r="E484">
        <v>129.770004</v>
      </c>
      <c r="F484">
        <v>127.775002</v>
      </c>
      <c r="G484">
        <v>128.770004</v>
      </c>
      <c r="H484">
        <v>15018100</v>
      </c>
      <c r="I484">
        <v>0</v>
      </c>
      <c r="J484">
        <v>0.13</v>
      </c>
    </row>
    <row r="485" spans="1:10" x14ac:dyDescent="0.2">
      <c r="A485" t="s">
        <v>1266</v>
      </c>
      <c r="B485" t="s">
        <v>1303</v>
      </c>
      <c r="C485" s="9">
        <v>45142</v>
      </c>
      <c r="D485">
        <v>129.60000600000001</v>
      </c>
      <c r="E485">
        <v>131.929993</v>
      </c>
      <c r="F485">
        <v>128.31500199999999</v>
      </c>
      <c r="G485">
        <v>128.53999300000001</v>
      </c>
      <c r="H485">
        <v>20509500</v>
      </c>
      <c r="I485">
        <v>0</v>
      </c>
      <c r="J485">
        <v>-0.23</v>
      </c>
    </row>
    <row r="486" spans="1:10" x14ac:dyDescent="0.2">
      <c r="A486" t="s">
        <v>1267</v>
      </c>
      <c r="B486" t="s">
        <v>1305</v>
      </c>
      <c r="C486" s="9">
        <v>45145</v>
      </c>
      <c r="D486">
        <v>129.509995</v>
      </c>
      <c r="E486">
        <v>132.05999800000001</v>
      </c>
      <c r="F486">
        <v>129.429993</v>
      </c>
      <c r="G486">
        <v>131.94000199999999</v>
      </c>
      <c r="H486">
        <v>17621000</v>
      </c>
      <c r="I486">
        <v>0</v>
      </c>
      <c r="J486">
        <v>3.4</v>
      </c>
    </row>
    <row r="487" spans="1:10" x14ac:dyDescent="0.2">
      <c r="A487" t="s">
        <v>1268</v>
      </c>
      <c r="B487" t="s">
        <v>1304</v>
      </c>
      <c r="C487" s="9">
        <v>45146</v>
      </c>
      <c r="D487">
        <v>130.979996</v>
      </c>
      <c r="E487">
        <v>131.94000199999999</v>
      </c>
      <c r="F487">
        <v>130.13000500000001</v>
      </c>
      <c r="G487">
        <v>131.83999600000001</v>
      </c>
      <c r="H487">
        <v>16836000</v>
      </c>
      <c r="I487">
        <v>0</v>
      </c>
      <c r="J487">
        <v>-0.1</v>
      </c>
    </row>
    <row r="488" spans="1:10" x14ac:dyDescent="0.2">
      <c r="A488" t="s">
        <v>1269</v>
      </c>
      <c r="B488" t="s">
        <v>1301</v>
      </c>
      <c r="C488" s="9">
        <v>45147</v>
      </c>
      <c r="D488">
        <v>132.19000199999999</v>
      </c>
      <c r="E488">
        <v>132.470001</v>
      </c>
      <c r="F488">
        <v>129.50500500000001</v>
      </c>
      <c r="G488">
        <v>130.14999399999999</v>
      </c>
      <c r="H488">
        <v>17745200</v>
      </c>
      <c r="I488">
        <v>0</v>
      </c>
      <c r="J488">
        <v>-1.69</v>
      </c>
    </row>
    <row r="489" spans="1:10" x14ac:dyDescent="0.2">
      <c r="A489" t="s">
        <v>1270</v>
      </c>
      <c r="B489" t="s">
        <v>1302</v>
      </c>
      <c r="C489" s="9">
        <v>45148</v>
      </c>
      <c r="D489">
        <v>131.970001</v>
      </c>
      <c r="E489">
        <v>132.64700300000001</v>
      </c>
      <c r="F489">
        <v>130.03500399999999</v>
      </c>
      <c r="G489">
        <v>130.21000699999999</v>
      </c>
      <c r="H489">
        <v>17855700</v>
      </c>
      <c r="I489">
        <v>0</v>
      </c>
      <c r="J489">
        <v>0.06</v>
      </c>
    </row>
    <row r="490" spans="1:10" x14ac:dyDescent="0.2">
      <c r="A490" t="s">
        <v>1271</v>
      </c>
      <c r="B490" t="s">
        <v>1303</v>
      </c>
      <c r="C490" s="9">
        <v>45149</v>
      </c>
      <c r="D490">
        <v>129.20199600000001</v>
      </c>
      <c r="E490">
        <v>130.44000199999999</v>
      </c>
      <c r="F490">
        <v>128.75</v>
      </c>
      <c r="G490">
        <v>130.16999799999999</v>
      </c>
      <c r="H490">
        <v>15191500</v>
      </c>
      <c r="I490">
        <v>0</v>
      </c>
      <c r="J490">
        <v>-0.04</v>
      </c>
    </row>
    <row r="491" spans="1:10" x14ac:dyDescent="0.2">
      <c r="A491" t="s">
        <v>1272</v>
      </c>
      <c r="B491" t="s">
        <v>1305</v>
      </c>
      <c r="C491" s="9">
        <v>45152</v>
      </c>
      <c r="D491">
        <v>129.85000600000001</v>
      </c>
      <c r="E491">
        <v>131.91000399999999</v>
      </c>
      <c r="F491">
        <v>129.58999600000001</v>
      </c>
      <c r="G491">
        <v>131.83000200000001</v>
      </c>
      <c r="H491">
        <v>17526200</v>
      </c>
      <c r="I491">
        <v>0</v>
      </c>
      <c r="J491">
        <v>1.66</v>
      </c>
    </row>
    <row r="492" spans="1:10" x14ac:dyDescent="0.2">
      <c r="A492" t="s">
        <v>1273</v>
      </c>
      <c r="B492" t="s">
        <v>1304</v>
      </c>
      <c r="C492" s="9">
        <v>45153</v>
      </c>
      <c r="D492">
        <v>131.58999600000001</v>
      </c>
      <c r="E492">
        <v>131.990005</v>
      </c>
      <c r="F492">
        <v>129.81899999999999</v>
      </c>
      <c r="G492">
        <v>130.270004</v>
      </c>
      <c r="H492">
        <v>14769200</v>
      </c>
      <c r="I492">
        <v>0</v>
      </c>
      <c r="J492">
        <v>-1.56</v>
      </c>
    </row>
    <row r="493" spans="1:10" x14ac:dyDescent="0.2">
      <c r="A493" t="s">
        <v>1274</v>
      </c>
      <c r="B493" t="s">
        <v>1301</v>
      </c>
      <c r="C493" s="9">
        <v>45154</v>
      </c>
      <c r="D493">
        <v>129.279999</v>
      </c>
      <c r="E493">
        <v>130.89799500000001</v>
      </c>
      <c r="F493">
        <v>128.46000699999999</v>
      </c>
      <c r="G493">
        <v>129.11000100000001</v>
      </c>
      <c r="H493">
        <v>17548400</v>
      </c>
      <c r="I493">
        <v>0</v>
      </c>
      <c r="J493">
        <v>-1.1599999999999999</v>
      </c>
    </row>
    <row r="494" spans="1:10" x14ac:dyDescent="0.2">
      <c r="A494" t="s">
        <v>1275</v>
      </c>
      <c r="B494" t="s">
        <v>1302</v>
      </c>
      <c r="C494" s="9">
        <v>45155</v>
      </c>
      <c r="D494">
        <v>130.449997</v>
      </c>
      <c r="E494">
        <v>132.49099699999999</v>
      </c>
      <c r="F494">
        <v>129.85000600000001</v>
      </c>
      <c r="G494">
        <v>130.46000699999999</v>
      </c>
      <c r="H494">
        <v>23665600</v>
      </c>
      <c r="I494">
        <v>0</v>
      </c>
      <c r="J494">
        <v>1.35</v>
      </c>
    </row>
    <row r="495" spans="1:10" x14ac:dyDescent="0.2">
      <c r="A495" t="s">
        <v>1276</v>
      </c>
      <c r="B495" t="s">
        <v>1303</v>
      </c>
      <c r="C495" s="9">
        <v>45156</v>
      </c>
      <c r="D495">
        <v>129.05999800000001</v>
      </c>
      <c r="E495">
        <v>129.83000200000001</v>
      </c>
      <c r="F495">
        <v>127</v>
      </c>
      <c r="G495">
        <v>128.11000100000001</v>
      </c>
      <c r="H495">
        <v>23619400</v>
      </c>
      <c r="I495">
        <v>0</v>
      </c>
      <c r="J495">
        <v>-2.35</v>
      </c>
    </row>
    <row r="496" spans="1:10" x14ac:dyDescent="0.2">
      <c r="A496" t="s">
        <v>1277</v>
      </c>
      <c r="B496" t="s">
        <v>1305</v>
      </c>
      <c r="C496" s="9">
        <v>45159</v>
      </c>
      <c r="D496">
        <v>127.849998</v>
      </c>
      <c r="E496">
        <v>129.259995</v>
      </c>
      <c r="F496">
        <v>127.160004</v>
      </c>
      <c r="G496">
        <v>128.929993</v>
      </c>
      <c r="H496">
        <v>21851100</v>
      </c>
      <c r="I496">
        <v>0</v>
      </c>
      <c r="J496">
        <v>0.82</v>
      </c>
    </row>
    <row r="497" spans="1:10" x14ac:dyDescent="0.2">
      <c r="A497" t="s">
        <v>1278</v>
      </c>
      <c r="B497" t="s">
        <v>1304</v>
      </c>
      <c r="C497" s="9">
        <v>45160</v>
      </c>
      <c r="D497">
        <v>129.13000500000001</v>
      </c>
      <c r="E497">
        <v>130.949997</v>
      </c>
      <c r="F497">
        <v>128.925003</v>
      </c>
      <c r="G497">
        <v>129.69000199999999</v>
      </c>
      <c r="H497">
        <v>15569400</v>
      </c>
      <c r="I497">
        <v>0</v>
      </c>
      <c r="J497">
        <v>0.76</v>
      </c>
    </row>
    <row r="498" spans="1:10" x14ac:dyDescent="0.2">
      <c r="A498" t="s">
        <v>1279</v>
      </c>
      <c r="B498" t="s">
        <v>1301</v>
      </c>
      <c r="C498" s="9">
        <v>45161</v>
      </c>
      <c r="D498">
        <v>130.85000600000001</v>
      </c>
      <c r="E498">
        <v>134.070007</v>
      </c>
      <c r="F498">
        <v>130.509995</v>
      </c>
      <c r="G498">
        <v>133.21000699999999</v>
      </c>
      <c r="H498">
        <v>26497000</v>
      </c>
      <c r="I498">
        <v>0</v>
      </c>
      <c r="J498">
        <v>3.52</v>
      </c>
    </row>
    <row r="499" spans="1:10" x14ac:dyDescent="0.2">
      <c r="A499" t="s">
        <v>1280</v>
      </c>
      <c r="B499" t="s">
        <v>1302</v>
      </c>
      <c r="C499" s="9">
        <v>45162</v>
      </c>
      <c r="D499">
        <v>134.72700499999999</v>
      </c>
      <c r="E499">
        <v>134.970001</v>
      </c>
      <c r="F499">
        <v>130.300003</v>
      </c>
      <c r="G499">
        <v>130.41999799999999</v>
      </c>
      <c r="H499">
        <v>18680400</v>
      </c>
      <c r="I499">
        <v>0</v>
      </c>
      <c r="J499">
        <v>-2.79</v>
      </c>
    </row>
    <row r="500" spans="1:10" x14ac:dyDescent="0.2">
      <c r="A500" t="s">
        <v>1281</v>
      </c>
      <c r="B500" t="s">
        <v>1303</v>
      </c>
      <c r="C500" s="9">
        <v>45163</v>
      </c>
      <c r="D500">
        <v>130.13999899999999</v>
      </c>
      <c r="E500">
        <v>131.39999399999999</v>
      </c>
      <c r="F500">
        <v>128.03999300000001</v>
      </c>
      <c r="G500">
        <v>130.69000199999999</v>
      </c>
      <c r="H500">
        <v>20678100</v>
      </c>
      <c r="I500">
        <v>0</v>
      </c>
      <c r="J500">
        <v>0.27</v>
      </c>
    </row>
    <row r="501" spans="1:10" x14ac:dyDescent="0.2">
      <c r="A501" t="s">
        <v>1282</v>
      </c>
      <c r="B501" t="s">
        <v>1305</v>
      </c>
      <c r="C501" s="9">
        <v>45166</v>
      </c>
      <c r="D501">
        <v>132.08000200000001</v>
      </c>
      <c r="E501">
        <v>133.240005</v>
      </c>
      <c r="F501">
        <v>130.85000600000001</v>
      </c>
      <c r="G501">
        <v>131.78999300000001</v>
      </c>
      <c r="H501">
        <v>16715500</v>
      </c>
      <c r="I501">
        <v>0</v>
      </c>
      <c r="J501">
        <v>1.1000000000000001</v>
      </c>
    </row>
    <row r="502" spans="1:10" x14ac:dyDescent="0.2">
      <c r="A502" t="s">
        <v>1283</v>
      </c>
      <c r="B502" t="s">
        <v>1304</v>
      </c>
      <c r="C502" s="9">
        <v>45167</v>
      </c>
      <c r="D502">
        <v>132.99800099999999</v>
      </c>
      <c r="E502">
        <v>137.29499799999999</v>
      </c>
      <c r="F502">
        <v>132.979996</v>
      </c>
      <c r="G502">
        <v>135.490005</v>
      </c>
      <c r="H502">
        <v>30803300</v>
      </c>
      <c r="I502">
        <v>0</v>
      </c>
      <c r="J502">
        <v>3.7</v>
      </c>
    </row>
    <row r="503" spans="1:10" x14ac:dyDescent="0.2">
      <c r="A503" t="s">
        <v>1284</v>
      </c>
      <c r="B503" t="s">
        <v>1301</v>
      </c>
      <c r="C503" s="9">
        <v>45168</v>
      </c>
      <c r="D503">
        <v>135.570007</v>
      </c>
      <c r="E503">
        <v>137.25</v>
      </c>
      <c r="F503">
        <v>135.020996</v>
      </c>
      <c r="G503">
        <v>136.929993</v>
      </c>
      <c r="H503">
        <v>21773400</v>
      </c>
      <c r="I503">
        <v>0</v>
      </c>
      <c r="J503">
        <v>1.44</v>
      </c>
    </row>
    <row r="504" spans="1:10" x14ac:dyDescent="0.2">
      <c r="A504" t="s">
        <v>1285</v>
      </c>
      <c r="B504" t="s">
        <v>1302</v>
      </c>
      <c r="C504" s="9">
        <v>45169</v>
      </c>
      <c r="D504">
        <v>137.050003</v>
      </c>
      <c r="E504">
        <v>138.39999399999999</v>
      </c>
      <c r="F504">
        <v>136.820007</v>
      </c>
      <c r="G504">
        <v>137.35000600000001</v>
      </c>
      <c r="H504">
        <v>28147900</v>
      </c>
      <c r="I504">
        <v>0</v>
      </c>
      <c r="J504">
        <v>0.42</v>
      </c>
    </row>
    <row r="505" spans="1:10" x14ac:dyDescent="0.2">
      <c r="A505" t="s">
        <v>1286</v>
      </c>
      <c r="B505" t="s">
        <v>1303</v>
      </c>
      <c r="C505" s="9">
        <v>45170</v>
      </c>
      <c r="D505">
        <v>138.429993</v>
      </c>
      <c r="E505">
        <v>138.58000200000001</v>
      </c>
      <c r="F505">
        <v>135.94000199999999</v>
      </c>
      <c r="G505">
        <v>136.800003</v>
      </c>
      <c r="H505">
        <v>16665700</v>
      </c>
      <c r="I505">
        <v>0</v>
      </c>
      <c r="J505">
        <v>-0.55000000000000004</v>
      </c>
    </row>
  </sheetData>
  <autoFilter ref="A1:J505" xr:uid="{00000000-0009-0000-0000-000005000000}"/>
  <mergeCells count="1">
    <mergeCell ref="M10:N1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51"/>
  <sheetViews>
    <sheetView tabSelected="1" topLeftCell="A2" workbookViewId="0">
      <selection activeCell="J15" sqref="J15"/>
    </sheetView>
  </sheetViews>
  <sheetFormatPr baseColWidth="10" defaultColWidth="11" defaultRowHeight="16" x14ac:dyDescent="0.2"/>
  <cols>
    <col min="1" max="1" width="25.1640625" bestFit="1" customWidth="1"/>
    <col min="2" max="2" width="10.6640625" bestFit="1" customWidth="1"/>
    <col min="3" max="3" width="7.83203125" bestFit="1" customWidth="1"/>
    <col min="4" max="7" width="11.1640625" bestFit="1" customWidth="1"/>
    <col min="8" max="8" width="9.1640625" bestFit="1" customWidth="1"/>
    <col min="14" max="14" width="18" bestFit="1" customWidth="1"/>
  </cols>
  <sheetData>
    <row r="1" spans="1:20" x14ac:dyDescent="0.2">
      <c r="A1" s="3" t="s">
        <v>15</v>
      </c>
      <c r="B1" s="3" t="s">
        <v>16</v>
      </c>
      <c r="C1" s="16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N1" s="19" t="s">
        <v>1325</v>
      </c>
    </row>
    <row r="2" spans="1:20" x14ac:dyDescent="0.2">
      <c r="A2" t="s">
        <v>1237</v>
      </c>
      <c r="B2" t="s">
        <v>1303</v>
      </c>
      <c r="C2" s="17">
        <v>45100</v>
      </c>
      <c r="D2">
        <v>122.040001</v>
      </c>
      <c r="E2">
        <v>123.44000200000001</v>
      </c>
      <c r="F2">
        <v>121.860001</v>
      </c>
      <c r="G2">
        <v>123.019997</v>
      </c>
      <c r="H2">
        <v>29542900</v>
      </c>
      <c r="P2" t="s">
        <v>18</v>
      </c>
      <c r="Q2" t="s">
        <v>19</v>
      </c>
      <c r="R2" t="s">
        <v>20</v>
      </c>
      <c r="S2" t="s">
        <v>21</v>
      </c>
      <c r="T2" t="s">
        <v>22</v>
      </c>
    </row>
    <row r="3" spans="1:20" x14ac:dyDescent="0.2">
      <c r="A3" t="s">
        <v>1238</v>
      </c>
      <c r="B3" t="s">
        <v>1305</v>
      </c>
      <c r="C3" s="17">
        <v>45103</v>
      </c>
      <c r="D3">
        <v>121.466003</v>
      </c>
      <c r="E3">
        <v>122.720001</v>
      </c>
      <c r="F3">
        <v>118.989998</v>
      </c>
      <c r="G3">
        <v>119.089996</v>
      </c>
      <c r="H3">
        <v>23185000</v>
      </c>
      <c r="O3" t="s">
        <v>1320</v>
      </c>
      <c r="P3">
        <v>50</v>
      </c>
      <c r="Q3">
        <v>50</v>
      </c>
      <c r="R3">
        <v>50</v>
      </c>
      <c r="S3">
        <v>50</v>
      </c>
      <c r="T3">
        <v>50</v>
      </c>
    </row>
    <row r="4" spans="1:20" x14ac:dyDescent="0.2">
      <c r="A4" t="s">
        <v>1239</v>
      </c>
      <c r="B4" t="s">
        <v>1304</v>
      </c>
      <c r="C4" s="17">
        <v>45104</v>
      </c>
      <c r="D4">
        <v>117.839996</v>
      </c>
      <c r="E4">
        <v>119.894997</v>
      </c>
      <c r="F4">
        <v>116.910004</v>
      </c>
      <c r="G4">
        <v>119.010002</v>
      </c>
      <c r="H4">
        <v>27221700</v>
      </c>
      <c r="O4" t="s">
        <v>1321</v>
      </c>
      <c r="P4">
        <v>126.88937987999999</v>
      </c>
      <c r="Q4">
        <v>128.38031994000002</v>
      </c>
      <c r="R4">
        <v>125.75330036000001</v>
      </c>
      <c r="S4">
        <v>126.94959991999998</v>
      </c>
      <c r="T4">
        <v>22953812</v>
      </c>
    </row>
    <row r="5" spans="1:20" x14ac:dyDescent="0.2">
      <c r="A5" t="s">
        <v>1240</v>
      </c>
      <c r="B5" t="s">
        <v>1301</v>
      </c>
      <c r="C5" s="17">
        <v>45105</v>
      </c>
      <c r="D5">
        <v>117.959999</v>
      </c>
      <c r="E5">
        <v>121.269997</v>
      </c>
      <c r="F5">
        <v>117.599998</v>
      </c>
      <c r="G5">
        <v>121.08000199999999</v>
      </c>
      <c r="H5">
        <v>19753100</v>
      </c>
      <c r="O5" t="s">
        <v>1322</v>
      </c>
      <c r="P5">
        <v>5.6436259227577468</v>
      </c>
      <c r="Q5">
        <v>5.6620150182517532</v>
      </c>
      <c r="R5">
        <v>5.5788955551966861</v>
      </c>
      <c r="S5">
        <v>5.6306826418304015</v>
      </c>
      <c r="T5">
        <v>7891239.2469437979</v>
      </c>
    </row>
    <row r="6" spans="1:20" x14ac:dyDescent="0.2">
      <c r="A6" t="s">
        <v>1241</v>
      </c>
      <c r="B6" t="s">
        <v>1302</v>
      </c>
      <c r="C6" s="17">
        <v>45106</v>
      </c>
      <c r="D6">
        <v>120.089996</v>
      </c>
      <c r="E6">
        <v>120.910004</v>
      </c>
      <c r="F6">
        <v>119.209999</v>
      </c>
      <c r="G6">
        <v>120.010002</v>
      </c>
      <c r="H6">
        <v>18517500</v>
      </c>
      <c r="O6" t="s">
        <v>1323</v>
      </c>
      <c r="P6">
        <v>116.760002</v>
      </c>
      <c r="Q6">
        <v>118.224998</v>
      </c>
      <c r="R6">
        <v>115.83000199999999</v>
      </c>
      <c r="S6">
        <v>116.870003</v>
      </c>
      <c r="T6">
        <v>13888300</v>
      </c>
    </row>
    <row r="7" spans="1:20" x14ac:dyDescent="0.2">
      <c r="A7" t="s">
        <v>1242</v>
      </c>
      <c r="B7" t="s">
        <v>1303</v>
      </c>
      <c r="C7" s="17">
        <v>45107</v>
      </c>
      <c r="D7">
        <v>121.099998</v>
      </c>
      <c r="E7">
        <v>122.029999</v>
      </c>
      <c r="F7">
        <v>120.879997</v>
      </c>
      <c r="G7">
        <v>120.970001</v>
      </c>
      <c r="H7">
        <v>23865800</v>
      </c>
      <c r="O7" s="18">
        <v>0.25</v>
      </c>
      <c r="P7">
        <v>121.4845025</v>
      </c>
      <c r="Q7">
        <v>123.35499924999999</v>
      </c>
      <c r="R7">
        <v>120.28749625</v>
      </c>
      <c r="S7">
        <v>121.28000075</v>
      </c>
      <c r="T7">
        <v>17766475</v>
      </c>
    </row>
    <row r="8" spans="1:20" x14ac:dyDescent="0.2">
      <c r="A8" t="s">
        <v>1243</v>
      </c>
      <c r="B8" t="s">
        <v>1305</v>
      </c>
      <c r="C8" s="17">
        <v>45110</v>
      </c>
      <c r="D8">
        <v>120.32</v>
      </c>
      <c r="E8">
        <v>121.019997</v>
      </c>
      <c r="F8">
        <v>119.70500199999999</v>
      </c>
      <c r="G8">
        <v>120.55999799999999</v>
      </c>
      <c r="H8">
        <v>13888300</v>
      </c>
      <c r="O8" s="18">
        <v>0.5</v>
      </c>
      <c r="P8">
        <v>129.09500150000002</v>
      </c>
      <c r="Q8">
        <v>130.125</v>
      </c>
      <c r="R8">
        <v>127.8125</v>
      </c>
      <c r="S8">
        <v>128.70500149999998</v>
      </c>
      <c r="T8">
        <v>21026800</v>
      </c>
    </row>
    <row r="9" spans="1:20" x14ac:dyDescent="0.2">
      <c r="A9" t="s">
        <v>1244</v>
      </c>
      <c r="B9" t="s">
        <v>1301</v>
      </c>
      <c r="C9" s="17">
        <v>45112</v>
      </c>
      <c r="D9">
        <v>120.05999799999999</v>
      </c>
      <c r="E9">
        <v>123.370003</v>
      </c>
      <c r="F9">
        <v>120.05999799999999</v>
      </c>
      <c r="G9">
        <v>122.629997</v>
      </c>
      <c r="H9">
        <v>17830300</v>
      </c>
      <c r="O9" s="18">
        <v>0.75</v>
      </c>
      <c r="P9">
        <v>130.94124975</v>
      </c>
      <c r="Q9">
        <v>132.485748</v>
      </c>
      <c r="R9">
        <v>129.8422545</v>
      </c>
      <c r="S9">
        <v>130.63250324999998</v>
      </c>
      <c r="T9">
        <v>25839200</v>
      </c>
    </row>
    <row r="10" spans="1:20" x14ac:dyDescent="0.2">
      <c r="A10" t="s">
        <v>1245</v>
      </c>
      <c r="B10" t="s">
        <v>1302</v>
      </c>
      <c r="C10" s="17">
        <v>45113</v>
      </c>
      <c r="D10">
        <v>120.639999</v>
      </c>
      <c r="E10">
        <v>121.150002</v>
      </c>
      <c r="F10">
        <v>119.25</v>
      </c>
      <c r="G10">
        <v>120.93</v>
      </c>
      <c r="H10">
        <v>17732500</v>
      </c>
      <c r="O10" t="s">
        <v>1324</v>
      </c>
      <c r="P10">
        <v>138.429993</v>
      </c>
      <c r="Q10">
        <v>138.58000200000001</v>
      </c>
      <c r="R10">
        <v>136.820007</v>
      </c>
      <c r="S10">
        <v>137.35000600000001</v>
      </c>
      <c r="T10">
        <v>56498100</v>
      </c>
    </row>
    <row r="11" spans="1:20" x14ac:dyDescent="0.2">
      <c r="A11" t="s">
        <v>1246</v>
      </c>
      <c r="B11" t="s">
        <v>1303</v>
      </c>
      <c r="C11" s="17">
        <v>45114</v>
      </c>
      <c r="D11">
        <v>120.889999</v>
      </c>
      <c r="E11">
        <v>121.75</v>
      </c>
      <c r="F11">
        <v>120.089996</v>
      </c>
      <c r="G11">
        <v>120.139999</v>
      </c>
      <c r="H11">
        <v>20982400</v>
      </c>
    </row>
    <row r="12" spans="1:20" x14ac:dyDescent="0.2">
      <c r="A12" t="s">
        <v>1247</v>
      </c>
      <c r="B12" t="s">
        <v>1305</v>
      </c>
      <c r="C12" s="17">
        <v>45117</v>
      </c>
      <c r="D12">
        <v>119.07</v>
      </c>
      <c r="E12">
        <v>119.07</v>
      </c>
      <c r="F12">
        <v>116.639999</v>
      </c>
      <c r="G12">
        <v>116.870003</v>
      </c>
      <c r="H12">
        <v>32960100</v>
      </c>
    </row>
    <row r="13" spans="1:20" x14ac:dyDescent="0.2">
      <c r="A13" t="s">
        <v>1248</v>
      </c>
      <c r="B13" t="s">
        <v>1304</v>
      </c>
      <c r="C13" s="17">
        <v>45118</v>
      </c>
      <c r="D13">
        <v>116.760002</v>
      </c>
      <c r="E13">
        <v>118.224998</v>
      </c>
      <c r="F13">
        <v>115.83000199999999</v>
      </c>
      <c r="G13">
        <v>117.709999</v>
      </c>
      <c r="H13">
        <v>18286600</v>
      </c>
    </row>
    <row r="14" spans="1:20" x14ac:dyDescent="0.2">
      <c r="A14" t="s">
        <v>1249</v>
      </c>
      <c r="B14" t="s">
        <v>1301</v>
      </c>
      <c r="C14" s="17">
        <v>45119</v>
      </c>
      <c r="D14">
        <v>119.300003</v>
      </c>
      <c r="E14">
        <v>120.959999</v>
      </c>
      <c r="F14">
        <v>119</v>
      </c>
      <c r="G14">
        <v>119.620003</v>
      </c>
      <c r="H14">
        <v>22059600</v>
      </c>
    </row>
    <row r="15" spans="1:20" x14ac:dyDescent="0.2">
      <c r="A15" t="s">
        <v>1250</v>
      </c>
      <c r="B15" t="s">
        <v>1302</v>
      </c>
      <c r="C15" s="17">
        <v>45120</v>
      </c>
      <c r="D15">
        <v>121.540001</v>
      </c>
      <c r="E15">
        <v>125.334999</v>
      </c>
      <c r="F15">
        <v>121.05999799999999</v>
      </c>
      <c r="G15">
        <v>124.83000199999999</v>
      </c>
      <c r="H15">
        <v>31535900</v>
      </c>
    </row>
    <row r="16" spans="1:20" x14ac:dyDescent="0.2">
      <c r="A16" t="s">
        <v>1251</v>
      </c>
      <c r="B16" t="s">
        <v>1303</v>
      </c>
      <c r="C16" s="17">
        <v>45121</v>
      </c>
      <c r="D16">
        <v>125.129997</v>
      </c>
      <c r="E16">
        <v>127.089996</v>
      </c>
      <c r="F16">
        <v>124.900002</v>
      </c>
      <c r="G16">
        <v>125.699997</v>
      </c>
      <c r="H16">
        <v>20482800</v>
      </c>
    </row>
    <row r="17" spans="1:23" x14ac:dyDescent="0.2">
      <c r="A17" t="s">
        <v>1252</v>
      </c>
      <c r="B17" t="s">
        <v>1305</v>
      </c>
      <c r="C17" s="17">
        <v>45124</v>
      </c>
      <c r="D17">
        <v>126.05999799999999</v>
      </c>
      <c r="E17">
        <v>127.279999</v>
      </c>
      <c r="F17">
        <v>124.5</v>
      </c>
      <c r="G17">
        <v>125.05999799999999</v>
      </c>
      <c r="H17">
        <v>20675300</v>
      </c>
    </row>
    <row r="18" spans="1:23" x14ac:dyDescent="0.2">
      <c r="A18" t="s">
        <v>1253</v>
      </c>
      <c r="B18" t="s">
        <v>1304</v>
      </c>
      <c r="C18" s="17">
        <v>45125</v>
      </c>
      <c r="D18">
        <v>124.904999</v>
      </c>
      <c r="E18">
        <v>124.989998</v>
      </c>
      <c r="F18">
        <v>123.300003</v>
      </c>
      <c r="G18">
        <v>124.08000199999999</v>
      </c>
      <c r="H18">
        <v>21071200</v>
      </c>
    </row>
    <row r="19" spans="1:23" x14ac:dyDescent="0.2">
      <c r="A19" t="s">
        <v>1254</v>
      </c>
      <c r="B19" t="s">
        <v>1301</v>
      </c>
      <c r="C19" s="17">
        <v>45126</v>
      </c>
      <c r="D19">
        <v>124.790001</v>
      </c>
      <c r="E19">
        <v>125.470001</v>
      </c>
      <c r="F19">
        <v>122.470001</v>
      </c>
      <c r="G19">
        <v>122.779999</v>
      </c>
      <c r="H19">
        <v>22313800</v>
      </c>
    </row>
    <row r="20" spans="1:23" x14ac:dyDescent="0.2">
      <c r="A20" t="s">
        <v>1255</v>
      </c>
      <c r="B20" t="s">
        <v>1302</v>
      </c>
      <c r="C20" s="17">
        <v>45127</v>
      </c>
      <c r="D20">
        <v>122.120003</v>
      </c>
      <c r="E20">
        <v>124.699997</v>
      </c>
      <c r="F20">
        <v>118.68499799999999</v>
      </c>
      <c r="G20">
        <v>119.529999</v>
      </c>
      <c r="H20">
        <v>27541700</v>
      </c>
      <c r="N20" s="19" t="s">
        <v>1326</v>
      </c>
    </row>
    <row r="21" spans="1:23" x14ac:dyDescent="0.2">
      <c r="A21" t="s">
        <v>1256</v>
      </c>
      <c r="B21" t="s">
        <v>1303</v>
      </c>
      <c r="C21" s="17">
        <v>45128</v>
      </c>
      <c r="D21">
        <v>120.870003</v>
      </c>
      <c r="E21">
        <v>121.300003</v>
      </c>
      <c r="F21">
        <v>119.07</v>
      </c>
      <c r="G21">
        <v>120.30999799999999</v>
      </c>
      <c r="H21">
        <v>56498100</v>
      </c>
      <c r="P21" t="s">
        <v>15</v>
      </c>
      <c r="Q21" t="s">
        <v>16</v>
      </c>
      <c r="R21" t="s">
        <v>17</v>
      </c>
      <c r="S21" t="s">
        <v>18</v>
      </c>
      <c r="T21" t="s">
        <v>19</v>
      </c>
      <c r="U21" t="s">
        <v>20</v>
      </c>
      <c r="V21" t="s">
        <v>21</v>
      </c>
      <c r="W21" t="s">
        <v>22</v>
      </c>
    </row>
    <row r="22" spans="1:23" x14ac:dyDescent="0.2">
      <c r="A22" t="s">
        <v>1257</v>
      </c>
      <c r="B22" t="s">
        <v>1305</v>
      </c>
      <c r="C22" s="17">
        <v>45131</v>
      </c>
      <c r="D22">
        <v>121.92600299999999</v>
      </c>
      <c r="E22">
        <v>123.349998</v>
      </c>
      <c r="F22">
        <v>121.379997</v>
      </c>
      <c r="G22">
        <v>121.879997</v>
      </c>
      <c r="H22">
        <v>22276100</v>
      </c>
      <c r="O22">
        <v>0</v>
      </c>
      <c r="P22" t="s">
        <v>1237</v>
      </c>
      <c r="Q22" t="s">
        <v>1303</v>
      </c>
      <c r="R22" s="17">
        <v>45100</v>
      </c>
      <c r="S22">
        <v>122.040001</v>
      </c>
      <c r="T22">
        <v>123.44000200000001</v>
      </c>
      <c r="U22">
        <v>121.860001</v>
      </c>
      <c r="V22">
        <v>123.019997</v>
      </c>
      <c r="W22">
        <v>29542900</v>
      </c>
    </row>
    <row r="23" spans="1:23" x14ac:dyDescent="0.2">
      <c r="A23" t="s">
        <v>1258</v>
      </c>
      <c r="B23" t="s">
        <v>1304</v>
      </c>
      <c r="C23" s="17">
        <v>45132</v>
      </c>
      <c r="D23">
        <v>121.879997</v>
      </c>
      <c r="E23">
        <v>123.69000200000001</v>
      </c>
      <c r="F23">
        <v>121.529999</v>
      </c>
      <c r="G23">
        <v>122.790001</v>
      </c>
      <c r="H23">
        <v>31820800</v>
      </c>
      <c r="O23">
        <v>1</v>
      </c>
      <c r="P23" t="s">
        <v>1238</v>
      </c>
      <c r="Q23" t="s">
        <v>1305</v>
      </c>
      <c r="R23" s="17">
        <v>45103</v>
      </c>
      <c r="S23">
        <v>121.466003</v>
      </c>
      <c r="T23">
        <v>122.720001</v>
      </c>
      <c r="U23">
        <v>118.989998</v>
      </c>
      <c r="V23">
        <v>119.089996</v>
      </c>
      <c r="W23">
        <v>23185000</v>
      </c>
    </row>
    <row r="24" spans="1:23" x14ac:dyDescent="0.2">
      <c r="A24" t="s">
        <v>1259</v>
      </c>
      <c r="B24" t="s">
        <v>1301</v>
      </c>
      <c r="C24" s="17">
        <v>45133</v>
      </c>
      <c r="D24">
        <v>130.36000100000001</v>
      </c>
      <c r="E24">
        <v>131.36999499999999</v>
      </c>
      <c r="F24">
        <v>128.71000699999999</v>
      </c>
      <c r="G24">
        <v>129.66000399999999</v>
      </c>
      <c r="H24">
        <v>46216900</v>
      </c>
      <c r="O24">
        <v>2</v>
      </c>
      <c r="P24" t="s">
        <v>1239</v>
      </c>
      <c r="Q24" t="s">
        <v>1304</v>
      </c>
      <c r="R24" s="17">
        <v>45104</v>
      </c>
      <c r="S24">
        <v>117.839996</v>
      </c>
      <c r="T24">
        <v>119.894997</v>
      </c>
      <c r="U24">
        <v>116.910004</v>
      </c>
      <c r="V24">
        <v>119.010002</v>
      </c>
      <c r="W24">
        <v>27221700</v>
      </c>
    </row>
    <row r="25" spans="1:23" x14ac:dyDescent="0.2">
      <c r="A25" t="s">
        <v>1260</v>
      </c>
      <c r="B25" t="s">
        <v>1302</v>
      </c>
      <c r="C25" s="17">
        <v>45134</v>
      </c>
      <c r="D25">
        <v>131.800003</v>
      </c>
      <c r="E25">
        <v>133.60000600000001</v>
      </c>
      <c r="F25">
        <v>129.179993</v>
      </c>
      <c r="G25">
        <v>129.86999499999999</v>
      </c>
      <c r="H25">
        <v>35931600</v>
      </c>
      <c r="O25">
        <v>3</v>
      </c>
      <c r="P25" t="s">
        <v>1240</v>
      </c>
      <c r="Q25" t="s">
        <v>1301</v>
      </c>
      <c r="R25" s="17">
        <v>45105</v>
      </c>
      <c r="S25">
        <v>117.959999</v>
      </c>
      <c r="T25">
        <v>121.269997</v>
      </c>
      <c r="U25">
        <v>117.599998</v>
      </c>
      <c r="V25">
        <v>121.08000199999999</v>
      </c>
      <c r="W25">
        <v>19753100</v>
      </c>
    </row>
    <row r="26" spans="1:23" x14ac:dyDescent="0.2">
      <c r="A26" t="s">
        <v>1261</v>
      </c>
      <c r="B26" t="s">
        <v>1303</v>
      </c>
      <c r="C26" s="17">
        <v>45135</v>
      </c>
      <c r="D26">
        <v>130.970001</v>
      </c>
      <c r="E26">
        <v>134.070007</v>
      </c>
      <c r="F26">
        <v>130.91999799999999</v>
      </c>
      <c r="G26">
        <v>133.009995</v>
      </c>
      <c r="H26">
        <v>26971000</v>
      </c>
      <c r="O26">
        <v>4</v>
      </c>
      <c r="P26" t="s">
        <v>1241</v>
      </c>
      <c r="Q26" t="s">
        <v>1302</v>
      </c>
      <c r="R26" s="17">
        <v>45106</v>
      </c>
      <c r="S26">
        <v>120.089996</v>
      </c>
      <c r="T26">
        <v>120.910004</v>
      </c>
      <c r="U26">
        <v>119.209999</v>
      </c>
      <c r="V26">
        <v>120.010002</v>
      </c>
      <c r="W26">
        <v>18517500</v>
      </c>
    </row>
    <row r="27" spans="1:23" x14ac:dyDescent="0.2">
      <c r="A27" t="s">
        <v>1262</v>
      </c>
      <c r="B27" t="s">
        <v>1305</v>
      </c>
      <c r="C27" s="17">
        <v>45138</v>
      </c>
      <c r="D27">
        <v>133.009995</v>
      </c>
      <c r="E27">
        <v>133.83000200000001</v>
      </c>
      <c r="F27">
        <v>132.13000500000001</v>
      </c>
      <c r="G27">
        <v>133.11000100000001</v>
      </c>
      <c r="H27">
        <v>18381900</v>
      </c>
    </row>
    <row r="28" spans="1:23" x14ac:dyDescent="0.2">
      <c r="A28" t="s">
        <v>1263</v>
      </c>
      <c r="B28" t="s">
        <v>1304</v>
      </c>
      <c r="C28" s="17">
        <v>45139</v>
      </c>
      <c r="D28">
        <v>130.854996</v>
      </c>
      <c r="E28">
        <v>132.91999799999999</v>
      </c>
      <c r="F28">
        <v>130.75</v>
      </c>
      <c r="G28">
        <v>131.88999899999999</v>
      </c>
      <c r="H28">
        <v>22154300</v>
      </c>
    </row>
    <row r="29" spans="1:23" x14ac:dyDescent="0.2">
      <c r="A29" t="s">
        <v>1264</v>
      </c>
      <c r="B29" t="s">
        <v>1301</v>
      </c>
      <c r="C29" s="17">
        <v>45140</v>
      </c>
      <c r="D29">
        <v>129.83999600000001</v>
      </c>
      <c r="E29">
        <v>130.41999799999999</v>
      </c>
      <c r="F29">
        <v>127.849998</v>
      </c>
      <c r="G29">
        <v>128.63999899999999</v>
      </c>
      <c r="H29">
        <v>22705800</v>
      </c>
    </row>
    <row r="30" spans="1:23" x14ac:dyDescent="0.2">
      <c r="A30" t="s">
        <v>1265</v>
      </c>
      <c r="B30" t="s">
        <v>1302</v>
      </c>
      <c r="C30" s="17">
        <v>45141</v>
      </c>
      <c r="D30">
        <v>128.36999499999999</v>
      </c>
      <c r="E30">
        <v>129.770004</v>
      </c>
      <c r="F30">
        <v>127.775002</v>
      </c>
      <c r="G30">
        <v>128.770004</v>
      </c>
      <c r="H30">
        <v>15018100</v>
      </c>
    </row>
    <row r="31" spans="1:23" x14ac:dyDescent="0.2">
      <c r="A31" t="s">
        <v>1266</v>
      </c>
      <c r="B31" t="s">
        <v>1303</v>
      </c>
      <c r="C31" s="17">
        <v>45142</v>
      </c>
      <c r="D31">
        <v>129.60000600000001</v>
      </c>
      <c r="E31">
        <v>131.929993</v>
      </c>
      <c r="F31">
        <v>128.31500199999999</v>
      </c>
      <c r="G31">
        <v>128.53999300000001</v>
      </c>
      <c r="H31">
        <v>20509500</v>
      </c>
    </row>
    <row r="32" spans="1:23" x14ac:dyDescent="0.2">
      <c r="A32" t="s">
        <v>1267</v>
      </c>
      <c r="B32" t="s">
        <v>1305</v>
      </c>
      <c r="C32" s="17">
        <v>45145</v>
      </c>
      <c r="D32">
        <v>129.509995</v>
      </c>
      <c r="E32">
        <v>132.05999800000001</v>
      </c>
      <c r="F32">
        <v>129.429993</v>
      </c>
      <c r="G32">
        <v>131.94000199999999</v>
      </c>
      <c r="H32">
        <v>17621000</v>
      </c>
    </row>
    <row r="33" spans="1:8" x14ac:dyDescent="0.2">
      <c r="A33" t="s">
        <v>1268</v>
      </c>
      <c r="B33" t="s">
        <v>1304</v>
      </c>
      <c r="C33" s="17">
        <v>45146</v>
      </c>
      <c r="D33">
        <v>130.979996</v>
      </c>
      <c r="E33">
        <v>131.94000199999999</v>
      </c>
      <c r="F33">
        <v>130.13000500000001</v>
      </c>
      <c r="G33">
        <v>131.83999600000001</v>
      </c>
      <c r="H33">
        <v>16836000</v>
      </c>
    </row>
    <row r="34" spans="1:8" x14ac:dyDescent="0.2">
      <c r="A34" t="s">
        <v>1269</v>
      </c>
      <c r="B34" t="s">
        <v>1301</v>
      </c>
      <c r="C34" s="17">
        <v>45147</v>
      </c>
      <c r="D34">
        <v>132.19000199999999</v>
      </c>
      <c r="E34">
        <v>132.470001</v>
      </c>
      <c r="F34">
        <v>129.50500500000001</v>
      </c>
      <c r="G34">
        <v>130.14999399999999</v>
      </c>
      <c r="H34">
        <v>17745200</v>
      </c>
    </row>
    <row r="35" spans="1:8" x14ac:dyDescent="0.2">
      <c r="A35" t="s">
        <v>1270</v>
      </c>
      <c r="B35" t="s">
        <v>1302</v>
      </c>
      <c r="C35" s="17">
        <v>45148</v>
      </c>
      <c r="D35">
        <v>131.970001</v>
      </c>
      <c r="E35">
        <v>132.64700300000001</v>
      </c>
      <c r="F35">
        <v>130.03500399999999</v>
      </c>
      <c r="G35">
        <v>130.21000699999999</v>
      </c>
      <c r="H35">
        <v>17855700</v>
      </c>
    </row>
    <row r="36" spans="1:8" x14ac:dyDescent="0.2">
      <c r="A36" t="s">
        <v>1271</v>
      </c>
      <c r="B36" t="s">
        <v>1303</v>
      </c>
      <c r="C36" s="17">
        <v>45149</v>
      </c>
      <c r="D36">
        <v>129.20199600000001</v>
      </c>
      <c r="E36">
        <v>130.44000199999999</v>
      </c>
      <c r="F36">
        <v>128.75</v>
      </c>
      <c r="G36">
        <v>130.16999799999999</v>
      </c>
      <c r="H36">
        <v>15191500</v>
      </c>
    </row>
    <row r="37" spans="1:8" x14ac:dyDescent="0.2">
      <c r="A37" t="s">
        <v>1272</v>
      </c>
      <c r="B37" t="s">
        <v>1305</v>
      </c>
      <c r="C37" s="17">
        <v>45152</v>
      </c>
      <c r="D37">
        <v>129.85000600000001</v>
      </c>
      <c r="E37">
        <v>131.91000399999999</v>
      </c>
      <c r="F37">
        <v>129.58999600000001</v>
      </c>
      <c r="G37">
        <v>131.83000200000001</v>
      </c>
      <c r="H37">
        <v>17526200</v>
      </c>
    </row>
    <row r="38" spans="1:8" x14ac:dyDescent="0.2">
      <c r="A38" t="s">
        <v>1273</v>
      </c>
      <c r="B38" t="s">
        <v>1304</v>
      </c>
      <c r="C38" s="17">
        <v>45153</v>
      </c>
      <c r="D38">
        <v>131.58999600000001</v>
      </c>
      <c r="E38">
        <v>131.990005</v>
      </c>
      <c r="F38">
        <v>129.81899999999999</v>
      </c>
      <c r="G38">
        <v>130.270004</v>
      </c>
      <c r="H38">
        <v>14769200</v>
      </c>
    </row>
    <row r="39" spans="1:8" x14ac:dyDescent="0.2">
      <c r="A39" t="s">
        <v>1274</v>
      </c>
      <c r="B39" t="s">
        <v>1301</v>
      </c>
      <c r="C39" s="17">
        <v>45154</v>
      </c>
      <c r="D39">
        <v>129.279999</v>
      </c>
      <c r="E39">
        <v>130.89799500000001</v>
      </c>
      <c r="F39">
        <v>128.46000699999999</v>
      </c>
      <c r="G39">
        <v>129.11000100000001</v>
      </c>
      <c r="H39">
        <v>17548400</v>
      </c>
    </row>
    <row r="40" spans="1:8" x14ac:dyDescent="0.2">
      <c r="A40" t="s">
        <v>1275</v>
      </c>
      <c r="B40" t="s">
        <v>1302</v>
      </c>
      <c r="C40" s="17">
        <v>45155</v>
      </c>
      <c r="D40">
        <v>130.449997</v>
      </c>
      <c r="E40">
        <v>132.49099699999999</v>
      </c>
      <c r="F40">
        <v>129.85000600000001</v>
      </c>
      <c r="G40">
        <v>130.46000699999999</v>
      </c>
      <c r="H40">
        <v>23665600</v>
      </c>
    </row>
    <row r="41" spans="1:8" x14ac:dyDescent="0.2">
      <c r="A41" t="s">
        <v>1276</v>
      </c>
      <c r="B41" t="s">
        <v>1303</v>
      </c>
      <c r="C41" s="17">
        <v>45156</v>
      </c>
      <c r="D41">
        <v>129.05999800000001</v>
      </c>
      <c r="E41">
        <v>129.83000200000001</v>
      </c>
      <c r="F41">
        <v>127</v>
      </c>
      <c r="G41">
        <v>128.11000100000001</v>
      </c>
      <c r="H41">
        <v>23619400</v>
      </c>
    </row>
    <row r="42" spans="1:8" x14ac:dyDescent="0.2">
      <c r="A42" t="s">
        <v>1277</v>
      </c>
      <c r="B42" t="s">
        <v>1305</v>
      </c>
      <c r="C42" s="17">
        <v>45159</v>
      </c>
      <c r="D42">
        <v>127.849998</v>
      </c>
      <c r="E42">
        <v>129.259995</v>
      </c>
      <c r="F42">
        <v>127.160004</v>
      </c>
      <c r="G42">
        <v>128.929993</v>
      </c>
      <c r="H42">
        <v>21851100</v>
      </c>
    </row>
    <row r="43" spans="1:8" x14ac:dyDescent="0.2">
      <c r="A43" t="s">
        <v>1278</v>
      </c>
      <c r="B43" t="s">
        <v>1304</v>
      </c>
      <c r="C43" s="17">
        <v>45160</v>
      </c>
      <c r="D43">
        <v>129.13000500000001</v>
      </c>
      <c r="E43">
        <v>130.949997</v>
      </c>
      <c r="F43">
        <v>128.925003</v>
      </c>
      <c r="G43">
        <v>129.69000199999999</v>
      </c>
      <c r="H43">
        <v>15569400</v>
      </c>
    </row>
    <row r="44" spans="1:8" x14ac:dyDescent="0.2">
      <c r="A44" t="s">
        <v>1279</v>
      </c>
      <c r="B44" t="s">
        <v>1301</v>
      </c>
      <c r="C44" s="17">
        <v>45161</v>
      </c>
      <c r="D44">
        <v>130.85000600000001</v>
      </c>
      <c r="E44">
        <v>134.070007</v>
      </c>
      <c r="F44">
        <v>130.509995</v>
      </c>
      <c r="G44">
        <v>133.21000699999999</v>
      </c>
      <c r="H44">
        <v>26497000</v>
      </c>
    </row>
    <row r="45" spans="1:8" x14ac:dyDescent="0.2">
      <c r="A45" t="s">
        <v>1280</v>
      </c>
      <c r="B45" t="s">
        <v>1302</v>
      </c>
      <c r="C45" s="17">
        <v>45162</v>
      </c>
      <c r="D45">
        <v>134.72700499999999</v>
      </c>
      <c r="E45">
        <v>134.970001</v>
      </c>
      <c r="F45">
        <v>130.300003</v>
      </c>
      <c r="G45">
        <v>130.41999799999999</v>
      </c>
      <c r="H45">
        <v>18680400</v>
      </c>
    </row>
    <row r="46" spans="1:8" x14ac:dyDescent="0.2">
      <c r="A46" t="s">
        <v>1281</v>
      </c>
      <c r="B46" t="s">
        <v>1303</v>
      </c>
      <c r="C46" s="17">
        <v>45163</v>
      </c>
      <c r="D46">
        <v>130.13999899999999</v>
      </c>
      <c r="E46">
        <v>131.39999399999999</v>
      </c>
      <c r="F46">
        <v>128.03999300000001</v>
      </c>
      <c r="G46">
        <v>130.69000199999999</v>
      </c>
      <c r="H46">
        <v>20678100</v>
      </c>
    </row>
    <row r="47" spans="1:8" x14ac:dyDescent="0.2">
      <c r="A47" t="s">
        <v>1282</v>
      </c>
      <c r="B47" t="s">
        <v>1305</v>
      </c>
      <c r="C47" s="17">
        <v>45166</v>
      </c>
      <c r="D47">
        <v>132.08000200000001</v>
      </c>
      <c r="E47">
        <v>133.240005</v>
      </c>
      <c r="F47">
        <v>130.85000600000001</v>
      </c>
      <c r="G47">
        <v>131.78999300000001</v>
      </c>
      <c r="H47">
        <v>16715500</v>
      </c>
    </row>
    <row r="48" spans="1:8" x14ac:dyDescent="0.2">
      <c r="A48" t="s">
        <v>1283</v>
      </c>
      <c r="B48" t="s">
        <v>1304</v>
      </c>
      <c r="C48" s="17">
        <v>45167</v>
      </c>
      <c r="D48">
        <v>132.99800099999999</v>
      </c>
      <c r="E48">
        <v>137.29499799999999</v>
      </c>
      <c r="F48">
        <v>132.979996</v>
      </c>
      <c r="G48">
        <v>135.490005</v>
      </c>
      <c r="H48">
        <v>30803300</v>
      </c>
    </row>
    <row r="49" spans="1:8" x14ac:dyDescent="0.2">
      <c r="A49" t="s">
        <v>1284</v>
      </c>
      <c r="B49" t="s">
        <v>1301</v>
      </c>
      <c r="C49" s="17">
        <v>45168</v>
      </c>
      <c r="D49">
        <v>135.570007</v>
      </c>
      <c r="E49">
        <v>137.25</v>
      </c>
      <c r="F49">
        <v>135.020996</v>
      </c>
      <c r="G49">
        <v>136.929993</v>
      </c>
      <c r="H49">
        <v>21773400</v>
      </c>
    </row>
    <row r="50" spans="1:8" x14ac:dyDescent="0.2">
      <c r="A50" t="s">
        <v>1285</v>
      </c>
      <c r="B50" t="s">
        <v>1302</v>
      </c>
      <c r="C50" s="17">
        <v>45169</v>
      </c>
      <c r="D50">
        <v>137.050003</v>
      </c>
      <c r="E50">
        <v>138.39999399999999</v>
      </c>
      <c r="F50">
        <v>136.820007</v>
      </c>
      <c r="G50">
        <v>137.35000600000001</v>
      </c>
      <c r="H50">
        <v>28147900</v>
      </c>
    </row>
    <row r="51" spans="1:8" x14ac:dyDescent="0.2">
      <c r="A51" t="s">
        <v>1286</v>
      </c>
      <c r="B51" t="s">
        <v>1303</v>
      </c>
      <c r="C51" s="17">
        <v>45170</v>
      </c>
      <c r="D51">
        <v>138.429993</v>
      </c>
      <c r="E51">
        <v>138.58000200000001</v>
      </c>
      <c r="F51">
        <v>135.94000199999999</v>
      </c>
      <c r="G51">
        <v>136.800003</v>
      </c>
      <c r="H51">
        <v>16665700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mpleCall">
                <anchor moveWithCells="1" sizeWithCells="1">
                  <from>
                    <xdr:col>10</xdr:col>
                    <xdr:colOff>0</xdr:colOff>
                    <xdr:row>1</xdr:row>
                    <xdr:rowOff>25400</xdr:rowOff>
                  </from>
                  <to>
                    <xdr:col>11</xdr:col>
                    <xdr:colOff>685800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_xlwings.conf</vt:lpstr>
      <vt:lpstr>Alphabet</vt:lpstr>
      <vt:lpstr>Chart for Stock Open Price</vt:lpstr>
      <vt:lpstr>Big Swings</vt:lpstr>
      <vt:lpstr>Pivot Table for 2022</vt:lpstr>
      <vt:lpstr>Summary Stats</vt:lpstr>
      <vt:lpstr>Python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Eshita Gupta</cp:lastModifiedBy>
  <dcterms:created xsi:type="dcterms:W3CDTF">2015-01-25T11:31:25Z</dcterms:created>
  <dcterms:modified xsi:type="dcterms:W3CDTF">2023-10-28T07:19:20Z</dcterms:modified>
</cp:coreProperties>
</file>